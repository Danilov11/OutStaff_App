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ыплаты" sheetId="1" r:id="rId5"/>
    <sheet state="visible" name="Документы" sheetId="2" r:id="rId6"/>
    <sheet state="visible" name="Счета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###############"/>
    <numFmt numFmtId="165" formatCode="0.0"/>
    <numFmt numFmtId="166" formatCode="dd.mm.yyyy"/>
    <numFmt numFmtId="167" formatCode="#,##0.000"/>
    <numFmt numFmtId="168" formatCode="#,##0.00[$ ₽]"/>
    <numFmt numFmtId="169" formatCode="dd.MM.yyyy"/>
    <numFmt numFmtId="170" formatCode="d.m.yyyy"/>
    <numFmt numFmtId="171" formatCode="0.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theme="1"/>
      <name val="RobotoNew"/>
    </font>
    <font>
      <b/>
      <color rgb="FF666666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6F7FF"/>
        <bgColor rgb="FFF6F7FF"/>
      </patternFill>
    </fill>
    <fill>
      <patternFill patternType="solid">
        <fgColor rgb="FFDEEAF6"/>
        <bgColor rgb="FFDEEAF6"/>
      </patternFill>
    </fill>
  </fills>
  <borders count="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164" xfId="0" applyBorder="1" applyFont="1" applyNumberFormat="1"/>
    <xf borderId="1" fillId="0" fontId="1" numFmtId="1" xfId="0" applyBorder="1" applyFont="1" applyNumberFormat="1"/>
    <xf borderId="1" fillId="0" fontId="1" numFmtId="165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49" xfId="0" applyBorder="1" applyFont="1" applyNumberFormat="1"/>
    <xf borderId="1" fillId="0" fontId="2" numFmtId="164" xfId="0" applyBorder="1" applyFont="1" applyNumberFormat="1"/>
    <xf borderId="1" fillId="0" fontId="2" numFmtId="1" xfId="0" applyBorder="1" applyFont="1" applyNumberFormat="1"/>
    <xf borderId="1" fillId="0" fontId="2" numFmtId="165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166" xfId="0" applyFont="1" applyNumberFormat="1"/>
    <xf borderId="0" fillId="0" fontId="3" numFmtId="0" xfId="0" applyFont="1"/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167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6" numFmtId="168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3" fillId="0" fontId="4" numFmtId="169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horizontal="right" vertical="bottom"/>
    </xf>
    <xf borderId="0" fillId="2" fontId="4" numFmtId="164" xfId="0" applyAlignment="1" applyFill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3" fontId="4" numFmtId="164" xfId="0" applyAlignment="1" applyFill="1" applyFont="1" applyNumberFormat="1">
      <alignment vertical="bottom"/>
    </xf>
    <xf borderId="0" fillId="4" fontId="4" numFmtId="164" xfId="0" applyAlignment="1" applyFill="1" applyFont="1" applyNumberFormat="1">
      <alignment vertical="bottom"/>
    </xf>
    <xf borderId="0" fillId="0" fontId="7" numFmtId="164" xfId="0" applyAlignment="1" applyFont="1" applyNumberFormat="1">
      <alignment horizontal="right" vertical="top"/>
    </xf>
    <xf borderId="1" fillId="0" fontId="5" numFmtId="164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vertical="bottom"/>
    </xf>
    <xf borderId="0" fillId="0" fontId="6" numFmtId="168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top"/>
    </xf>
    <xf borderId="0" fillId="0" fontId="7" numFmtId="170" xfId="0" applyAlignment="1" applyFont="1" applyNumberFormat="1">
      <alignment horizontal="center" vertical="top"/>
    </xf>
    <xf borderId="0" fillId="2" fontId="5" numFmtId="164" xfId="0" applyAlignment="1" applyFont="1" applyNumberFormat="1">
      <alignment vertical="bottom"/>
    </xf>
    <xf borderId="0" fillId="0" fontId="5" numFmtId="171" xfId="0" applyAlignment="1" applyFont="1" applyNumberFormat="1">
      <alignment horizontal="right" vertical="bottom"/>
    </xf>
    <xf borderId="0" fillId="3" fontId="5" numFmtId="171" xfId="0" applyAlignment="1" applyFont="1" applyNumberFormat="1">
      <alignment horizontal="right" vertical="bottom"/>
    </xf>
    <xf borderId="0" fillId="3" fontId="5" numFmtId="171" xfId="0" applyAlignment="1" applyFont="1" applyNumberFormat="1">
      <alignment vertical="bottom"/>
    </xf>
    <xf borderId="0" fillId="0" fontId="5" numFmtId="171" xfId="0" applyAlignment="1" applyFont="1" applyNumberFormat="1">
      <alignment vertical="bottom"/>
    </xf>
    <xf borderId="0" fillId="4" fontId="5" numFmtId="171" xfId="0" applyAlignment="1" applyFont="1" applyNumberFormat="1">
      <alignment horizontal="right" vertical="bottom"/>
    </xf>
    <xf borderId="1" fillId="0" fontId="5" numFmtId="4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9" numFmtId="164" xfId="0" applyFont="1" applyNumberFormat="1"/>
    <xf borderId="0" fillId="0" fontId="7" numFmtId="166" xfId="0" applyAlignment="1" applyFont="1" applyNumberFormat="1">
      <alignment horizontal="center" vertical="top"/>
    </xf>
    <xf borderId="0" fillId="0" fontId="5" numFmtId="166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360.yandex.ru/d/r2UFBUWgAL6hAg" TargetMode="External"/><Relationship Id="rId190" Type="http://schemas.openxmlformats.org/officeDocument/2006/relationships/hyperlink" Target="https://disk.yandex.ru/d/zxb3R_iKzWZbGg" TargetMode="External"/><Relationship Id="rId42" Type="http://schemas.openxmlformats.org/officeDocument/2006/relationships/hyperlink" Target="https://disk.360.yandex.ru/d/OH1A_QgC4u1mdw" TargetMode="External"/><Relationship Id="rId41" Type="http://schemas.openxmlformats.org/officeDocument/2006/relationships/hyperlink" Target="https://disk.360.yandex.ru/d/1CTOhAuzQSUinQ" TargetMode="External"/><Relationship Id="rId44" Type="http://schemas.openxmlformats.org/officeDocument/2006/relationships/hyperlink" Target="https://disk.yandex.ru/d/pxx1E2GNxbN7tg" TargetMode="External"/><Relationship Id="rId194" Type="http://schemas.openxmlformats.org/officeDocument/2006/relationships/hyperlink" Target="https://disk.yandex.ru/d/fxqbkM8LlGYYzw" TargetMode="External"/><Relationship Id="rId43" Type="http://schemas.openxmlformats.org/officeDocument/2006/relationships/hyperlink" Target="https://disk.360.yandex.ru/d/_HqqLCsfULMkuA" TargetMode="External"/><Relationship Id="rId193" Type="http://schemas.openxmlformats.org/officeDocument/2006/relationships/hyperlink" Target="https://disk.360.yandex.ru/d/p-Odj_ssNpWNsw" TargetMode="External"/><Relationship Id="rId46" Type="http://schemas.openxmlformats.org/officeDocument/2006/relationships/hyperlink" Target="http://docbase.fixit.su/media/uploads_docs/315/req_preview_-_2025-11-22T142328.165.pdf" TargetMode="External"/><Relationship Id="rId192" Type="http://schemas.openxmlformats.org/officeDocument/2006/relationships/hyperlink" Target="https://disk.360.yandex.ru/d/wPHX42t0F6xPiQ" TargetMode="External"/><Relationship Id="rId45" Type="http://schemas.openxmlformats.org/officeDocument/2006/relationships/hyperlink" Target="https://disk.360.yandex.ru/d/9y0G-h14DQC6GQ" TargetMode="External"/><Relationship Id="rId191" Type="http://schemas.openxmlformats.org/officeDocument/2006/relationships/hyperlink" Target="https://disk.yandex.ru/d/lfnc3-tRdukFkw" TargetMode="External"/><Relationship Id="rId48" Type="http://schemas.openxmlformats.org/officeDocument/2006/relationships/hyperlink" Target="https://disk.yandex.ru/d/GTO-J4Wq_21EiQ" TargetMode="External"/><Relationship Id="rId187" Type="http://schemas.openxmlformats.org/officeDocument/2006/relationships/hyperlink" Target="https://disk.yandex.ru/d/QJpUU0vbpJI7eA" TargetMode="External"/><Relationship Id="rId47" Type="http://schemas.openxmlformats.org/officeDocument/2006/relationships/hyperlink" Target="https://disk.360.yandex.ru/d/ILzNmpcxR7x5-Q" TargetMode="External"/><Relationship Id="rId186" Type="http://schemas.openxmlformats.org/officeDocument/2006/relationships/hyperlink" Target="https://disk.360.yandex.ru/d/AzlTHhb5Q4Th6w" TargetMode="External"/><Relationship Id="rId185" Type="http://schemas.openxmlformats.org/officeDocument/2006/relationships/hyperlink" Target="https://disk.yandex.ru/d/EjkwAVx5vSYCmw" TargetMode="External"/><Relationship Id="rId49" Type="http://schemas.openxmlformats.org/officeDocument/2006/relationships/hyperlink" Target="https://disk.360.yandex.ru/d/cxm0d6r15GcToA" TargetMode="External"/><Relationship Id="rId184" Type="http://schemas.openxmlformats.org/officeDocument/2006/relationships/hyperlink" Target="https://disk.yandex.ru/d/k2XGNc6eqaigtg" TargetMode="External"/><Relationship Id="rId189" Type="http://schemas.openxmlformats.org/officeDocument/2006/relationships/hyperlink" Target="https://disk.360.yandex.ru/d/6htF2D8eSBVHxw" TargetMode="External"/><Relationship Id="rId188" Type="http://schemas.openxmlformats.org/officeDocument/2006/relationships/hyperlink" Target="https://disk.yandex.ru/d/lkN2sM8qaUUu9w" TargetMode="External"/><Relationship Id="rId31" Type="http://schemas.openxmlformats.org/officeDocument/2006/relationships/hyperlink" Target="https://disk.360.yandex.ru/d/OlZXivjA_EZsTg" TargetMode="External"/><Relationship Id="rId30" Type="http://schemas.openxmlformats.org/officeDocument/2006/relationships/hyperlink" Target="https://disk.360.yandex.ru/d/EWhjyn8MAwYr_A" TargetMode="External"/><Relationship Id="rId33" Type="http://schemas.openxmlformats.org/officeDocument/2006/relationships/hyperlink" Target="https://disk.360.yandex.ru/d/ZiyzKCphNbXMXw" TargetMode="External"/><Relationship Id="rId183" Type="http://schemas.openxmlformats.org/officeDocument/2006/relationships/hyperlink" Target="https://disk.360.yandex.ru/d/SYZIUPCkxPj1qQ" TargetMode="External"/><Relationship Id="rId32" Type="http://schemas.openxmlformats.org/officeDocument/2006/relationships/hyperlink" Target="https://disk.360.yandex.ru/d/BmPhBcNbSxIdQA" TargetMode="External"/><Relationship Id="rId182" Type="http://schemas.openxmlformats.org/officeDocument/2006/relationships/hyperlink" Target="https://disk.yandex.ru/d/AUcaGxCQEW3ngw" TargetMode="External"/><Relationship Id="rId35" Type="http://schemas.openxmlformats.org/officeDocument/2006/relationships/hyperlink" Target="https://disk.360.yandex.ru/d/-EqJRzsjrY37Nw" TargetMode="External"/><Relationship Id="rId181" Type="http://schemas.openxmlformats.org/officeDocument/2006/relationships/hyperlink" Target="https://disk.360.yandex.ru/d/Dld0mmI922JpOA" TargetMode="External"/><Relationship Id="rId34" Type="http://schemas.openxmlformats.org/officeDocument/2006/relationships/hyperlink" Target="https://disk.360.yandex.ru/d/5g112kVBJQKoYw" TargetMode="External"/><Relationship Id="rId180" Type="http://schemas.openxmlformats.org/officeDocument/2006/relationships/hyperlink" Target="https://disk.360.yandex.ru/d/odBHMz80xptZsQ" TargetMode="External"/><Relationship Id="rId37" Type="http://schemas.openxmlformats.org/officeDocument/2006/relationships/hyperlink" Target="https://disk.360.yandex.ru/d/QatZ16tHdtWiGg" TargetMode="External"/><Relationship Id="rId176" Type="http://schemas.openxmlformats.org/officeDocument/2006/relationships/hyperlink" Target="https://disk.yandex.ru/d/1tjAONTzBY7byA" TargetMode="External"/><Relationship Id="rId36" Type="http://schemas.openxmlformats.org/officeDocument/2006/relationships/hyperlink" Target="https://disk.360.yandex.ru/d/SBHy9lsACJyq7w" TargetMode="External"/><Relationship Id="rId175" Type="http://schemas.openxmlformats.org/officeDocument/2006/relationships/hyperlink" Target="https://disk.yandex.ru/d/QQmw3nOrn0JTtA" TargetMode="External"/><Relationship Id="rId39" Type="http://schemas.openxmlformats.org/officeDocument/2006/relationships/hyperlink" Target="https://disk.360.yandex.ru/d/aNkgjWozm4jzyw" TargetMode="External"/><Relationship Id="rId174" Type="http://schemas.openxmlformats.org/officeDocument/2006/relationships/hyperlink" Target="https://disk.yandex.ru/d/9fH8hdGqAIPc5w" TargetMode="External"/><Relationship Id="rId38" Type="http://schemas.openxmlformats.org/officeDocument/2006/relationships/hyperlink" Target="http://docbase.fixit.su/media/uploads_docs/541/req_preview_-_2025-11-21T103926.471.pdf" TargetMode="External"/><Relationship Id="rId173" Type="http://schemas.openxmlformats.org/officeDocument/2006/relationships/hyperlink" Target="https://disk.360.yandex.ru/d/N6tX0StSa9HdTw" TargetMode="External"/><Relationship Id="rId179" Type="http://schemas.openxmlformats.org/officeDocument/2006/relationships/hyperlink" Target="https://disk.yandex.ru/d/7M9x6GXLKDP1iw" TargetMode="External"/><Relationship Id="rId178" Type="http://schemas.openxmlformats.org/officeDocument/2006/relationships/hyperlink" Target="https://disk.360.yandex.ru/d/Q959pdbbXkh2dA" TargetMode="External"/><Relationship Id="rId177" Type="http://schemas.openxmlformats.org/officeDocument/2006/relationships/hyperlink" Target="https://disk.360.yandex.ru/d/mZvXdEDhVsmk5Q" TargetMode="External"/><Relationship Id="rId20" Type="http://schemas.openxmlformats.org/officeDocument/2006/relationships/hyperlink" Target="https://disk.360.yandex.ru/d/pTn2eWbKuFE5iQ" TargetMode="External"/><Relationship Id="rId22" Type="http://schemas.openxmlformats.org/officeDocument/2006/relationships/hyperlink" Target="https://disk.360.yandex.ru/d/Le-GANRo8jiu2A" TargetMode="External"/><Relationship Id="rId21" Type="http://schemas.openxmlformats.org/officeDocument/2006/relationships/hyperlink" Target="https://disk.360.yandex.ru/d/CwmlrKGAUoQ2gw" TargetMode="External"/><Relationship Id="rId24" Type="http://schemas.openxmlformats.org/officeDocument/2006/relationships/hyperlink" Target="https://disk.360.yandex.ru/d/vg6twddVp3hmfA" TargetMode="External"/><Relationship Id="rId23" Type="http://schemas.openxmlformats.org/officeDocument/2006/relationships/hyperlink" Target="https://disk.360.yandex.ru/d/YpvaI80vsYl5LA" TargetMode="External"/><Relationship Id="rId26" Type="http://schemas.openxmlformats.org/officeDocument/2006/relationships/hyperlink" Target="https://disk.360.yandex.ru/d/FJ_Uj2QrntjL4A" TargetMode="External"/><Relationship Id="rId25" Type="http://schemas.openxmlformats.org/officeDocument/2006/relationships/hyperlink" Target="https://disk.360.yandex.ru/d/HkMOnb22M5LGmQ" TargetMode="External"/><Relationship Id="rId28" Type="http://schemas.openxmlformats.org/officeDocument/2006/relationships/hyperlink" Target="http://docbase.fixit.su/media/uploads_docs/465/req_preview_-_2025-11-19T193037.696.pdf" TargetMode="External"/><Relationship Id="rId27" Type="http://schemas.openxmlformats.org/officeDocument/2006/relationships/hyperlink" Target="https://disk.360.yandex.ru/d/bJMZcBwgpZA35g" TargetMode="External"/><Relationship Id="rId29" Type="http://schemas.openxmlformats.org/officeDocument/2006/relationships/hyperlink" Target="https://disk.360.yandex.ru/d/YORUUnU4Ox6jAg" TargetMode="External"/><Relationship Id="rId11" Type="http://schemas.openxmlformats.org/officeDocument/2006/relationships/hyperlink" Target="https://disk.360.yandex.ru/d/Gbt0BCNw9GqWOQ" TargetMode="External"/><Relationship Id="rId10" Type="http://schemas.openxmlformats.org/officeDocument/2006/relationships/hyperlink" Target="https://disk.yandex.ru/d/TGqWQmPcpJDBVQ" TargetMode="External"/><Relationship Id="rId13" Type="http://schemas.openxmlformats.org/officeDocument/2006/relationships/hyperlink" Target="https://disk.360.yandex.ru/d/pOzn5hBguCzZUA" TargetMode="External"/><Relationship Id="rId12" Type="http://schemas.openxmlformats.org/officeDocument/2006/relationships/hyperlink" Target="http://docbase.fixit.su/media/uploads_docs/337/req_preview_-_2025-11-18T154509.879.pdf" TargetMode="External"/><Relationship Id="rId15" Type="http://schemas.openxmlformats.org/officeDocument/2006/relationships/hyperlink" Target="https://disk.360.yandex.ru/d/mzbOiA1DNsqrvg" TargetMode="External"/><Relationship Id="rId198" Type="http://schemas.openxmlformats.org/officeDocument/2006/relationships/hyperlink" Target="https://disk.yandex.ru/d/8FI7gGcQrPgcbA" TargetMode="External"/><Relationship Id="rId14" Type="http://schemas.openxmlformats.org/officeDocument/2006/relationships/hyperlink" Target="https://disk.360.yandex.ru/d/LlP0RoeRSEQXfQ" TargetMode="External"/><Relationship Id="rId197" Type="http://schemas.openxmlformats.org/officeDocument/2006/relationships/hyperlink" Target="https://disk.360.yandex.ru/d/A8o6fEGsXZsxKA" TargetMode="External"/><Relationship Id="rId17" Type="http://schemas.openxmlformats.org/officeDocument/2006/relationships/hyperlink" Target="https://disk.360.yandex.ru/d/gvzvXtIj4GXyFg" TargetMode="External"/><Relationship Id="rId196" Type="http://schemas.openxmlformats.org/officeDocument/2006/relationships/hyperlink" Target="https://disk.yandex.ru/d/ex16XuswSlxZnQ" TargetMode="External"/><Relationship Id="rId16" Type="http://schemas.openxmlformats.org/officeDocument/2006/relationships/hyperlink" Target="https://disk.360.yandex.ru/d/hkaq9Wtxa1t__A" TargetMode="External"/><Relationship Id="rId195" Type="http://schemas.openxmlformats.org/officeDocument/2006/relationships/hyperlink" Target="https://disk.360.yandex.ru/d/TOkBZtQjzJ-51g" TargetMode="External"/><Relationship Id="rId19" Type="http://schemas.openxmlformats.org/officeDocument/2006/relationships/hyperlink" Target="https://disk.360.yandex.ru/d/vGsr2hGB9TGhnA" TargetMode="External"/><Relationship Id="rId18" Type="http://schemas.openxmlformats.org/officeDocument/2006/relationships/hyperlink" Target="https://disk.360.yandex.ru/d/JFl59I2NV0ATyg" TargetMode="External"/><Relationship Id="rId199" Type="http://schemas.openxmlformats.org/officeDocument/2006/relationships/hyperlink" Target="https://disk.360.yandex.ru/d/4dZ_dmY8huil9Q" TargetMode="External"/><Relationship Id="rId84" Type="http://schemas.openxmlformats.org/officeDocument/2006/relationships/hyperlink" Target="https://disk.360.yandex.ru/d/ocJ8-808haryuQ" TargetMode="External"/><Relationship Id="rId83" Type="http://schemas.openxmlformats.org/officeDocument/2006/relationships/hyperlink" Target="https://disk.360.yandex.ru/d/RekmlrVQ1zmIlg" TargetMode="External"/><Relationship Id="rId86" Type="http://schemas.openxmlformats.org/officeDocument/2006/relationships/hyperlink" Target="https://disk.360.yandex.ru/d/vSZKX5gOqhB1wg" TargetMode="External"/><Relationship Id="rId85" Type="http://schemas.openxmlformats.org/officeDocument/2006/relationships/hyperlink" Target="https://disk.360.yandex.ru/d/usG2fwlDAyXzgg" TargetMode="External"/><Relationship Id="rId88" Type="http://schemas.openxmlformats.org/officeDocument/2006/relationships/hyperlink" Target="https://disk.360.yandex.ru/d/po64bA9Xe9JMQQ" TargetMode="External"/><Relationship Id="rId150" Type="http://schemas.openxmlformats.org/officeDocument/2006/relationships/hyperlink" Target="https://disk.360.yandex.ru/d/YccuxE7SDecjEQ" TargetMode="External"/><Relationship Id="rId87" Type="http://schemas.openxmlformats.org/officeDocument/2006/relationships/hyperlink" Target="https://disk.360.yandex.ru/d/96MWvHB-laBr4w" TargetMode="External"/><Relationship Id="rId89" Type="http://schemas.openxmlformats.org/officeDocument/2006/relationships/hyperlink" Target="https://disk.360.yandex.ru/d/LEQS46Vxwem-2w" TargetMode="External"/><Relationship Id="rId80" Type="http://schemas.openxmlformats.org/officeDocument/2006/relationships/hyperlink" Target="https://disk.360.yandex.ru/d/Qk80H-srSrAHow" TargetMode="External"/><Relationship Id="rId82" Type="http://schemas.openxmlformats.org/officeDocument/2006/relationships/hyperlink" Target="https://disk.360.yandex.ru/d/FYT12WT9tt45eA" TargetMode="External"/><Relationship Id="rId81" Type="http://schemas.openxmlformats.org/officeDocument/2006/relationships/hyperlink" Target="https://disk.360.yandex.ru/d/MI3mIAcXeunDyg" TargetMode="External"/><Relationship Id="rId1" Type="http://schemas.openxmlformats.org/officeDocument/2006/relationships/hyperlink" Target="https://disk.360.yandex.ru/d/_O8-VjEI1yeHUw" TargetMode="External"/><Relationship Id="rId2" Type="http://schemas.openxmlformats.org/officeDocument/2006/relationships/hyperlink" Target="https://disk.yandex.ru/d/bN13u8E5AtE0BQ" TargetMode="External"/><Relationship Id="rId3" Type="http://schemas.openxmlformats.org/officeDocument/2006/relationships/hyperlink" Target="https://disk.yandex.ru/d/0QaB3dvr_awm7g" TargetMode="External"/><Relationship Id="rId149" Type="http://schemas.openxmlformats.org/officeDocument/2006/relationships/hyperlink" Target="https://disk.360.yandex.ru/d/I2ORoot5bwRfMg" TargetMode="External"/><Relationship Id="rId4" Type="http://schemas.openxmlformats.org/officeDocument/2006/relationships/hyperlink" Target="https://disk.yandex.ru/d/9EgHU13zopmsnw" TargetMode="External"/><Relationship Id="rId148" Type="http://schemas.openxmlformats.org/officeDocument/2006/relationships/hyperlink" Target="https://disk.360.yandex.ru/d/ThajB-eWnIiZrA" TargetMode="External"/><Relationship Id="rId9" Type="http://schemas.openxmlformats.org/officeDocument/2006/relationships/hyperlink" Target="https://disk.360.yandex.ru/d/iwCz6iGurYhZNA" TargetMode="External"/><Relationship Id="rId143" Type="http://schemas.openxmlformats.org/officeDocument/2006/relationships/hyperlink" Target="https://disk.360.yandex.ru/d/CQbZO95o1251ng" TargetMode="External"/><Relationship Id="rId142" Type="http://schemas.openxmlformats.org/officeDocument/2006/relationships/hyperlink" Target="https://disk.yandex.ru/d/piJJdSlUKbgSLA" TargetMode="External"/><Relationship Id="rId141" Type="http://schemas.openxmlformats.org/officeDocument/2006/relationships/hyperlink" Target="https://disk.360.yandex.ru/d/uYykJNC_ipQ4dA" TargetMode="External"/><Relationship Id="rId140" Type="http://schemas.openxmlformats.org/officeDocument/2006/relationships/hyperlink" Target="https://disk.yandex.ru/d/plbiZJxRBv7FHA" TargetMode="External"/><Relationship Id="rId5" Type="http://schemas.openxmlformats.org/officeDocument/2006/relationships/hyperlink" Target="https://disk.360.yandex.ru/d/5XTu_zbsz4NZOg" TargetMode="External"/><Relationship Id="rId147" Type="http://schemas.openxmlformats.org/officeDocument/2006/relationships/hyperlink" Target="https://disk.360.yandex.ru/d/g5wSGCjqxEbnmQ" TargetMode="External"/><Relationship Id="rId6" Type="http://schemas.openxmlformats.org/officeDocument/2006/relationships/hyperlink" Target="https://disk.360.yandex.ru/d/j9WD1Kg3s3UMFw" TargetMode="External"/><Relationship Id="rId146" Type="http://schemas.openxmlformats.org/officeDocument/2006/relationships/hyperlink" Target="https://disk.yandex.ru/d/M9OvccV-Miw3Rw" TargetMode="External"/><Relationship Id="rId7" Type="http://schemas.openxmlformats.org/officeDocument/2006/relationships/hyperlink" Target="https://disk.360.yandex.ru/d/-xoIiUJdpnhsYA" TargetMode="External"/><Relationship Id="rId145" Type="http://schemas.openxmlformats.org/officeDocument/2006/relationships/hyperlink" Target="https://disk.360.yandex.ru/d/9aa_e94kVtLz3g" TargetMode="External"/><Relationship Id="rId8" Type="http://schemas.openxmlformats.org/officeDocument/2006/relationships/hyperlink" Target="https://disk.yandex.ru/d/v5Jqw5CFqxTrJw" TargetMode="External"/><Relationship Id="rId144" Type="http://schemas.openxmlformats.org/officeDocument/2006/relationships/hyperlink" Target="https://disk.yandex.ru/d/zaQ2CNGmca9NzA" TargetMode="External"/><Relationship Id="rId73" Type="http://schemas.openxmlformats.org/officeDocument/2006/relationships/hyperlink" Target="https://disk.360.yandex.ru/d/bpi0DZnVhxVxQQ" TargetMode="External"/><Relationship Id="rId72" Type="http://schemas.openxmlformats.org/officeDocument/2006/relationships/hyperlink" Target="https://disk.360.yandex.ru/d/wHrCoNVml-0PAQ" TargetMode="External"/><Relationship Id="rId75" Type="http://schemas.openxmlformats.org/officeDocument/2006/relationships/hyperlink" Target="https://disk.360.yandex.ru/d/WaZu3rjVUkK0ew" TargetMode="External"/><Relationship Id="rId74" Type="http://schemas.openxmlformats.org/officeDocument/2006/relationships/hyperlink" Target="https://disk.360.yandex.ru/d/AlKElUnCk-xMtg" TargetMode="External"/><Relationship Id="rId77" Type="http://schemas.openxmlformats.org/officeDocument/2006/relationships/hyperlink" Target="https://disk.360.yandex.ru/d/CntNa6hac6yXtw" TargetMode="External"/><Relationship Id="rId76" Type="http://schemas.openxmlformats.org/officeDocument/2006/relationships/hyperlink" Target="https://disk.360.yandex.ru/d/KxQYizuIqCi1OA" TargetMode="External"/><Relationship Id="rId79" Type="http://schemas.openxmlformats.org/officeDocument/2006/relationships/hyperlink" Target="https://disk.360.yandex.ru/d/a_6R9ScKKoeejw" TargetMode="External"/><Relationship Id="rId78" Type="http://schemas.openxmlformats.org/officeDocument/2006/relationships/hyperlink" Target="https://disk.360.yandex.ru/d/J6Nrsx5HkG4dqg" TargetMode="External"/><Relationship Id="rId71" Type="http://schemas.openxmlformats.org/officeDocument/2006/relationships/hyperlink" Target="https://disk.360.yandex.ru/d/X7iFvChjUoMBBQ" TargetMode="External"/><Relationship Id="rId70" Type="http://schemas.openxmlformats.org/officeDocument/2006/relationships/hyperlink" Target="https://disk.yandex.ru/d/PlI0zieB12CVWg" TargetMode="External"/><Relationship Id="rId139" Type="http://schemas.openxmlformats.org/officeDocument/2006/relationships/hyperlink" Target="https://disk.360.yandex.ru/d/P8__6N51EePbTw" TargetMode="External"/><Relationship Id="rId138" Type="http://schemas.openxmlformats.org/officeDocument/2006/relationships/hyperlink" Target="https://disk.yandex.ru/d/RBupZvTIjOCE-A" TargetMode="External"/><Relationship Id="rId137" Type="http://schemas.openxmlformats.org/officeDocument/2006/relationships/hyperlink" Target="https://disk.360.yandex.ru/d/CnzYtF3YWsFTQg" TargetMode="External"/><Relationship Id="rId132" Type="http://schemas.openxmlformats.org/officeDocument/2006/relationships/hyperlink" Target="https://disk.360.yandex.ru/d/hR_YiDIqO3uZDw" TargetMode="External"/><Relationship Id="rId131" Type="http://schemas.openxmlformats.org/officeDocument/2006/relationships/hyperlink" Target="https://disk.360.yandex.ru/d/JXIbcElazDWe-A" TargetMode="External"/><Relationship Id="rId130" Type="http://schemas.openxmlformats.org/officeDocument/2006/relationships/hyperlink" Target="https://disk.yandex.ru/d/z1YWgBk_QRyE-A" TargetMode="External"/><Relationship Id="rId136" Type="http://schemas.openxmlformats.org/officeDocument/2006/relationships/hyperlink" Target="https://disk.360.yandex.ru/d/VxsjIHfVR1w3Pg" TargetMode="External"/><Relationship Id="rId135" Type="http://schemas.openxmlformats.org/officeDocument/2006/relationships/hyperlink" Target="https://disk.360.yandex.ru/d/uJMJo7-TaVj0aw" TargetMode="External"/><Relationship Id="rId134" Type="http://schemas.openxmlformats.org/officeDocument/2006/relationships/hyperlink" Target="https://disk.360.yandex.ru/d/kymuPjYekK9gNg" TargetMode="External"/><Relationship Id="rId133" Type="http://schemas.openxmlformats.org/officeDocument/2006/relationships/hyperlink" Target="https://disk.360.yandex.ru/d/Z4cV4dHeJ646ng" TargetMode="External"/><Relationship Id="rId62" Type="http://schemas.openxmlformats.org/officeDocument/2006/relationships/hyperlink" Target="https://disk.360.yandex.ru/d/BQiOX2gPkf4Apg" TargetMode="External"/><Relationship Id="rId61" Type="http://schemas.openxmlformats.org/officeDocument/2006/relationships/hyperlink" Target="https://disk.360.yandex.ru/d/JZwVLWb1zsHMbg" TargetMode="External"/><Relationship Id="rId64" Type="http://schemas.openxmlformats.org/officeDocument/2006/relationships/hyperlink" Target="https://disk.360.yandex.ru/d/IIZeYorxyyK0_Q" TargetMode="External"/><Relationship Id="rId63" Type="http://schemas.openxmlformats.org/officeDocument/2006/relationships/hyperlink" Target="https://disk.360.yandex.ru/d/3UxW75kzd_J-Tw" TargetMode="External"/><Relationship Id="rId66" Type="http://schemas.openxmlformats.org/officeDocument/2006/relationships/hyperlink" Target="https://disk.yandex.ru/d/lK79AyD7TDUznw" TargetMode="External"/><Relationship Id="rId172" Type="http://schemas.openxmlformats.org/officeDocument/2006/relationships/hyperlink" Target="https://disk.yandex.ru/d/MqSNPDJY8Y6ppQ" TargetMode="External"/><Relationship Id="rId65" Type="http://schemas.openxmlformats.org/officeDocument/2006/relationships/hyperlink" Target="https://disk.360.yandex.ru/d/GS2Es6iw7kU0yw" TargetMode="External"/><Relationship Id="rId171" Type="http://schemas.openxmlformats.org/officeDocument/2006/relationships/hyperlink" Target="https://disk.yandex.ru/d/Ep51HSs9DYwOGw" TargetMode="External"/><Relationship Id="rId68" Type="http://schemas.openxmlformats.org/officeDocument/2006/relationships/hyperlink" Target="https://disk.yandex.ru/d/K9HQDYXgV9uiVQ" TargetMode="External"/><Relationship Id="rId170" Type="http://schemas.openxmlformats.org/officeDocument/2006/relationships/hyperlink" Target="https://disk.yandex.ru/d/vzYyPBZ69ERKng" TargetMode="External"/><Relationship Id="rId67" Type="http://schemas.openxmlformats.org/officeDocument/2006/relationships/hyperlink" Target="https://disk.360.yandex.ru/d/_lWGYFOo1DKLmA" TargetMode="External"/><Relationship Id="rId60" Type="http://schemas.openxmlformats.org/officeDocument/2006/relationships/hyperlink" Target="https://disk.360.yandex.ru/d/dSsirn0f8or5mA" TargetMode="External"/><Relationship Id="rId165" Type="http://schemas.openxmlformats.org/officeDocument/2006/relationships/hyperlink" Target="https://disk.360.yandex.ru/d/Yh0m_P6pwOVEBg" TargetMode="External"/><Relationship Id="rId69" Type="http://schemas.openxmlformats.org/officeDocument/2006/relationships/hyperlink" Target="https://disk.360.yandex.ru/d/9jmwoU2-G9Xjtw" TargetMode="External"/><Relationship Id="rId164" Type="http://schemas.openxmlformats.org/officeDocument/2006/relationships/hyperlink" Target="https://disk.yandex.ru/d/SWGcWH9sxoxOaw" TargetMode="External"/><Relationship Id="rId163" Type="http://schemas.openxmlformats.org/officeDocument/2006/relationships/hyperlink" Target="https://disk.360.yandex.ru/d/hQn6ICeu7UZz-g" TargetMode="External"/><Relationship Id="rId162" Type="http://schemas.openxmlformats.org/officeDocument/2006/relationships/hyperlink" Target="https://disk.yandex.ru/d/PBHiJEbJNgqi7A" TargetMode="External"/><Relationship Id="rId169" Type="http://schemas.openxmlformats.org/officeDocument/2006/relationships/hyperlink" Target="https://disk.360.yandex.ru/d/yE8lkZk6y1-_rA" TargetMode="External"/><Relationship Id="rId168" Type="http://schemas.openxmlformats.org/officeDocument/2006/relationships/hyperlink" Target="https://disk.yandex.ru/d/zBV_CvH4eeTP4g" TargetMode="External"/><Relationship Id="rId167" Type="http://schemas.openxmlformats.org/officeDocument/2006/relationships/hyperlink" Target="https://disk.360.yandex.ru/d/8K1GuNT0lZJt0w" TargetMode="External"/><Relationship Id="rId166" Type="http://schemas.openxmlformats.org/officeDocument/2006/relationships/hyperlink" Target="https://disk.yandex.ru/d/4Xi-8UzM9qhZNA" TargetMode="External"/><Relationship Id="rId51" Type="http://schemas.openxmlformats.org/officeDocument/2006/relationships/hyperlink" Target="https://disk.360.yandex.ru/d/chrGmcnsMRLxqg" TargetMode="External"/><Relationship Id="rId50" Type="http://schemas.openxmlformats.org/officeDocument/2006/relationships/hyperlink" Target="https://disk.yandex.ru/d/iq_8WPe3hgHX_g" TargetMode="External"/><Relationship Id="rId53" Type="http://schemas.openxmlformats.org/officeDocument/2006/relationships/hyperlink" Target="https://disk.360.yandex.ru/d/yMr_hN0ZmztyaA" TargetMode="External"/><Relationship Id="rId52" Type="http://schemas.openxmlformats.org/officeDocument/2006/relationships/hyperlink" Target="https://disk.360.yandex.ru/d/bsS8a4rremBoFA" TargetMode="External"/><Relationship Id="rId55" Type="http://schemas.openxmlformats.org/officeDocument/2006/relationships/hyperlink" Target="https://disk.360.yandex.ru/d/iMQtjjgsjkpzrQ" TargetMode="External"/><Relationship Id="rId161" Type="http://schemas.openxmlformats.org/officeDocument/2006/relationships/hyperlink" Target="https://disk.360.yandex.ru/d/rSjb52qDZmUo-Q" TargetMode="External"/><Relationship Id="rId54" Type="http://schemas.openxmlformats.org/officeDocument/2006/relationships/hyperlink" Target="https://disk.yandex.ru/d/_qO9djWNFDomDg" TargetMode="External"/><Relationship Id="rId160" Type="http://schemas.openxmlformats.org/officeDocument/2006/relationships/hyperlink" Target="https://disk.yandex.ru/d/-N5D8DAyXO0ufw" TargetMode="External"/><Relationship Id="rId57" Type="http://schemas.openxmlformats.org/officeDocument/2006/relationships/hyperlink" Target="https://disk.360.yandex.ru/d/kB1exkeGRiuOwA" TargetMode="External"/><Relationship Id="rId56" Type="http://schemas.openxmlformats.org/officeDocument/2006/relationships/hyperlink" Target="http://docbase.fixit.su/media/uploads_docs/540/req_preview_-_2025-11-22T143630.505.pdf" TargetMode="External"/><Relationship Id="rId159" Type="http://schemas.openxmlformats.org/officeDocument/2006/relationships/hyperlink" Target="https://disk.360.yandex.ru/d/PviJoAv4XZewrQ" TargetMode="External"/><Relationship Id="rId59" Type="http://schemas.openxmlformats.org/officeDocument/2006/relationships/hyperlink" Target="https://disk.360.yandex.ru/d/x3Idu07o0ScwhA" TargetMode="External"/><Relationship Id="rId154" Type="http://schemas.openxmlformats.org/officeDocument/2006/relationships/hyperlink" Target="https://disk.360.yandex.ru/d/lx5Px3WHOIAiGQ" TargetMode="External"/><Relationship Id="rId58" Type="http://schemas.openxmlformats.org/officeDocument/2006/relationships/hyperlink" Target="https://disk.yandex.ru/d/xSi6k76FcvzOkw" TargetMode="External"/><Relationship Id="rId153" Type="http://schemas.openxmlformats.org/officeDocument/2006/relationships/hyperlink" Target="https://disk.360.yandex.ru/d/Ya4DmzH5C705CQ" TargetMode="External"/><Relationship Id="rId152" Type="http://schemas.openxmlformats.org/officeDocument/2006/relationships/hyperlink" Target="https://disk.yandex.ru/d/vqkkmSjSgUcmyA" TargetMode="External"/><Relationship Id="rId151" Type="http://schemas.openxmlformats.org/officeDocument/2006/relationships/hyperlink" Target="https://disk.360.yandex.ru/d/lUedXwfi3mWcNg" TargetMode="External"/><Relationship Id="rId158" Type="http://schemas.openxmlformats.org/officeDocument/2006/relationships/hyperlink" Target="https://disk.yandex.ru/d/6oFoKt0JsYBuHA" TargetMode="External"/><Relationship Id="rId157" Type="http://schemas.openxmlformats.org/officeDocument/2006/relationships/hyperlink" Target="https://disk.360.yandex.ru/d/yS9z9aFD8OZWtA" TargetMode="External"/><Relationship Id="rId156" Type="http://schemas.openxmlformats.org/officeDocument/2006/relationships/hyperlink" Target="https://disk.360.yandex.ru/d/pLvyqNcTCQiiew" TargetMode="External"/><Relationship Id="rId155" Type="http://schemas.openxmlformats.org/officeDocument/2006/relationships/hyperlink" Target="https://disk.360.yandex.ru/d/7Wnp76-ezneafA" TargetMode="External"/><Relationship Id="rId107" Type="http://schemas.openxmlformats.org/officeDocument/2006/relationships/hyperlink" Target="https://disk.360.yandex.ru/d/Ps7TMdWNF9BBsA" TargetMode="External"/><Relationship Id="rId228" Type="http://schemas.openxmlformats.org/officeDocument/2006/relationships/hyperlink" Target="https://disk.360.yandex.ru/d/wEUigeKA6ZfiZw" TargetMode="External"/><Relationship Id="rId106" Type="http://schemas.openxmlformats.org/officeDocument/2006/relationships/hyperlink" Target="https://disk.yandex.ru/d/qreVb661uM4jJQ" TargetMode="External"/><Relationship Id="rId227" Type="http://schemas.openxmlformats.org/officeDocument/2006/relationships/hyperlink" Target="https://disk.360.yandex.ru/d/7wUxriGOnhu5pQ" TargetMode="External"/><Relationship Id="rId105" Type="http://schemas.openxmlformats.org/officeDocument/2006/relationships/hyperlink" Target="https://disk.360.yandex.ru/d/fOKu-OFmtb44Dg" TargetMode="External"/><Relationship Id="rId226" Type="http://schemas.openxmlformats.org/officeDocument/2006/relationships/hyperlink" Target="https://disk.yandex.ru/d/aNOv8dgj5WIMpQ" TargetMode="External"/><Relationship Id="rId104" Type="http://schemas.openxmlformats.org/officeDocument/2006/relationships/hyperlink" Target="https://disk.yandex.ru/d/DzMKGC6LVCNYxA" TargetMode="External"/><Relationship Id="rId225" Type="http://schemas.openxmlformats.org/officeDocument/2006/relationships/hyperlink" Target="https://disk.360.yandex.ru/d/VmN0XXoGfy0NLg" TargetMode="External"/><Relationship Id="rId109" Type="http://schemas.openxmlformats.org/officeDocument/2006/relationships/hyperlink" Target="https://disk.360.yandex.ru/d/aetZvIGmvMTT0w" TargetMode="External"/><Relationship Id="rId108" Type="http://schemas.openxmlformats.org/officeDocument/2006/relationships/hyperlink" Target="https://disk.yandex.ru/d/3rQUXoTqbPnjAw" TargetMode="External"/><Relationship Id="rId229" Type="http://schemas.openxmlformats.org/officeDocument/2006/relationships/hyperlink" Target="https://disk.360.yandex.ru/d/yqajyByqwvWQWQ" TargetMode="External"/><Relationship Id="rId220" Type="http://schemas.openxmlformats.org/officeDocument/2006/relationships/hyperlink" Target="https://disk.yandex.ru/d/cQkegPX3WvVusg" TargetMode="External"/><Relationship Id="rId103" Type="http://schemas.openxmlformats.org/officeDocument/2006/relationships/hyperlink" Target="https://disk.360.yandex.ru/d/4lzLr92e5rbvmg" TargetMode="External"/><Relationship Id="rId224" Type="http://schemas.openxmlformats.org/officeDocument/2006/relationships/hyperlink" Target="https://disk.360.yandex.ru/d/DC3yyE1x-htiqg" TargetMode="External"/><Relationship Id="rId102" Type="http://schemas.openxmlformats.org/officeDocument/2006/relationships/hyperlink" Target="https://disk.yandex.ru/d/VP85tip3RLqwdw" TargetMode="External"/><Relationship Id="rId223" Type="http://schemas.openxmlformats.org/officeDocument/2006/relationships/hyperlink" Target="https://disk.360.yandex.ru/d/9THtmjr-h50E4w" TargetMode="External"/><Relationship Id="rId101" Type="http://schemas.openxmlformats.org/officeDocument/2006/relationships/hyperlink" Target="https://disk.360.yandex.ru/d/NnDlZSeWlkMAXg" TargetMode="External"/><Relationship Id="rId222" Type="http://schemas.openxmlformats.org/officeDocument/2006/relationships/hyperlink" Target="https://disk.360.yandex.ru/d/4YZLJ0MhsEjAgA" TargetMode="External"/><Relationship Id="rId100" Type="http://schemas.openxmlformats.org/officeDocument/2006/relationships/hyperlink" Target="https://disk.yandex.ru/d/bMvJpmN7yeKI2w" TargetMode="External"/><Relationship Id="rId221" Type="http://schemas.openxmlformats.org/officeDocument/2006/relationships/hyperlink" Target="https://disk.360.yandex.ru/d/l6Nsz2aukIkPoA" TargetMode="External"/><Relationship Id="rId217" Type="http://schemas.openxmlformats.org/officeDocument/2006/relationships/hyperlink" Target="https://disk.360.yandex.ru/d/0TTfTduuL3POEw" TargetMode="External"/><Relationship Id="rId216" Type="http://schemas.openxmlformats.org/officeDocument/2006/relationships/hyperlink" Target="https://disk.yandex.ru/d/MbNWtEpHiqJTOQ" TargetMode="External"/><Relationship Id="rId215" Type="http://schemas.openxmlformats.org/officeDocument/2006/relationships/hyperlink" Target="https://disk.360.yandex.ru/d/q-xw9wrOKwOpnA" TargetMode="External"/><Relationship Id="rId214" Type="http://schemas.openxmlformats.org/officeDocument/2006/relationships/hyperlink" Target="https://disk.yandex.ru/d/7bFiHcwCyDvEPA" TargetMode="External"/><Relationship Id="rId219" Type="http://schemas.openxmlformats.org/officeDocument/2006/relationships/hyperlink" Target="https://disk.360.yandex.ru/d/Emhkl-xQMqafJA" TargetMode="External"/><Relationship Id="rId218" Type="http://schemas.openxmlformats.org/officeDocument/2006/relationships/hyperlink" Target="https://disk.360.yandex.ru/d/zBV_CvH4eeTP4g" TargetMode="External"/><Relationship Id="rId213" Type="http://schemas.openxmlformats.org/officeDocument/2006/relationships/hyperlink" Target="https://disk.360.yandex.ru/d/ukUlnFzHntrjew" TargetMode="External"/><Relationship Id="rId212" Type="http://schemas.openxmlformats.org/officeDocument/2006/relationships/hyperlink" Target="https://disk.yandex.ru/d/eWqvFwB-5zoR1A" TargetMode="External"/><Relationship Id="rId211" Type="http://schemas.openxmlformats.org/officeDocument/2006/relationships/hyperlink" Target="https://disk.360.yandex.ru/d/zN8j41tlj-wlbw" TargetMode="External"/><Relationship Id="rId210" Type="http://schemas.openxmlformats.org/officeDocument/2006/relationships/hyperlink" Target="http://docbase.fixit.su/media/uploads_docs/336/req_preview_-_2025-11-24T151348.405.pdf" TargetMode="External"/><Relationship Id="rId129" Type="http://schemas.openxmlformats.org/officeDocument/2006/relationships/hyperlink" Target="https://disk.360.yandex.ru/d/1Xpu0Au00iiosw" TargetMode="External"/><Relationship Id="rId128" Type="http://schemas.openxmlformats.org/officeDocument/2006/relationships/hyperlink" Target="https://disk.yandex.ru/d/L5z-4Y2TuwzYgg" TargetMode="External"/><Relationship Id="rId127" Type="http://schemas.openxmlformats.org/officeDocument/2006/relationships/hyperlink" Target="https://disk.360.yandex.ru/d/KNvhPWtqjS2DIg" TargetMode="External"/><Relationship Id="rId126" Type="http://schemas.openxmlformats.org/officeDocument/2006/relationships/hyperlink" Target="https://disk.360.yandex.ru/d/hcBVoNKDrjJ54A" TargetMode="External"/><Relationship Id="rId247" Type="http://schemas.openxmlformats.org/officeDocument/2006/relationships/drawing" Target="../drawings/drawing2.xml"/><Relationship Id="rId121" Type="http://schemas.openxmlformats.org/officeDocument/2006/relationships/hyperlink" Target="https://disk.360.yandex.ru/d/1Fps5ZrWs1jNRA" TargetMode="External"/><Relationship Id="rId242" Type="http://schemas.openxmlformats.org/officeDocument/2006/relationships/hyperlink" Target="https://disk.360.yandex.ru/d/PPP-DXnr_sQgGg" TargetMode="External"/><Relationship Id="rId120" Type="http://schemas.openxmlformats.org/officeDocument/2006/relationships/hyperlink" Target="https://disk.360.yandex.ru/d/Ae6vI_PtV5jKjA" TargetMode="External"/><Relationship Id="rId241" Type="http://schemas.openxmlformats.org/officeDocument/2006/relationships/hyperlink" Target="https://disk.360.yandex.ru/d/hFp2H0qMzoVzTw" TargetMode="External"/><Relationship Id="rId240" Type="http://schemas.openxmlformats.org/officeDocument/2006/relationships/hyperlink" Target="https://disk.yandex.ru/d/jTuvNsLZDrUNHQ" TargetMode="External"/><Relationship Id="rId125" Type="http://schemas.openxmlformats.org/officeDocument/2006/relationships/hyperlink" Target="https://disk.360.yandex.ru/d/PdvfGn8RkKvfSw" TargetMode="External"/><Relationship Id="rId246" Type="http://schemas.openxmlformats.org/officeDocument/2006/relationships/hyperlink" Target="https://disk.360.yandex.ru/d/wHrCoNVml-0PAQ" TargetMode="External"/><Relationship Id="rId124" Type="http://schemas.openxmlformats.org/officeDocument/2006/relationships/hyperlink" Target="https://disk.360.yandex.ru/d/q9H4hFvZZ1AUxQ" TargetMode="External"/><Relationship Id="rId245" Type="http://schemas.openxmlformats.org/officeDocument/2006/relationships/hyperlink" Target="https://disk.360.yandex.ru/d/P6ZmIDJmmqe22Q" TargetMode="External"/><Relationship Id="rId123" Type="http://schemas.openxmlformats.org/officeDocument/2006/relationships/hyperlink" Target="https://disk.360.yandex.ru/d/PPxKL1yzQK_oUw" TargetMode="External"/><Relationship Id="rId244" Type="http://schemas.openxmlformats.org/officeDocument/2006/relationships/hyperlink" Target="https://disk.yandex.ru/d/CCBNxr1kxK1_ZA" TargetMode="External"/><Relationship Id="rId122" Type="http://schemas.openxmlformats.org/officeDocument/2006/relationships/hyperlink" Target="https://disk.yandex.ru/d/TL6Cfo361YmLmw" TargetMode="External"/><Relationship Id="rId243" Type="http://schemas.openxmlformats.org/officeDocument/2006/relationships/hyperlink" Target="https://disk.360.yandex.ru/d/XzgWPh2Y15m5NQ" TargetMode="External"/><Relationship Id="rId95" Type="http://schemas.openxmlformats.org/officeDocument/2006/relationships/hyperlink" Target="https://disk.360.yandex.ru/d/6nABG7ql0dVUVw" TargetMode="External"/><Relationship Id="rId94" Type="http://schemas.openxmlformats.org/officeDocument/2006/relationships/hyperlink" Target="https://disk.yandex.ru/d/Fq3NupujgXwRUA" TargetMode="External"/><Relationship Id="rId97" Type="http://schemas.openxmlformats.org/officeDocument/2006/relationships/hyperlink" Target="https://disk.360.yandex.ru/d/I1lnMn-ZakgQ2w" TargetMode="External"/><Relationship Id="rId96" Type="http://schemas.openxmlformats.org/officeDocument/2006/relationships/hyperlink" Target="https://disk.yandex.ru/d/HSYOpAthzIqUYA" TargetMode="External"/><Relationship Id="rId99" Type="http://schemas.openxmlformats.org/officeDocument/2006/relationships/hyperlink" Target="https://disk.360.yandex.ru/d/ys4yeiFXp911tA" TargetMode="External"/><Relationship Id="rId98" Type="http://schemas.openxmlformats.org/officeDocument/2006/relationships/hyperlink" Target="https://disk.yandex.ru/d/Qysh9FS0bede0w" TargetMode="External"/><Relationship Id="rId91" Type="http://schemas.openxmlformats.org/officeDocument/2006/relationships/hyperlink" Target="https://disk.360.yandex.ru/d/3AC65WsnW64oPA" TargetMode="External"/><Relationship Id="rId90" Type="http://schemas.openxmlformats.org/officeDocument/2006/relationships/hyperlink" Target="https://disk.yandex.ru/d/JeOnsguKyvVbjg" TargetMode="External"/><Relationship Id="rId93" Type="http://schemas.openxmlformats.org/officeDocument/2006/relationships/hyperlink" Target="https://disk.360.yandex.ru/d/8HBL_uJwED6NKQ" TargetMode="External"/><Relationship Id="rId92" Type="http://schemas.openxmlformats.org/officeDocument/2006/relationships/hyperlink" Target="https://disk.yandex.ru/d/A4IXB3q1QQIkxg" TargetMode="External"/><Relationship Id="rId118" Type="http://schemas.openxmlformats.org/officeDocument/2006/relationships/hyperlink" Target="https://disk.yandex.ru/d/7Qice2GIQ9wSww" TargetMode="External"/><Relationship Id="rId239" Type="http://schemas.openxmlformats.org/officeDocument/2006/relationships/hyperlink" Target="https://disk.360.yandex.ru/d/6fBfXI57LhSXoA" TargetMode="External"/><Relationship Id="rId117" Type="http://schemas.openxmlformats.org/officeDocument/2006/relationships/hyperlink" Target="https://disk.360.yandex.ru/d/UMx6L-s9IFcEKA" TargetMode="External"/><Relationship Id="rId238" Type="http://schemas.openxmlformats.org/officeDocument/2006/relationships/hyperlink" Target="https://disk.360.yandex.ru/d/7aTVoz3YJrqROQ" TargetMode="External"/><Relationship Id="rId116" Type="http://schemas.openxmlformats.org/officeDocument/2006/relationships/hyperlink" Target="https://disk.yandex.ru/d/LlrzHwOIgopmSQ" TargetMode="External"/><Relationship Id="rId237" Type="http://schemas.openxmlformats.org/officeDocument/2006/relationships/hyperlink" Target="https://disk.360.yandex.ru/d/SBgS9pR2jRE4ZA" TargetMode="External"/><Relationship Id="rId115" Type="http://schemas.openxmlformats.org/officeDocument/2006/relationships/hyperlink" Target="https://disk.360.yandex.ru/d/S-uNiXUaBkUeWw" TargetMode="External"/><Relationship Id="rId236" Type="http://schemas.openxmlformats.org/officeDocument/2006/relationships/hyperlink" Target="https://disk.yandex.ru/d/VfA5Pw340eU0Ew" TargetMode="External"/><Relationship Id="rId119" Type="http://schemas.openxmlformats.org/officeDocument/2006/relationships/hyperlink" Target="https://disk.360.yandex.ru/d/POuTCOZskud2yQ" TargetMode="External"/><Relationship Id="rId110" Type="http://schemas.openxmlformats.org/officeDocument/2006/relationships/hyperlink" Target="https://drive.google.com/drive/folders/1oyiGOui-Fj3V1xb3sH2Tzy4bg6qayvH5" TargetMode="External"/><Relationship Id="rId231" Type="http://schemas.openxmlformats.org/officeDocument/2006/relationships/hyperlink" Target="https://disk.360.yandex.ru/d/RdnMMsKi-ygoew" TargetMode="External"/><Relationship Id="rId230" Type="http://schemas.openxmlformats.org/officeDocument/2006/relationships/hyperlink" Target="https://disk.yandex.ru/d/DEFtyTlrC0lU2Q" TargetMode="External"/><Relationship Id="rId114" Type="http://schemas.openxmlformats.org/officeDocument/2006/relationships/hyperlink" Target="https://disk.yandex.ru/d/8lwN1V3MDGt0oQ" TargetMode="External"/><Relationship Id="rId235" Type="http://schemas.openxmlformats.org/officeDocument/2006/relationships/hyperlink" Target="https://disk.360.yandex.ru/d/eNz27qyZcmhs4w" TargetMode="External"/><Relationship Id="rId113" Type="http://schemas.openxmlformats.org/officeDocument/2006/relationships/hyperlink" Target="https://disk.360.yandex.ru/d/Aqa6_Hu8SKbd6A" TargetMode="External"/><Relationship Id="rId234" Type="http://schemas.openxmlformats.org/officeDocument/2006/relationships/hyperlink" Target="https://disk.360.yandex.ru/d/weNWqG6IVcNv8A" TargetMode="External"/><Relationship Id="rId112" Type="http://schemas.openxmlformats.org/officeDocument/2006/relationships/hyperlink" Target="https://disk.yandex.ru/d/8ypgXorcVLF2wA" TargetMode="External"/><Relationship Id="rId233" Type="http://schemas.openxmlformats.org/officeDocument/2006/relationships/hyperlink" Target="https://disk.360.yandex.ru/d/YTg2nAGQQXVc3A" TargetMode="External"/><Relationship Id="rId111" Type="http://schemas.openxmlformats.org/officeDocument/2006/relationships/hyperlink" Target="https://disk.360.yandex.ru/d/3GngX8Ryp61PFQ" TargetMode="External"/><Relationship Id="rId232" Type="http://schemas.openxmlformats.org/officeDocument/2006/relationships/hyperlink" Target="https://disk.360.yandex.ru/d/WVYwL1raO2dihg" TargetMode="External"/><Relationship Id="rId206" Type="http://schemas.openxmlformats.org/officeDocument/2006/relationships/hyperlink" Target="https://disk.360.yandex.ru/d/glR077r2NZbY6w" TargetMode="External"/><Relationship Id="rId205" Type="http://schemas.openxmlformats.org/officeDocument/2006/relationships/hyperlink" Target="https://disk.360.yandex.ru/d/r8drESh45O6STg" TargetMode="External"/><Relationship Id="rId204" Type="http://schemas.openxmlformats.org/officeDocument/2006/relationships/hyperlink" Target="https://disk.360.yandex.ru/d/zynEEMQWYcPKiQ" TargetMode="External"/><Relationship Id="rId203" Type="http://schemas.openxmlformats.org/officeDocument/2006/relationships/hyperlink" Target="https://disk.360.yandex.ru/d/NwyZIrMuFAdEtQ" TargetMode="External"/><Relationship Id="rId209" Type="http://schemas.openxmlformats.org/officeDocument/2006/relationships/hyperlink" Target="https://disk.360.yandex.ru/d/pg1S8eL3AoRJqA" TargetMode="External"/><Relationship Id="rId208" Type="http://schemas.openxmlformats.org/officeDocument/2006/relationships/hyperlink" Target="https://disk.yandex.ru/d/bK9yD_9kZ4ioUw" TargetMode="External"/><Relationship Id="rId207" Type="http://schemas.openxmlformats.org/officeDocument/2006/relationships/hyperlink" Target="https://disk.360.yandex.ru/d/HqVHHbgd3eBDwQ" TargetMode="External"/><Relationship Id="rId202" Type="http://schemas.openxmlformats.org/officeDocument/2006/relationships/hyperlink" Target="https://disk.360.yandex.ru/d/ahY_hszmYfG_pw" TargetMode="External"/><Relationship Id="rId201" Type="http://schemas.openxmlformats.org/officeDocument/2006/relationships/hyperlink" Target="https://disk.360.yandex.ru/d/jixIxKxBd51c1Q" TargetMode="External"/><Relationship Id="rId200" Type="http://schemas.openxmlformats.org/officeDocument/2006/relationships/hyperlink" Target="https://disk.360.yandex.ru/d/vWiknjiB_II1D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13"/>
    <col customWidth="1" min="3" max="3" width="36.75"/>
    <col customWidth="1" min="4" max="4" width="12.25"/>
    <col customWidth="1" min="5" max="5" width="15.13"/>
    <col customWidth="1" min="6" max="6" width="12.13"/>
    <col customWidth="1" min="7" max="7" width="15.75"/>
    <col customWidth="1" min="8" max="8" width="18.0"/>
    <col customWidth="1" min="9" max="9" width="13.5"/>
    <col customWidth="1" min="10" max="10" width="16.63"/>
    <col customWidth="1" min="11" max="11" width="79.75"/>
    <col customWidth="1" min="12" max="12" width="13.25"/>
  </cols>
  <sheetData>
    <row r="1">
      <c r="A1" s="1" t="str">
        <f>IFERROR(__xludf.DUMMYFUNCTION("QUERY( IMPORTRANGE( ""16TqrqLY_pSNx0kBAX6c6JzSLOEmwd7bdLhwPWXEI1vE"", ""Чайхана Реестр выплат!A:R""),""SELECT Col1, Col2, Col4, Col5, Col6, Col7, Col8, Col9, Col10, Col11, Col12, Col16"")"),"Год")</f>
        <v>Год</v>
      </c>
      <c r="B1" s="1" t="str">
        <f>IFERROR(__xludf.DUMMYFUNCTION("""COMPUTED_VALUE"""),"Период выплаты")</f>
        <v>Период выплаты</v>
      </c>
      <c r="C1" s="2" t="str">
        <f>IFERROR(__xludf.DUMMYFUNCTION("""COMPUTED_VALUE"""),"Сотрудник")</f>
        <v>Сотрудник</v>
      </c>
      <c r="D1" s="1" t="str">
        <f>IFERROR(__xludf.DUMMYFUNCTION("""COMPUTED_VALUE"""),"Телефон")</f>
        <v>Телефон</v>
      </c>
      <c r="E1" s="1" t="str">
        <f>IFERROR(__xludf.DUMMYFUNCTION("""COMPUTED_VALUE"""),"Сумма из реестра")</f>
        <v>Сумма из реестра</v>
      </c>
      <c r="F1" s="1" t="str">
        <f>IFERROR(__xludf.DUMMYFUNCTION("""COMPUTED_VALUE"""),"Удержание")</f>
        <v>Удержание</v>
      </c>
      <c r="G1" s="1" t="str">
        <f>IFERROR(__xludf.DUMMYFUNCTION("""COMPUTED_VALUE"""),"Итог с удержанием")</f>
        <v>Итог с удержанием</v>
      </c>
      <c r="H1" s="1" t="str">
        <f>IFERROR(__xludf.DUMMYFUNCTION("""COMPUTED_VALUE"""),"Комиссия платформы")</f>
        <v>Комиссия платформы</v>
      </c>
      <c r="I1" s="1" t="str">
        <f>IFERROR(__xludf.DUMMYFUNCTION("""COMPUTED_VALUE"""),"ИТОГ к выплате")</f>
        <v>ИТОГ к выплате</v>
      </c>
      <c r="J1" s="1" t="str">
        <f>IFERROR(__xludf.DUMMYFUNCTION("""COMPUTED_VALUE"""),"Статус")</f>
        <v>Статус</v>
      </c>
      <c r="K1" s="1" t="str">
        <f>IFERROR(__xludf.DUMMYFUNCTION("""COMPUTED_VALUE"""),"Комментарий")</f>
        <v>Комментарий</v>
      </c>
      <c r="L1" s="1" t="str">
        <f>IFERROR(__xludf.DUMMYFUNCTION("""COMPUTED_VALUE"""),"ИНН")</f>
        <v>ИНН</v>
      </c>
      <c r="M1" s="1"/>
      <c r="N1" s="1"/>
      <c r="O1" s="1"/>
      <c r="P1" s="1"/>
      <c r="Q1" s="1"/>
      <c r="R1" s="1"/>
      <c r="S1" s="1"/>
      <c r="T1" s="1"/>
      <c r="U1" s="1"/>
    </row>
    <row r="2">
      <c r="A2" s="1">
        <f>IFERROR(__xludf.DUMMYFUNCTION("""COMPUTED_VALUE"""),2025.0)</f>
        <v>2025</v>
      </c>
      <c r="B2" s="1" t="str">
        <f>IFERROR(__xludf.DUMMYFUNCTION("""COMPUTED_VALUE"""),"16.10-5.11")</f>
        <v>16.10-5.11</v>
      </c>
      <c r="C2" s="2" t="str">
        <f>IFERROR(__xludf.DUMMYFUNCTION("""COMPUTED_VALUE"""),"Курбанова Саломат Амиркуловна")</f>
        <v>Курбанова Саломат Амиркуловна</v>
      </c>
      <c r="D2" s="1" t="str">
        <f>IFERROR(__xludf.DUMMYFUNCTION("""COMPUTED_VALUE"""),"79252580102")</f>
        <v>79252580102</v>
      </c>
      <c r="E2" s="3">
        <f>IFERROR(__xludf.DUMMYFUNCTION("""COMPUTED_VALUE"""),75200.0)</f>
        <v>75200</v>
      </c>
      <c r="F2" s="1">
        <f>IFERROR(__xludf.DUMMYFUNCTION("""COMPUTED_VALUE"""),7.743424938E11)</f>
        <v>774342493800</v>
      </c>
      <c r="G2" s="4"/>
      <c r="H2" s="1"/>
      <c r="I2" s="5">
        <f>IFERROR(__xludf.DUMMYFUNCTION("""COMPUTED_VALUE"""),75200.0)</f>
        <v>75200</v>
      </c>
      <c r="J2" s="1" t="str">
        <f>IFERROR(__xludf.DUMMYFUNCTION("""COMPUTED_VALUE"""),"Оплатили")</f>
        <v>Оплатили</v>
      </c>
      <c r="K2" s="1"/>
      <c r="L2" s="1">
        <f>IFERROR(__xludf.DUMMYFUNCTION("""COMPUTED_VALUE"""),7.743424938E11)</f>
        <v>774342493800</v>
      </c>
      <c r="M2" s="1"/>
      <c r="N2" s="1"/>
      <c r="O2" s="1"/>
      <c r="P2" s="1"/>
      <c r="Q2" s="1"/>
      <c r="R2" s="1"/>
      <c r="S2" s="1"/>
      <c r="T2" s="1"/>
      <c r="U2" s="1"/>
    </row>
    <row r="3">
      <c r="A3" s="1">
        <f>IFERROR(__xludf.DUMMYFUNCTION("""COMPUTED_VALUE"""),2025.0)</f>
        <v>2025</v>
      </c>
      <c r="B3" s="1" t="str">
        <f>IFERROR(__xludf.DUMMYFUNCTION("""COMPUTED_VALUE"""),"16.10-5.11")</f>
        <v>16.10-5.11</v>
      </c>
      <c r="C3" s="2" t="str">
        <f>IFERROR(__xludf.DUMMYFUNCTION("""COMPUTED_VALUE"""),"Дусматов Равшан Алишерович")</f>
        <v>Дусматов Равшан Алишерович</v>
      </c>
      <c r="D3" s="1" t="str">
        <f>IFERROR(__xludf.DUMMYFUNCTION("""COMPUTED_VALUE"""),"79254088185")</f>
        <v>79254088185</v>
      </c>
      <c r="E3" s="3">
        <f>IFERROR(__xludf.DUMMYFUNCTION("""COMPUTED_VALUE"""),67500.0)</f>
        <v>67500</v>
      </c>
      <c r="F3" s="1"/>
      <c r="G3" s="4"/>
      <c r="H3" s="1"/>
      <c r="I3" s="5">
        <f>IFERROR(__xludf.DUMMYFUNCTION("""COMPUTED_VALUE"""),67500.0)</f>
        <v>67500</v>
      </c>
      <c r="J3" s="1" t="str">
        <f>IFERROR(__xludf.DUMMYFUNCTION("""COMPUTED_VALUE"""),"Оплатили")</f>
        <v>Оплатили</v>
      </c>
      <c r="K3" s="1"/>
      <c r="L3" s="1">
        <f>IFERROR(__xludf.DUMMYFUNCTION("""COMPUTED_VALUE"""),7.71689013702E11)</f>
        <v>771689013702</v>
      </c>
      <c r="M3" s="1"/>
      <c r="N3" s="1"/>
      <c r="O3" s="1"/>
      <c r="P3" s="1"/>
      <c r="Q3" s="1"/>
      <c r="R3" s="1"/>
      <c r="S3" s="1"/>
      <c r="T3" s="1"/>
      <c r="U3" s="1"/>
    </row>
    <row r="4">
      <c r="A4" s="1">
        <f>IFERROR(__xludf.DUMMYFUNCTION("""COMPUTED_VALUE"""),2025.0)</f>
        <v>2025</v>
      </c>
      <c r="B4" s="1" t="str">
        <f>IFERROR(__xludf.DUMMYFUNCTION("""COMPUTED_VALUE"""),"16.10-5.11")</f>
        <v>16.10-5.11</v>
      </c>
      <c r="C4" s="2" t="str">
        <f>IFERROR(__xludf.DUMMYFUNCTION("""COMPUTED_VALUE"""),"Курбонова Гулжахон Абдуразоковна")</f>
        <v>Курбонова Гулжахон Абдуразоковна</v>
      </c>
      <c r="D4" s="1" t="str">
        <f>IFERROR(__xludf.DUMMYFUNCTION("""COMPUTED_VALUE"""),"79255103455")</f>
        <v>79255103455</v>
      </c>
      <c r="E4" s="3">
        <f>IFERROR(__xludf.DUMMYFUNCTION("""COMPUTED_VALUE"""),84000.0)</f>
        <v>84000</v>
      </c>
      <c r="F4" s="1"/>
      <c r="G4" s="4"/>
      <c r="H4" s="1"/>
      <c r="I4" s="5">
        <f>IFERROR(__xludf.DUMMYFUNCTION("""COMPUTED_VALUE"""),84000.0)</f>
        <v>84000</v>
      </c>
      <c r="J4" s="1" t="str">
        <f>IFERROR(__xludf.DUMMYFUNCTION("""COMPUTED_VALUE"""),"Оплатили")</f>
        <v>Оплатили</v>
      </c>
      <c r="K4" s="1"/>
      <c r="L4" s="1">
        <f>IFERROR(__xludf.DUMMYFUNCTION("""COMPUTED_VALUE"""),7.75151914986E11)</f>
        <v>775151914986</v>
      </c>
      <c r="M4" s="1"/>
      <c r="N4" s="1"/>
      <c r="O4" s="1"/>
      <c r="P4" s="1"/>
      <c r="Q4" s="1"/>
      <c r="R4" s="1"/>
      <c r="S4" s="1"/>
      <c r="T4" s="1"/>
      <c r="U4" s="1"/>
    </row>
    <row r="5">
      <c r="A5" s="1">
        <f>IFERROR(__xludf.DUMMYFUNCTION("""COMPUTED_VALUE"""),2025.0)</f>
        <v>2025</v>
      </c>
      <c r="B5" s="1" t="str">
        <f>IFERROR(__xludf.DUMMYFUNCTION("""COMPUTED_VALUE"""),"16.10-5.11")</f>
        <v>16.10-5.11</v>
      </c>
      <c r="C5" s="2" t="str">
        <f>IFERROR(__xludf.DUMMYFUNCTION("""COMPUTED_VALUE"""),"Назаров Тухтасин Мухаммади Угли")</f>
        <v>Назаров Тухтасин Мухаммади Угли</v>
      </c>
      <c r="D5" s="1" t="str">
        <f>IFERROR(__xludf.DUMMYFUNCTION("""COMPUTED_VALUE"""),"79264200393")</f>
        <v>79264200393</v>
      </c>
      <c r="E5" s="3">
        <f>IFERROR(__xludf.DUMMYFUNCTION("""COMPUTED_VALUE"""),79800.0)</f>
        <v>79800</v>
      </c>
      <c r="F5" s="1"/>
      <c r="G5" s="4"/>
      <c r="H5" s="1"/>
      <c r="I5" s="5">
        <f>IFERROR(__xludf.DUMMYFUNCTION("""COMPUTED_VALUE"""),79800.0)</f>
        <v>79800</v>
      </c>
      <c r="J5" s="1" t="str">
        <f>IFERROR(__xludf.DUMMYFUNCTION("""COMPUTED_VALUE"""),"Оплатили")</f>
        <v>Оплатили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>
        <f>IFERROR(__xludf.DUMMYFUNCTION("""COMPUTED_VALUE"""),2025.0)</f>
        <v>2025</v>
      </c>
      <c r="B6" s="1" t="str">
        <f>IFERROR(__xludf.DUMMYFUNCTION("""COMPUTED_VALUE"""),"16.10-5.11")</f>
        <v>16.10-5.11</v>
      </c>
      <c r="C6" s="2" t="str">
        <f>IFERROR(__xludf.DUMMYFUNCTION("""COMPUTED_VALUE"""),"Маматова Хуршедахон Исроиловна")</f>
        <v>Маматова Хуршедахон Исроиловна</v>
      </c>
      <c r="D6" s="1" t="str">
        <f>IFERROR(__xludf.DUMMYFUNCTION("""COMPUTED_VALUE"""),"79288542471")</f>
        <v>79288542471</v>
      </c>
      <c r="E6" s="3">
        <f>IFERROR(__xludf.DUMMYFUNCTION("""COMPUTED_VALUE"""),42100.0)</f>
        <v>42100</v>
      </c>
      <c r="F6" s="1"/>
      <c r="G6" s="4"/>
      <c r="H6" s="1"/>
      <c r="I6" s="5">
        <f>IFERROR(__xludf.DUMMYFUNCTION("""COMPUTED_VALUE"""),42100.0)</f>
        <v>42100</v>
      </c>
      <c r="J6" s="1" t="str">
        <f>IFERROR(__xludf.DUMMYFUNCTION("""COMPUTED_VALUE"""),"Оплатили")</f>
        <v>Оплатили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>
        <f>IFERROR(__xludf.DUMMYFUNCTION("""COMPUTED_VALUE"""),2025.0)</f>
        <v>2025</v>
      </c>
      <c r="B7" s="1" t="str">
        <f>IFERROR(__xludf.DUMMYFUNCTION("""COMPUTED_VALUE"""),"16.10-5.11")</f>
        <v>16.10-5.11</v>
      </c>
      <c r="C7" s="2" t="str">
        <f>IFERROR(__xludf.DUMMYFUNCTION("""COMPUTED_VALUE"""),"Шерназаров Зариф Акбарали Угли")</f>
        <v>Шерназаров Зариф Акбарали Угли</v>
      </c>
      <c r="D7" s="1" t="str">
        <f>IFERROR(__xludf.DUMMYFUNCTION("""COMPUTED_VALUE"""),"79336677836")</f>
        <v>79336677836</v>
      </c>
      <c r="E7" s="3">
        <f>IFERROR(__xludf.DUMMYFUNCTION("""COMPUTED_VALUE"""),84000.0)</f>
        <v>84000</v>
      </c>
      <c r="F7" s="1"/>
      <c r="G7" s="4"/>
      <c r="H7" s="1"/>
      <c r="I7" s="5">
        <f>IFERROR(__xludf.DUMMYFUNCTION("""COMPUTED_VALUE"""),84000.0)</f>
        <v>84000</v>
      </c>
      <c r="J7" s="1" t="str">
        <f>IFERROR(__xludf.DUMMYFUNCTION("""COMPUTED_VALUE"""),"Оплатили")</f>
        <v>Оплатили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>
        <f>IFERROR(__xludf.DUMMYFUNCTION("""COMPUTED_VALUE"""),2025.0)</f>
        <v>2025</v>
      </c>
      <c r="B8" s="1" t="str">
        <f>IFERROR(__xludf.DUMMYFUNCTION("""COMPUTED_VALUE"""),"16.10-5.11")</f>
        <v>16.10-5.11</v>
      </c>
      <c r="C8" s="2" t="str">
        <f>IFERROR(__xludf.DUMMYFUNCTION("""COMPUTED_VALUE"""),"Анорбоев Шахзод Тулгин Угли")</f>
        <v>Анорбоев Шахзод Тулгин Угли</v>
      </c>
      <c r="D8" s="1" t="str">
        <f>IFERROR(__xludf.DUMMYFUNCTION("""COMPUTED_VALUE"""),"79777470317")</f>
        <v>79777470317</v>
      </c>
      <c r="E8" s="3">
        <f>IFERROR(__xludf.DUMMYFUNCTION("""COMPUTED_VALUE"""),85075.0)</f>
        <v>85075</v>
      </c>
      <c r="F8" s="1"/>
      <c r="G8" s="4"/>
      <c r="H8" s="1"/>
      <c r="I8" s="5">
        <f>IFERROR(__xludf.DUMMYFUNCTION("""COMPUTED_VALUE"""),85075.0)</f>
        <v>85075</v>
      </c>
      <c r="J8" s="1" t="str">
        <f>IFERROR(__xludf.DUMMYFUNCTION("""COMPUTED_VALUE"""),"Оплатили")</f>
        <v>Оплатили</v>
      </c>
      <c r="K8" s="1"/>
      <c r="L8" s="1">
        <f>IFERROR(__xludf.DUMMYFUNCTION("""COMPUTED_VALUE"""),3.43537688905E11)</f>
        <v>343537688905</v>
      </c>
      <c r="M8" s="1"/>
      <c r="N8" s="1"/>
      <c r="O8" s="1"/>
      <c r="P8" s="1"/>
      <c r="Q8" s="1"/>
      <c r="R8" s="1"/>
      <c r="S8" s="1"/>
      <c r="T8" s="1"/>
      <c r="U8" s="1"/>
    </row>
    <row r="9">
      <c r="A9" s="1">
        <f>IFERROR(__xludf.DUMMYFUNCTION("""COMPUTED_VALUE"""),2025.0)</f>
        <v>2025</v>
      </c>
      <c r="B9" s="1" t="str">
        <f>IFERROR(__xludf.DUMMYFUNCTION("""COMPUTED_VALUE"""),"16.10-5.11")</f>
        <v>16.10-5.11</v>
      </c>
      <c r="C9" s="2" t="str">
        <f>IFERROR(__xludf.DUMMYFUNCTION("""COMPUTED_VALUE"""),"Хамракулов Ойбек Хурсанович")</f>
        <v>Хамракулов Ойбек Хурсанович</v>
      </c>
      <c r="D9" s="1" t="str">
        <f>IFERROR(__xludf.DUMMYFUNCTION("""COMPUTED_VALUE"""),"79779593169")</f>
        <v>79779593169</v>
      </c>
      <c r="E9" s="3">
        <f>IFERROR(__xludf.DUMMYFUNCTION("""COMPUTED_VALUE"""),80300.0)</f>
        <v>80300</v>
      </c>
      <c r="F9" s="1"/>
      <c r="G9" s="4"/>
      <c r="H9" s="1"/>
      <c r="I9" s="5">
        <f>IFERROR(__xludf.DUMMYFUNCTION("""COMPUTED_VALUE"""),80300.0)</f>
        <v>80300</v>
      </c>
      <c r="J9" s="1" t="str">
        <f>IFERROR(__xludf.DUMMYFUNCTION("""COMPUTED_VALUE"""),"Оплатили")</f>
        <v>Оплатили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>
        <f>IFERROR(__xludf.DUMMYFUNCTION("""COMPUTED_VALUE"""),2025.0)</f>
        <v>2025</v>
      </c>
      <c r="B10" s="1" t="str">
        <f>IFERROR(__xludf.DUMMYFUNCTION("""COMPUTED_VALUE"""),"16.10-5.11")</f>
        <v>16.10-5.11</v>
      </c>
      <c r="C10" s="2" t="str">
        <f>IFERROR(__xludf.DUMMYFUNCTION("""COMPUTED_VALUE"""),"Тожиева Наргиза Аминова")</f>
        <v>Тожиева Наргиза Аминова</v>
      </c>
      <c r="D10" s="1" t="str">
        <f>IFERROR(__xludf.DUMMYFUNCTION("""COMPUTED_VALUE"""),"79856292007")</f>
        <v>79856292007</v>
      </c>
      <c r="E10" s="3">
        <f>IFERROR(__xludf.DUMMYFUNCTION("""COMPUTED_VALUE"""),71400.0)</f>
        <v>71400</v>
      </c>
      <c r="F10" s="1"/>
      <c r="G10" s="4"/>
      <c r="H10" s="1"/>
      <c r="I10" s="5">
        <f>IFERROR(__xludf.DUMMYFUNCTION("""COMPUTED_VALUE"""),71400.0)</f>
        <v>71400</v>
      </c>
      <c r="J10" s="1" t="str">
        <f>IFERROR(__xludf.DUMMYFUNCTION("""COMPUTED_VALUE"""),"Оплатили")</f>
        <v>Оплатили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>
        <f>IFERROR(__xludf.DUMMYFUNCTION("""COMPUTED_VALUE"""),2025.0)</f>
        <v>2025</v>
      </c>
      <c r="B11" s="1" t="str">
        <f>IFERROR(__xludf.DUMMYFUNCTION("""COMPUTED_VALUE"""),"16.10-5.11")</f>
        <v>16.10-5.11</v>
      </c>
      <c r="C11" s="2" t="str">
        <f>IFERROR(__xludf.DUMMYFUNCTION("""COMPUTED_VALUE"""),"Мухаммаджонов Акмалджон Аюбович")</f>
        <v>Мухаммаджонов Акмалджон Аюбович</v>
      </c>
      <c r="D11" s="1" t="str">
        <f>IFERROR(__xludf.DUMMYFUNCTION("""COMPUTED_VALUE"""),"79955553419")</f>
        <v>79955553419</v>
      </c>
      <c r="E11" s="3">
        <f>IFERROR(__xludf.DUMMYFUNCTION("""COMPUTED_VALUE"""),76000.0)</f>
        <v>76000</v>
      </c>
      <c r="F11" s="1"/>
      <c r="G11" s="4"/>
      <c r="H11" s="1"/>
      <c r="I11" s="5">
        <f>IFERROR(__xludf.DUMMYFUNCTION("""COMPUTED_VALUE"""),76000.0)</f>
        <v>76000</v>
      </c>
      <c r="J11" s="1" t="str">
        <f>IFERROR(__xludf.DUMMYFUNCTION("""COMPUTED_VALUE"""),"Оплатили")</f>
        <v>Оплатили</v>
      </c>
      <c r="K11" s="1"/>
      <c r="L11" s="1">
        <f>IFERROR(__xludf.DUMMYFUNCTION("""COMPUTED_VALUE"""),9.7151845056E11)</f>
        <v>971518450560</v>
      </c>
      <c r="M11" s="1"/>
      <c r="N11" s="1"/>
      <c r="O11" s="1"/>
      <c r="P11" s="1"/>
      <c r="Q11" s="1"/>
      <c r="R11" s="1"/>
      <c r="S11" s="1"/>
      <c r="T11" s="1"/>
      <c r="U11" s="1"/>
    </row>
    <row r="12">
      <c r="A12" s="1">
        <f>IFERROR(__xludf.DUMMYFUNCTION("""COMPUTED_VALUE"""),2025.0)</f>
        <v>2025</v>
      </c>
      <c r="B12" s="1" t="str">
        <f>IFERROR(__xludf.DUMMYFUNCTION("""COMPUTED_VALUE"""),"16.10-5.11")</f>
        <v>16.10-5.11</v>
      </c>
      <c r="C12" s="2" t="str">
        <f>IFERROR(__xludf.DUMMYFUNCTION("""COMPUTED_VALUE"""),"Турдибекова Мухайё Уктамовна")</f>
        <v>Турдибекова Мухайё Уктамовна</v>
      </c>
      <c r="D12" s="1" t="str">
        <f>IFERROR(__xludf.DUMMYFUNCTION("""COMPUTED_VALUE"""),"79966796423")</f>
        <v>79966796423</v>
      </c>
      <c r="E12" s="3">
        <f>IFERROR(__xludf.DUMMYFUNCTION("""COMPUTED_VALUE"""),75542.0)</f>
        <v>75542</v>
      </c>
      <c r="F12" s="1"/>
      <c r="G12" s="4"/>
      <c r="H12" s="1"/>
      <c r="I12" s="5">
        <f>IFERROR(__xludf.DUMMYFUNCTION("""COMPUTED_VALUE"""),75542.0)</f>
        <v>75542</v>
      </c>
      <c r="J12" s="1" t="str">
        <f>IFERROR(__xludf.DUMMYFUNCTION("""COMPUTED_VALUE"""),"Оплатили")</f>
        <v>Оплатили</v>
      </c>
      <c r="K12" s="1"/>
      <c r="L12" s="1">
        <f>IFERROR(__xludf.DUMMYFUNCTION("""COMPUTED_VALUE"""),5.02777123914E11)</f>
        <v>502777123914</v>
      </c>
      <c r="M12" s="1"/>
      <c r="N12" s="1"/>
      <c r="O12" s="1"/>
      <c r="P12" s="1"/>
      <c r="Q12" s="1"/>
      <c r="R12" s="1"/>
      <c r="S12" s="1"/>
      <c r="T12" s="1"/>
      <c r="U12" s="1"/>
    </row>
    <row r="13">
      <c r="A13" s="1">
        <f>IFERROR(__xludf.DUMMYFUNCTION("""COMPUTED_VALUE"""),2025.0)</f>
        <v>2025</v>
      </c>
      <c r="B13" s="1" t="str">
        <f>IFERROR(__xludf.DUMMYFUNCTION("""COMPUTED_VALUE"""),"16.10-5.11")</f>
        <v>16.10-5.11</v>
      </c>
      <c r="C13" s="2" t="str">
        <f>IFERROR(__xludf.DUMMYFUNCTION("""COMPUTED_VALUE"""),"Вахобов Мехроджиддин Махмадович")</f>
        <v>Вахобов Мехроджиддин Махмадович</v>
      </c>
      <c r="D13" s="1" t="str">
        <f>IFERROR(__xludf.DUMMYFUNCTION("""COMPUTED_VALUE"""),"79969262030")</f>
        <v>79969262030</v>
      </c>
      <c r="E13" s="3">
        <f>IFERROR(__xludf.DUMMYFUNCTION("""COMPUTED_VALUE"""),80408.0)</f>
        <v>80408</v>
      </c>
      <c r="F13" s="1"/>
      <c r="G13" s="4"/>
      <c r="H13" s="1"/>
      <c r="I13" s="5">
        <f>IFERROR(__xludf.DUMMYFUNCTION("""COMPUTED_VALUE"""),80408.0)</f>
        <v>80408</v>
      </c>
      <c r="J13" s="1" t="str">
        <f>IFERROR(__xludf.DUMMYFUNCTION("""COMPUTED_VALUE"""),"Оплатили")</f>
        <v>Оплатили</v>
      </c>
      <c r="K13" s="1"/>
      <c r="L13" s="1">
        <f>IFERROR(__xludf.DUMMYFUNCTION("""COMPUTED_VALUE"""),7.60419142561E11)</f>
        <v>760419142561</v>
      </c>
      <c r="M13" s="1"/>
      <c r="N13" s="1"/>
      <c r="O13" s="1"/>
      <c r="P13" s="1"/>
      <c r="Q13" s="1"/>
      <c r="R13" s="1"/>
      <c r="S13" s="1"/>
      <c r="T13" s="1"/>
      <c r="U13" s="1"/>
    </row>
    <row r="14">
      <c r="A14" s="1">
        <f>IFERROR(__xludf.DUMMYFUNCTION("""COMPUTED_VALUE"""),2025.0)</f>
        <v>2025</v>
      </c>
      <c r="B14" s="1" t="str">
        <f>IFERROR(__xludf.DUMMYFUNCTION("""COMPUTED_VALUE"""),"16.10-5.11")</f>
        <v>16.10-5.11</v>
      </c>
      <c r="C14" s="2" t="str">
        <f>IFERROR(__xludf.DUMMYFUNCTION("""COMPUTED_VALUE"""),"Камилова Юлдузхан")</f>
        <v>Камилова Юлдузхан</v>
      </c>
      <c r="D14" s="1" t="str">
        <f>IFERROR(__xludf.DUMMYFUNCTION("""COMPUTED_VALUE"""),"79969909192")</f>
        <v>79969909192</v>
      </c>
      <c r="E14" s="3">
        <f>IFERROR(__xludf.DUMMYFUNCTION("""COMPUTED_VALUE"""),51200.0)</f>
        <v>51200</v>
      </c>
      <c r="F14" s="1"/>
      <c r="G14" s="4"/>
      <c r="H14" s="1"/>
      <c r="I14" s="5">
        <f>IFERROR(__xludf.DUMMYFUNCTION("""COMPUTED_VALUE"""),51200.0)</f>
        <v>51200</v>
      </c>
      <c r="J14" s="1" t="str">
        <f>IFERROR(__xludf.DUMMYFUNCTION("""COMPUTED_VALUE"""),"Оплатили")</f>
        <v>Оплатили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>
        <f>IFERROR(__xludf.DUMMYFUNCTION("""COMPUTED_VALUE"""),2025.0)</f>
        <v>2025</v>
      </c>
      <c r="B15" s="1" t="str">
        <f>IFERROR(__xludf.DUMMYFUNCTION("""COMPUTED_VALUE"""),"16.10-5.11")</f>
        <v>16.10-5.11</v>
      </c>
      <c r="C15" s="2" t="str">
        <f>IFERROR(__xludf.DUMMYFUNCTION("""COMPUTED_VALUE"""),"Дусматова Зулола Агзамовна")</f>
        <v>Дусматова Зулола Агзамовна</v>
      </c>
      <c r="D15" s="1" t="str">
        <f>IFERROR(__xludf.DUMMYFUNCTION("""COMPUTED_VALUE"""),"79997675838")</f>
        <v>79997675838</v>
      </c>
      <c r="E15" s="3">
        <f>IFERROR(__xludf.DUMMYFUNCTION("""COMPUTED_VALUE"""),75250.0)</f>
        <v>75250</v>
      </c>
      <c r="F15" s="1"/>
      <c r="G15" s="4"/>
      <c r="H15" s="1"/>
      <c r="I15" s="5">
        <f>IFERROR(__xludf.DUMMYFUNCTION("""COMPUTED_VALUE"""),75250.0)</f>
        <v>75250</v>
      </c>
      <c r="J15" s="1" t="str">
        <f>IFERROR(__xludf.DUMMYFUNCTION("""COMPUTED_VALUE"""),"Оплатили")</f>
        <v>Оплатили</v>
      </c>
      <c r="K15" s="1"/>
      <c r="L15" s="1">
        <f>IFERROR(__xludf.DUMMYFUNCTION("""COMPUTED_VALUE"""),7.7148705793E11)</f>
        <v>771487057930</v>
      </c>
      <c r="M15" s="1"/>
      <c r="N15" s="1"/>
      <c r="O15" s="1"/>
      <c r="P15" s="1"/>
      <c r="Q15" s="1"/>
      <c r="R15" s="1"/>
      <c r="S15" s="1"/>
      <c r="T15" s="1"/>
      <c r="U15" s="1"/>
    </row>
    <row r="16">
      <c r="A16" s="1">
        <f>IFERROR(__xludf.DUMMYFUNCTION("""COMPUTED_VALUE"""),2025.0)</f>
        <v>2025</v>
      </c>
      <c r="B16" s="1" t="str">
        <f>IFERROR(__xludf.DUMMYFUNCTION("""COMPUTED_VALUE"""),"16.10-5.11")</f>
        <v>16.10-5.11</v>
      </c>
      <c r="C16" s="2" t="str">
        <f>IFERROR(__xludf.DUMMYFUNCTION("""COMPUTED_VALUE"""),"Тагайлиева Гульбарчын Абдырахмоновна")</f>
        <v>Тагайлиева Гульбарчын Абдырахмоновна</v>
      </c>
      <c r="D16" s="1" t="str">
        <f>IFERROR(__xludf.DUMMYFUNCTION("""COMPUTED_VALUE"""),"79999895773")</f>
        <v>79999895773</v>
      </c>
      <c r="E16" s="3">
        <f>IFERROR(__xludf.DUMMYFUNCTION("""COMPUTED_VALUE"""),68200.0)</f>
        <v>68200</v>
      </c>
      <c r="F16" s="1"/>
      <c r="G16" s="4"/>
      <c r="H16" s="1"/>
      <c r="I16" s="5">
        <f>IFERROR(__xludf.DUMMYFUNCTION("""COMPUTED_VALUE"""),68200.0)</f>
        <v>68200</v>
      </c>
      <c r="J16" s="1" t="str">
        <f>IFERROR(__xludf.DUMMYFUNCTION("""COMPUTED_VALUE"""),"Оплатили")</f>
        <v>Оплатили</v>
      </c>
      <c r="K16" s="1"/>
      <c r="L16" s="1">
        <f>IFERROR(__xludf.DUMMYFUNCTION("""COMPUTED_VALUE"""),7.75162962212E11)</f>
        <v>775162962212</v>
      </c>
      <c r="M16" s="1"/>
      <c r="N16" s="1"/>
      <c r="O16" s="1"/>
      <c r="P16" s="1"/>
      <c r="Q16" s="1"/>
      <c r="R16" s="1"/>
      <c r="S16" s="1"/>
      <c r="T16" s="1"/>
      <c r="U16" s="1"/>
    </row>
    <row r="17">
      <c r="A17" s="1">
        <f>IFERROR(__xludf.DUMMYFUNCTION("""COMPUTED_VALUE"""),2025.0)</f>
        <v>2025</v>
      </c>
      <c r="B17" s="1" t="str">
        <f>IFERROR(__xludf.DUMMYFUNCTION("""COMPUTED_VALUE"""),"16.10-5.11")</f>
        <v>16.10-5.11</v>
      </c>
      <c r="C17" s="2" t="str">
        <f>IFERROR(__xludf.DUMMYFUNCTION("""COMPUTED_VALUE"""),"Жуманиязова Гулшод Базарбаевна")</f>
        <v>Жуманиязова Гулшод Базарбаевна</v>
      </c>
      <c r="D17" s="1" t="str">
        <f>IFERROR(__xludf.DUMMYFUNCTION("""COMPUTED_VALUE"""),"79255937717")</f>
        <v>79255937717</v>
      </c>
      <c r="E17" s="3">
        <f>IFERROR(__xludf.DUMMYFUNCTION("""COMPUTED_VALUE"""),63000.0)</f>
        <v>63000</v>
      </c>
      <c r="F17" s="1"/>
      <c r="G17" s="4"/>
      <c r="H17" s="1"/>
      <c r="I17" s="5">
        <f>IFERROR(__xludf.DUMMYFUNCTION("""COMPUTED_VALUE"""),63000.0)</f>
        <v>63000</v>
      </c>
      <c r="J17" s="1" t="str">
        <f>IFERROR(__xludf.DUMMYFUNCTION("""COMPUTED_VALUE"""),"Оплатили")</f>
        <v>Оплатили</v>
      </c>
      <c r="K17" s="1"/>
      <c r="L17" s="1">
        <f>IFERROR(__xludf.DUMMYFUNCTION("""COMPUTED_VALUE"""),9.71901898983E11)</f>
        <v>971901898983</v>
      </c>
      <c r="M17" s="1"/>
      <c r="N17" s="1"/>
      <c r="O17" s="1"/>
      <c r="P17" s="1"/>
      <c r="Q17" s="1"/>
      <c r="R17" s="1"/>
      <c r="S17" s="1"/>
      <c r="T17" s="1"/>
      <c r="U17" s="1"/>
    </row>
    <row r="18">
      <c r="A18" s="1">
        <f>IFERROR(__xludf.DUMMYFUNCTION("""COMPUTED_VALUE"""),2025.0)</f>
        <v>2025</v>
      </c>
      <c r="B18" s="1" t="str">
        <f>IFERROR(__xludf.DUMMYFUNCTION("""COMPUTED_VALUE"""),"16.10-5.11")</f>
        <v>16.10-5.11</v>
      </c>
      <c r="C18" s="2" t="str">
        <f>IFERROR(__xludf.DUMMYFUNCTION("""COMPUTED_VALUE"""),"Мажитова Диляфруз Юлдашевна")</f>
        <v>Мажитова Диляфруз Юлдашевна</v>
      </c>
      <c r="D18" s="1" t="str">
        <f>IFERROR(__xludf.DUMMYFUNCTION("""COMPUTED_VALUE"""),"79031479284")</f>
        <v>79031479284</v>
      </c>
      <c r="E18" s="3">
        <f>IFERROR(__xludf.DUMMYFUNCTION("""COMPUTED_VALUE"""),37900.0)</f>
        <v>37900</v>
      </c>
      <c r="F18" s="1"/>
      <c r="G18" s="4"/>
      <c r="H18" s="1"/>
      <c r="I18" s="5">
        <f>IFERROR(__xludf.DUMMYFUNCTION("""COMPUTED_VALUE"""),37900.0)</f>
        <v>37900</v>
      </c>
      <c r="J18" s="1" t="str">
        <f>IFERROR(__xludf.DUMMYFUNCTION("""COMPUTED_VALUE"""),"Оплатили")</f>
        <v>Оплатили</v>
      </c>
      <c r="K18" s="1"/>
      <c r="L18" s="1">
        <f>IFERROR(__xludf.DUMMYFUNCTION("""COMPUTED_VALUE"""),5.02776500895E11)</f>
        <v>502776500895</v>
      </c>
      <c r="M18" s="1"/>
      <c r="N18" s="1"/>
      <c r="O18" s="1"/>
      <c r="P18" s="1"/>
      <c r="Q18" s="1"/>
      <c r="R18" s="1"/>
      <c r="S18" s="1"/>
      <c r="T18" s="1"/>
      <c r="U18" s="1"/>
    </row>
    <row r="19">
      <c r="A19" s="1">
        <f>IFERROR(__xludf.DUMMYFUNCTION("""COMPUTED_VALUE"""),2025.0)</f>
        <v>2025</v>
      </c>
      <c r="B19" s="1" t="str">
        <f>IFERROR(__xludf.DUMMYFUNCTION("""COMPUTED_VALUE"""),"16.10-5.11")</f>
        <v>16.10-5.11</v>
      </c>
      <c r="C19" s="2" t="str">
        <f>IFERROR(__xludf.DUMMYFUNCTION("""COMPUTED_VALUE"""),"Рахимова Нигора")</f>
        <v>Рахимова Нигора</v>
      </c>
      <c r="D19" s="1" t="str">
        <f>IFERROR(__xludf.DUMMYFUNCTION("""COMPUTED_VALUE"""),"79032802321")</f>
        <v>79032802321</v>
      </c>
      <c r="E19" s="3">
        <f>IFERROR(__xludf.DUMMYFUNCTION("""COMPUTED_VALUE"""),59400.0)</f>
        <v>59400</v>
      </c>
      <c r="F19" s="1"/>
      <c r="G19" s="4"/>
      <c r="H19" s="1"/>
      <c r="I19" s="5">
        <f>IFERROR(__xludf.DUMMYFUNCTION("""COMPUTED_VALUE"""),59400.0)</f>
        <v>59400</v>
      </c>
      <c r="J19" s="1" t="str">
        <f>IFERROR(__xludf.DUMMYFUNCTION("""COMPUTED_VALUE"""),"Оплатили")</f>
        <v>Оплатили</v>
      </c>
      <c r="K19" s="1"/>
      <c r="L19" s="1">
        <f>IFERROR(__xludf.DUMMYFUNCTION("""COMPUTED_VALUE"""),7.7515166163E11)</f>
        <v>775151661630</v>
      </c>
      <c r="M19" s="1"/>
      <c r="N19" s="1"/>
      <c r="O19" s="1"/>
      <c r="P19" s="1"/>
      <c r="Q19" s="1"/>
      <c r="R19" s="1"/>
      <c r="S19" s="1"/>
      <c r="T19" s="1"/>
      <c r="U19" s="1"/>
    </row>
    <row r="20">
      <c r="A20" s="1">
        <f>IFERROR(__xludf.DUMMYFUNCTION("""COMPUTED_VALUE"""),2025.0)</f>
        <v>2025</v>
      </c>
      <c r="B20" s="1" t="str">
        <f>IFERROR(__xludf.DUMMYFUNCTION("""COMPUTED_VALUE"""),"16.10-5.11")</f>
        <v>16.10-5.11</v>
      </c>
      <c r="C20" s="2" t="str">
        <f>IFERROR(__xludf.DUMMYFUNCTION("""COMPUTED_VALUE"""),"Камилова Назира")</f>
        <v>Камилова Назира</v>
      </c>
      <c r="D20" s="1" t="str">
        <f>IFERROR(__xludf.DUMMYFUNCTION("""COMPUTED_VALUE"""),"79035139996")</f>
        <v>79035139996</v>
      </c>
      <c r="E20" s="3">
        <f>IFERROR(__xludf.DUMMYFUNCTION("""COMPUTED_VALUE"""),22400.0)</f>
        <v>22400</v>
      </c>
      <c r="F20" s="1"/>
      <c r="G20" s="4"/>
      <c r="H20" s="1"/>
      <c r="I20" s="5">
        <f>IFERROR(__xludf.DUMMYFUNCTION("""COMPUTED_VALUE"""),22400.0)</f>
        <v>22400</v>
      </c>
      <c r="J20" s="1" t="str">
        <f>IFERROR(__xludf.DUMMYFUNCTION("""COMPUTED_VALUE"""),"Оплатили")</f>
        <v>Оплатили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>
        <f>IFERROR(__xludf.DUMMYFUNCTION("""COMPUTED_VALUE"""),2025.0)</f>
        <v>2025</v>
      </c>
      <c r="B21" s="1" t="str">
        <f>IFERROR(__xludf.DUMMYFUNCTION("""COMPUTED_VALUE"""),"16.10-5.11")</f>
        <v>16.10-5.11</v>
      </c>
      <c r="C21" s="2" t="str">
        <f>IFERROR(__xludf.DUMMYFUNCTION("""COMPUTED_VALUE"""),"Джовлиева Дильфруз")</f>
        <v>Джовлиева Дильфруз</v>
      </c>
      <c r="D21" s="1" t="str">
        <f>IFERROR(__xludf.DUMMYFUNCTION("""COMPUTED_VALUE"""),"79031409201")</f>
        <v>79031409201</v>
      </c>
      <c r="E21" s="3">
        <f>IFERROR(__xludf.DUMMYFUNCTION("""COMPUTED_VALUE"""),69300.0)</f>
        <v>69300</v>
      </c>
      <c r="F21" s="1"/>
      <c r="G21" s="4"/>
      <c r="H21" s="1"/>
      <c r="I21" s="5">
        <f>IFERROR(__xludf.DUMMYFUNCTION("""COMPUTED_VALUE"""),69300.0)</f>
        <v>69300</v>
      </c>
      <c r="J21" s="1" t="str">
        <f>IFERROR(__xludf.DUMMYFUNCTION("""COMPUTED_VALUE"""),"Оплатили")</f>
        <v>Оплатили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>
        <f>IFERROR(__xludf.DUMMYFUNCTION("""COMPUTED_VALUE"""),2025.0)</f>
        <v>2025</v>
      </c>
      <c r="B22" s="1" t="str">
        <f>IFERROR(__xludf.DUMMYFUNCTION("""COMPUTED_VALUE"""),"16.10-5.11")</f>
        <v>16.10-5.11</v>
      </c>
      <c r="C22" s="2" t="str">
        <f>IFERROR(__xludf.DUMMYFUNCTION("""COMPUTED_VALUE"""),"Хамзаева Холида")</f>
        <v>Хамзаева Холида</v>
      </c>
      <c r="D22" s="1" t="str">
        <f>IFERROR(__xludf.DUMMYFUNCTION("""COMPUTED_VALUE"""),"79055367294")</f>
        <v>79055367294</v>
      </c>
      <c r="E22" s="3">
        <f>IFERROR(__xludf.DUMMYFUNCTION("""COMPUTED_VALUE"""),76667.0)</f>
        <v>76667</v>
      </c>
      <c r="F22" s="1"/>
      <c r="G22" s="4"/>
      <c r="H22" s="1"/>
      <c r="I22" s="5">
        <f>IFERROR(__xludf.DUMMYFUNCTION("""COMPUTED_VALUE"""),76667.0)</f>
        <v>76667</v>
      </c>
      <c r="J22" s="1" t="str">
        <f>IFERROR(__xludf.DUMMYFUNCTION("""COMPUTED_VALUE"""),"Оплатили")</f>
        <v>Оплатили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>
        <f>IFERROR(__xludf.DUMMYFUNCTION("""COMPUTED_VALUE"""),2025.0)</f>
        <v>2025</v>
      </c>
      <c r="B23" s="1" t="str">
        <f>IFERROR(__xludf.DUMMYFUNCTION("""COMPUTED_VALUE"""),"16.10-5.11")</f>
        <v>16.10-5.11</v>
      </c>
      <c r="C23" s="2" t="str">
        <f>IFERROR(__xludf.DUMMYFUNCTION("""COMPUTED_VALUE"""),"Мухидинова Ирода")</f>
        <v>Мухидинова Ирода</v>
      </c>
      <c r="D23" s="1" t="str">
        <f>IFERROR(__xludf.DUMMYFUNCTION("""COMPUTED_VALUE"""),"79055847717")</f>
        <v>79055847717</v>
      </c>
      <c r="E23" s="3">
        <f>IFERROR(__xludf.DUMMYFUNCTION("""COMPUTED_VALUE"""),66000.0)</f>
        <v>66000</v>
      </c>
      <c r="F23" s="1"/>
      <c r="G23" s="4"/>
      <c r="H23" s="1"/>
      <c r="I23" s="5">
        <f>IFERROR(__xludf.DUMMYFUNCTION("""COMPUTED_VALUE"""),66000.0)</f>
        <v>66000</v>
      </c>
      <c r="J23" s="1" t="str">
        <f>IFERROR(__xludf.DUMMYFUNCTION("""COMPUTED_VALUE"""),"Оплатили")</f>
        <v>Оплатили</v>
      </c>
      <c r="K23" s="1"/>
      <c r="L23" s="1">
        <f>IFERROR(__xludf.DUMMYFUNCTION("""COMPUTED_VALUE"""),7.7242950104E11)</f>
        <v>772429501040</v>
      </c>
      <c r="M23" s="1"/>
      <c r="N23" s="1"/>
      <c r="O23" s="1"/>
      <c r="P23" s="1"/>
      <c r="Q23" s="1"/>
      <c r="R23" s="1"/>
      <c r="S23" s="1"/>
      <c r="T23" s="1"/>
      <c r="U23" s="1"/>
    </row>
    <row r="24">
      <c r="A24" s="1">
        <f>IFERROR(__xludf.DUMMYFUNCTION("""COMPUTED_VALUE"""),2025.0)</f>
        <v>2025</v>
      </c>
      <c r="B24" s="1" t="str">
        <f>IFERROR(__xludf.DUMMYFUNCTION("""COMPUTED_VALUE"""),"16.10-5.11")</f>
        <v>16.10-5.11</v>
      </c>
      <c r="C24" s="2" t="str">
        <f>IFERROR(__xludf.DUMMYFUNCTION("""COMPUTED_VALUE"""),"Мусаева Мавтуна")</f>
        <v>Мусаева Мавтуна</v>
      </c>
      <c r="D24" s="1" t="str">
        <f>IFERROR(__xludf.DUMMYFUNCTION("""COMPUTED_VALUE"""),"79057784048")</f>
        <v>79057784048</v>
      </c>
      <c r="E24" s="3">
        <f>IFERROR(__xludf.DUMMYFUNCTION("""COMPUTED_VALUE"""),64000.0)</f>
        <v>64000</v>
      </c>
      <c r="F24" s="1"/>
      <c r="G24" s="4"/>
      <c r="H24" s="1"/>
      <c r="I24" s="5">
        <f>IFERROR(__xludf.DUMMYFUNCTION("""COMPUTED_VALUE"""),64000.0)</f>
        <v>64000</v>
      </c>
      <c r="J24" s="1" t="str">
        <f>IFERROR(__xludf.DUMMYFUNCTION("""COMPUTED_VALUE"""),"Оплатили")</f>
        <v>Оплатили</v>
      </c>
      <c r="K24" s="1" t="str">
        <f>IFERROR(__xludf.DUMMYFUNCTION("""COMPUTED_VALUE"""),"ошибка карты")</f>
        <v>ошибка карты</v>
      </c>
      <c r="L24" s="1">
        <f>IFERROR(__xludf.DUMMYFUNCTION("""COMPUTED_VALUE"""),5.00726635205E11)</f>
        <v>500726635205</v>
      </c>
      <c r="M24" s="1"/>
      <c r="N24" s="1"/>
      <c r="O24" s="1"/>
      <c r="P24" s="1"/>
      <c r="Q24" s="1"/>
      <c r="R24" s="1"/>
      <c r="S24" s="1"/>
      <c r="T24" s="1"/>
      <c r="U24" s="1"/>
    </row>
    <row r="25">
      <c r="A25" s="1">
        <f>IFERROR(__xludf.DUMMYFUNCTION("""COMPUTED_VALUE"""),2025.0)</f>
        <v>2025</v>
      </c>
      <c r="B25" s="1" t="str">
        <f>IFERROR(__xludf.DUMMYFUNCTION("""COMPUTED_VALUE"""),"16.10-5.11")</f>
        <v>16.10-5.11</v>
      </c>
      <c r="C25" s="2" t="str">
        <f>IFERROR(__xludf.DUMMYFUNCTION("""COMPUTED_VALUE"""),"Куватова Холбека Зокировна")</f>
        <v>Куватова Холбека Зокировна</v>
      </c>
      <c r="D25" s="1" t="str">
        <f>IFERROR(__xludf.DUMMYFUNCTION("""COMPUTED_VALUE"""),"79060885518")</f>
        <v>79060885518</v>
      </c>
      <c r="E25" s="3">
        <f>IFERROR(__xludf.DUMMYFUNCTION("""COMPUTED_VALUE"""),73500.0)</f>
        <v>73500</v>
      </c>
      <c r="F25" s="1"/>
      <c r="G25" s="4"/>
      <c r="H25" s="1"/>
      <c r="I25" s="5">
        <f>IFERROR(__xludf.DUMMYFUNCTION("""COMPUTED_VALUE"""),73500.0)</f>
        <v>73500</v>
      </c>
      <c r="J25" s="1" t="str">
        <f>IFERROR(__xludf.DUMMYFUNCTION("""COMPUTED_VALUE"""),"Оплатили")</f>
        <v>Оплатили</v>
      </c>
      <c r="K25" s="1"/>
      <c r="L25" s="1">
        <f>IFERROR(__xludf.DUMMYFUNCTION("""COMPUTED_VALUE"""),7.74354320506E11)</f>
        <v>774354320506</v>
      </c>
      <c r="M25" s="1"/>
      <c r="N25" s="1"/>
      <c r="O25" s="1"/>
      <c r="P25" s="1"/>
      <c r="Q25" s="1"/>
      <c r="R25" s="1"/>
      <c r="S25" s="1"/>
      <c r="T25" s="1"/>
      <c r="U25" s="1"/>
    </row>
    <row r="26">
      <c r="A26" s="1">
        <f>IFERROR(__xludf.DUMMYFUNCTION("""COMPUTED_VALUE"""),2025.0)</f>
        <v>2025</v>
      </c>
      <c r="B26" s="1" t="str">
        <f>IFERROR(__xludf.DUMMYFUNCTION("""COMPUTED_VALUE"""),"16.10-5.11")</f>
        <v>16.10-5.11</v>
      </c>
      <c r="C26" s="2" t="str">
        <f>IFERROR(__xludf.DUMMYFUNCTION("""COMPUTED_VALUE"""),"Усманов Ислом")</f>
        <v>Усманов Ислом</v>
      </c>
      <c r="D26" s="1" t="str">
        <f>IFERROR(__xludf.DUMMYFUNCTION("""COMPUTED_VALUE"""),"79067107159")</f>
        <v>79067107159</v>
      </c>
      <c r="E26" s="3">
        <f>IFERROR(__xludf.DUMMYFUNCTION("""COMPUTED_VALUE"""),86500.0)</f>
        <v>86500</v>
      </c>
      <c r="F26" s="1"/>
      <c r="G26" s="4"/>
      <c r="H26" s="1"/>
      <c r="I26" s="5">
        <f>IFERROR(__xludf.DUMMYFUNCTION("""COMPUTED_VALUE"""),86500.0)</f>
        <v>86500</v>
      </c>
      <c r="J26" s="1" t="str">
        <f>IFERROR(__xludf.DUMMYFUNCTION("""COMPUTED_VALUE"""),"Оплатили")</f>
        <v>Оплатили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>
        <f>IFERROR(__xludf.DUMMYFUNCTION("""COMPUTED_VALUE"""),2025.0)</f>
        <v>2025</v>
      </c>
      <c r="B27" s="1" t="str">
        <f>IFERROR(__xludf.DUMMYFUNCTION("""COMPUTED_VALUE"""),"16.10-5.11")</f>
        <v>16.10-5.11</v>
      </c>
      <c r="C27" s="2" t="str">
        <f>IFERROR(__xludf.DUMMYFUNCTION("""COMPUTED_VALUE"""),"Совиров Отажон")</f>
        <v>Совиров Отажон</v>
      </c>
      <c r="D27" s="1" t="str">
        <f>IFERROR(__xludf.DUMMYFUNCTION("""COMPUTED_VALUE"""),"79067312124")</f>
        <v>79067312124</v>
      </c>
      <c r="E27" s="3">
        <f>IFERROR(__xludf.DUMMYFUNCTION("""COMPUTED_VALUE"""),85000.0)</f>
        <v>85000</v>
      </c>
      <c r="F27" s="1"/>
      <c r="G27" s="4"/>
      <c r="H27" s="1"/>
      <c r="I27" s="5">
        <f>IFERROR(__xludf.DUMMYFUNCTION("""COMPUTED_VALUE"""),85000.0)</f>
        <v>85000</v>
      </c>
      <c r="J27" s="1" t="str">
        <f>IFERROR(__xludf.DUMMYFUNCTION("""COMPUTED_VALUE"""),"Оплатили")</f>
        <v>Оплатили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>
        <f>IFERROR(__xludf.DUMMYFUNCTION("""COMPUTED_VALUE"""),2025.0)</f>
        <v>2025</v>
      </c>
      <c r="B28" s="1" t="str">
        <f>IFERROR(__xludf.DUMMYFUNCTION("""COMPUTED_VALUE"""),"16.10-5.11")</f>
        <v>16.10-5.11</v>
      </c>
      <c r="C28" s="2" t="str">
        <f>IFERROR(__xludf.DUMMYFUNCTION("""COMPUTED_VALUE"""),"Каршиева Фазила")</f>
        <v>Каршиева Фазила</v>
      </c>
      <c r="D28" s="1" t="str">
        <f>IFERROR(__xludf.DUMMYFUNCTION("""COMPUTED_VALUE"""),"79099308209")</f>
        <v>79099308209</v>
      </c>
      <c r="E28" s="3">
        <f>IFERROR(__xludf.DUMMYFUNCTION("""COMPUTED_VALUE"""),63350.0)</f>
        <v>63350</v>
      </c>
      <c r="F28" s="1"/>
      <c r="G28" s="4"/>
      <c r="H28" s="1"/>
      <c r="I28" s="5">
        <f>IFERROR(__xludf.DUMMYFUNCTION("""COMPUTED_VALUE"""),63350.0)</f>
        <v>63350</v>
      </c>
      <c r="J28" s="1" t="str">
        <f>IFERROR(__xludf.DUMMYFUNCTION("""COMPUTED_VALUE"""),"Оплатили")</f>
        <v>Оплатили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>
        <f>IFERROR(__xludf.DUMMYFUNCTION("""COMPUTED_VALUE"""),2025.0)</f>
        <v>2025</v>
      </c>
      <c r="B29" s="1" t="str">
        <f>IFERROR(__xludf.DUMMYFUNCTION("""COMPUTED_VALUE"""),"16.10-5.11")</f>
        <v>16.10-5.11</v>
      </c>
      <c r="C29" s="2" t="str">
        <f>IFERROR(__xludf.DUMMYFUNCTION("""COMPUTED_VALUE"""),"Азиззода Джамшед")</f>
        <v>Азиззода Джамшед</v>
      </c>
      <c r="D29" s="1" t="str">
        <f>IFERROR(__xludf.DUMMYFUNCTION("""COMPUTED_VALUE"""),"79116699346")</f>
        <v>79116699346</v>
      </c>
      <c r="E29" s="3">
        <f>IFERROR(__xludf.DUMMYFUNCTION("""COMPUTED_VALUE"""),57487.0)</f>
        <v>57487</v>
      </c>
      <c r="F29" s="1"/>
      <c r="G29" s="4"/>
      <c r="H29" s="1"/>
      <c r="I29" s="5">
        <f>IFERROR(__xludf.DUMMYFUNCTION("""COMPUTED_VALUE"""),57487.0)</f>
        <v>57487</v>
      </c>
      <c r="J29" s="1" t="str">
        <f>IFERROR(__xludf.DUMMYFUNCTION("""COMPUTED_VALUE"""),"Оплатили")</f>
        <v>Оплатили</v>
      </c>
      <c r="K29" s="1"/>
      <c r="L29" s="1">
        <f>IFERROR(__xludf.DUMMYFUNCTION("""COMPUTED_VALUE"""),1.00000868544E11)</f>
        <v>100000868544</v>
      </c>
      <c r="M29" s="1"/>
      <c r="N29" s="1"/>
      <c r="O29" s="1"/>
      <c r="P29" s="1"/>
      <c r="Q29" s="1"/>
      <c r="R29" s="1"/>
      <c r="S29" s="1"/>
      <c r="T29" s="1"/>
      <c r="U29" s="1"/>
    </row>
    <row r="30">
      <c r="A30" s="1">
        <f>IFERROR(__xludf.DUMMYFUNCTION("""COMPUTED_VALUE"""),2025.0)</f>
        <v>2025</v>
      </c>
      <c r="B30" s="1" t="str">
        <f>IFERROR(__xludf.DUMMYFUNCTION("""COMPUTED_VALUE"""),"16.10-5.11")</f>
        <v>16.10-5.11</v>
      </c>
      <c r="C30" s="2" t="str">
        <f>IFERROR(__xludf.DUMMYFUNCTION("""COMPUTED_VALUE"""),"Солиев Алимардон Акбаралиевич")</f>
        <v>Солиев Алимардон Акбаралиевич</v>
      </c>
      <c r="D30" s="1" t="str">
        <f>IFERROR(__xludf.DUMMYFUNCTION("""COMPUTED_VALUE"""),"79161154264")</f>
        <v>79161154264</v>
      </c>
      <c r="E30" s="3">
        <f>IFERROR(__xludf.DUMMYFUNCTION("""COMPUTED_VALUE"""),94500.0)</f>
        <v>94500</v>
      </c>
      <c r="F30" s="1"/>
      <c r="G30" s="4"/>
      <c r="H30" s="1"/>
      <c r="I30" s="5">
        <f>IFERROR(__xludf.DUMMYFUNCTION("""COMPUTED_VALUE"""),94500.0)</f>
        <v>94500</v>
      </c>
      <c r="J30" s="1" t="str">
        <f>IFERROR(__xludf.DUMMYFUNCTION("""COMPUTED_VALUE"""),"Оплатили")</f>
        <v>Оплатили</v>
      </c>
      <c r="K30" s="1"/>
      <c r="L30" s="1">
        <f>IFERROR(__xludf.DUMMYFUNCTION("""COMPUTED_VALUE"""),4.02818158835E11)</f>
        <v>402818158835</v>
      </c>
      <c r="M30" s="1"/>
      <c r="N30" s="1"/>
      <c r="O30" s="1"/>
      <c r="P30" s="1"/>
      <c r="Q30" s="1"/>
      <c r="R30" s="1"/>
      <c r="S30" s="1"/>
      <c r="T30" s="1"/>
      <c r="U30" s="1"/>
    </row>
    <row r="31">
      <c r="A31" s="1">
        <f>IFERROR(__xludf.DUMMYFUNCTION("""COMPUTED_VALUE"""),2025.0)</f>
        <v>2025</v>
      </c>
      <c r="B31" s="1" t="str">
        <f>IFERROR(__xludf.DUMMYFUNCTION("""COMPUTED_VALUE"""),"16.10-5.11")</f>
        <v>16.10-5.11</v>
      </c>
      <c r="C31" s="2" t="str">
        <f>IFERROR(__xludf.DUMMYFUNCTION("""COMPUTED_VALUE"""),"Юсупов Илхомидин Гозиевич")</f>
        <v>Юсупов Илхомидин Гозиевич</v>
      </c>
      <c r="D31" s="1" t="str">
        <f>IFERROR(__xludf.DUMMYFUNCTION("""COMPUTED_VALUE"""),"79162515030")</f>
        <v>79162515030</v>
      </c>
      <c r="E31" s="3">
        <f>IFERROR(__xludf.DUMMYFUNCTION("""COMPUTED_VALUE"""),90300.0)</f>
        <v>90300</v>
      </c>
      <c r="F31" s="1"/>
      <c r="G31" s="4"/>
      <c r="H31" s="1"/>
      <c r="I31" s="5">
        <f>IFERROR(__xludf.DUMMYFUNCTION("""COMPUTED_VALUE"""),90300.0)</f>
        <v>90300</v>
      </c>
      <c r="J31" s="1" t="str">
        <f>IFERROR(__xludf.DUMMYFUNCTION("""COMPUTED_VALUE"""),"Оплатили")</f>
        <v>Оплатили</v>
      </c>
      <c r="K31" s="1"/>
      <c r="L31" s="1">
        <f>IFERROR(__xludf.DUMMYFUNCTION("""COMPUTED_VALUE"""),7.72418658586E11)</f>
        <v>772418658586</v>
      </c>
      <c r="M31" s="1"/>
      <c r="N31" s="1"/>
      <c r="O31" s="1"/>
      <c r="P31" s="1"/>
      <c r="Q31" s="1"/>
      <c r="R31" s="1"/>
      <c r="S31" s="1"/>
      <c r="T31" s="1"/>
      <c r="U31" s="1"/>
    </row>
    <row r="32">
      <c r="A32" s="1">
        <f>IFERROR(__xludf.DUMMYFUNCTION("""COMPUTED_VALUE"""),2025.0)</f>
        <v>2025</v>
      </c>
      <c r="B32" s="1" t="str">
        <f>IFERROR(__xludf.DUMMYFUNCTION("""COMPUTED_VALUE"""),"16.10-5.11")</f>
        <v>16.10-5.11</v>
      </c>
      <c r="C32" s="2" t="str">
        <f>IFERROR(__xludf.DUMMYFUNCTION("""COMPUTED_VALUE"""),"Бобожонова Фарида")</f>
        <v>Бобожонова Фарида</v>
      </c>
      <c r="D32" s="1" t="str">
        <f>IFERROR(__xludf.DUMMYFUNCTION("""COMPUTED_VALUE"""),"79163023415")</f>
        <v>79163023415</v>
      </c>
      <c r="E32" s="3">
        <f>IFERROR(__xludf.DUMMYFUNCTION("""COMPUTED_VALUE"""),10800.0)</f>
        <v>10800</v>
      </c>
      <c r="F32" s="1"/>
      <c r="G32" s="4"/>
      <c r="H32" s="1"/>
      <c r="I32" s="5">
        <f>IFERROR(__xludf.DUMMYFUNCTION("""COMPUTED_VALUE"""),10800.0)</f>
        <v>10800</v>
      </c>
      <c r="J32" s="1" t="str">
        <f>IFERROR(__xludf.DUMMYFUNCTION("""COMPUTED_VALUE"""),"Оплатили")</f>
        <v>Оплатили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>
        <f>IFERROR(__xludf.DUMMYFUNCTION("""COMPUTED_VALUE"""),2025.0)</f>
        <v>2025</v>
      </c>
      <c r="B33" s="1" t="str">
        <f>IFERROR(__xludf.DUMMYFUNCTION("""COMPUTED_VALUE"""),"16.10-5.11")</f>
        <v>16.10-5.11</v>
      </c>
      <c r="C33" s="2" t="str">
        <f>IFERROR(__xludf.DUMMYFUNCTION("""COMPUTED_VALUE"""),"Камолов Асилбек")</f>
        <v>Камолов Асилбек</v>
      </c>
      <c r="D33" s="1" t="str">
        <f>IFERROR(__xludf.DUMMYFUNCTION("""COMPUTED_VALUE"""),"79231408041")</f>
        <v>79231408041</v>
      </c>
      <c r="E33" s="3">
        <f>IFERROR(__xludf.DUMMYFUNCTION("""COMPUTED_VALUE"""),84000.0)</f>
        <v>84000</v>
      </c>
      <c r="F33" s="1"/>
      <c r="G33" s="4"/>
      <c r="H33" s="1"/>
      <c r="I33" s="5">
        <f>IFERROR(__xludf.DUMMYFUNCTION("""COMPUTED_VALUE"""),84000.0)</f>
        <v>84000</v>
      </c>
      <c r="J33" s="1" t="str">
        <f>IFERROR(__xludf.DUMMYFUNCTION("""COMPUTED_VALUE"""),"Оплатили")</f>
        <v>Оплатили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>
        <f>IFERROR(__xludf.DUMMYFUNCTION("""COMPUTED_VALUE"""),2025.0)</f>
        <v>2025</v>
      </c>
      <c r="B34" s="1" t="str">
        <f>IFERROR(__xludf.DUMMYFUNCTION("""COMPUTED_VALUE"""),"16.10-5.11")</f>
        <v>16.10-5.11</v>
      </c>
      <c r="C34" s="2" t="str">
        <f>IFERROR(__xludf.DUMMYFUNCTION("""COMPUTED_VALUE"""),"Нурбаева Умеда")</f>
        <v>Нурбаева Умеда</v>
      </c>
      <c r="D34" s="1" t="str">
        <f>IFERROR(__xludf.DUMMYFUNCTION("""COMPUTED_VALUE"""),"79250388417")</f>
        <v>79250388417</v>
      </c>
      <c r="E34" s="3">
        <f>IFERROR(__xludf.DUMMYFUNCTION("""COMPUTED_VALUE"""),79800.0)</f>
        <v>79800</v>
      </c>
      <c r="F34" s="1"/>
      <c r="G34" s="4"/>
      <c r="H34" s="1"/>
      <c r="I34" s="5">
        <f>IFERROR(__xludf.DUMMYFUNCTION("""COMPUTED_VALUE"""),79800.0)</f>
        <v>79800</v>
      </c>
      <c r="J34" s="1" t="str">
        <f>IFERROR(__xludf.DUMMYFUNCTION("""COMPUTED_VALUE"""),"Оплатили")</f>
        <v>Оплатили</v>
      </c>
      <c r="K34" s="1"/>
      <c r="L34" s="1">
        <f>IFERROR(__xludf.DUMMYFUNCTION("""COMPUTED_VALUE"""),9.71521363276E11)</f>
        <v>971521363276</v>
      </c>
      <c r="M34" s="1"/>
      <c r="N34" s="1"/>
      <c r="O34" s="1"/>
      <c r="P34" s="1"/>
      <c r="Q34" s="1"/>
      <c r="R34" s="1"/>
      <c r="S34" s="1"/>
      <c r="T34" s="1"/>
      <c r="U34" s="1"/>
    </row>
    <row r="35">
      <c r="A35" s="1">
        <f>IFERROR(__xludf.DUMMYFUNCTION("""COMPUTED_VALUE"""),2025.0)</f>
        <v>2025</v>
      </c>
      <c r="B35" s="1" t="str">
        <f>IFERROR(__xludf.DUMMYFUNCTION("""COMPUTED_VALUE"""),"16.10-5.11")</f>
        <v>16.10-5.11</v>
      </c>
      <c r="C35" s="2" t="str">
        <f>IFERROR(__xludf.DUMMYFUNCTION("""COMPUTED_VALUE"""),"Кадиркулов Сафарали")</f>
        <v>Кадиркулов Сафарали</v>
      </c>
      <c r="D35" s="1" t="str">
        <f>IFERROR(__xludf.DUMMYFUNCTION("""COMPUTED_VALUE"""),"79253713008")</f>
        <v>79253713008</v>
      </c>
      <c r="E35" s="3">
        <f>IFERROR(__xludf.DUMMYFUNCTION("""COMPUTED_VALUE"""),191600.0)</f>
        <v>191600</v>
      </c>
      <c r="F35" s="1"/>
      <c r="G35" s="4"/>
      <c r="H35" s="1"/>
      <c r="I35" s="5">
        <f>IFERROR(__xludf.DUMMYFUNCTION("""COMPUTED_VALUE"""),191600.0)</f>
        <v>191600</v>
      </c>
      <c r="J35" s="1" t="str">
        <f>IFERROR(__xludf.DUMMYFUNCTION("""COMPUTED_VALUE"""),"Оплатили")</f>
        <v>Оплатили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>
        <f>IFERROR(__xludf.DUMMYFUNCTION("""COMPUTED_VALUE"""),2025.0)</f>
        <v>2025</v>
      </c>
      <c r="B36" s="1" t="str">
        <f>IFERROR(__xludf.DUMMYFUNCTION("""COMPUTED_VALUE"""),"16.10-5.11")</f>
        <v>16.10-5.11</v>
      </c>
      <c r="C36" s="2" t="str">
        <f>IFERROR(__xludf.DUMMYFUNCTION("""COMPUTED_VALUE"""),"Курманбаева Назиира")</f>
        <v>Курманбаева Назиира</v>
      </c>
      <c r="D36" s="1" t="str">
        <f>IFERROR(__xludf.DUMMYFUNCTION("""COMPUTED_VALUE"""),"79254475417")</f>
        <v>79254475417</v>
      </c>
      <c r="E36" s="3">
        <f>IFERROR(__xludf.DUMMYFUNCTION("""COMPUTED_VALUE"""),71751.0)</f>
        <v>71751</v>
      </c>
      <c r="F36" s="1"/>
      <c r="G36" s="4"/>
      <c r="H36" s="1"/>
      <c r="I36" s="5">
        <f>IFERROR(__xludf.DUMMYFUNCTION("""COMPUTED_VALUE"""),71751.0)</f>
        <v>71751</v>
      </c>
      <c r="J36" s="1" t="str">
        <f>IFERROR(__xludf.DUMMYFUNCTION("""COMPUTED_VALUE"""),"Оплатили")</f>
        <v>Оплатили</v>
      </c>
      <c r="K36" s="1"/>
      <c r="L36" s="1">
        <f>IFERROR(__xludf.DUMMYFUNCTION("""COMPUTED_VALUE"""),7.71487450668E11)</f>
        <v>771487450668</v>
      </c>
      <c r="M36" s="1"/>
      <c r="N36" s="1"/>
      <c r="O36" s="1"/>
      <c r="P36" s="1"/>
      <c r="Q36" s="1"/>
      <c r="R36" s="1"/>
      <c r="S36" s="1"/>
      <c r="T36" s="1"/>
      <c r="U36" s="1"/>
    </row>
    <row r="37">
      <c r="A37" s="1">
        <f>IFERROR(__xludf.DUMMYFUNCTION("""COMPUTED_VALUE"""),2025.0)</f>
        <v>2025</v>
      </c>
      <c r="B37" s="1" t="str">
        <f>IFERROR(__xludf.DUMMYFUNCTION("""COMPUTED_VALUE"""),"16.10-5.11")</f>
        <v>16.10-5.11</v>
      </c>
      <c r="C37" s="2" t="str">
        <f>IFERROR(__xludf.DUMMYFUNCTION("""COMPUTED_VALUE"""),"Исманов Мухаммадкодир")</f>
        <v>Исманов Мухаммадкодир</v>
      </c>
      <c r="D37" s="1" t="str">
        <f>IFERROR(__xludf.DUMMYFUNCTION("""COMPUTED_VALUE"""),"79255086393")</f>
        <v>79255086393</v>
      </c>
      <c r="E37" s="3">
        <f>IFERROR(__xludf.DUMMYFUNCTION("""COMPUTED_VALUE"""),83700.0)</f>
        <v>83700</v>
      </c>
      <c r="F37" s="1"/>
      <c r="G37" s="4"/>
      <c r="H37" s="1"/>
      <c r="I37" s="5">
        <f>IFERROR(__xludf.DUMMYFUNCTION("""COMPUTED_VALUE"""),83700.0)</f>
        <v>83700</v>
      </c>
      <c r="J37" s="1" t="str">
        <f>IFERROR(__xludf.DUMMYFUNCTION("""COMPUTED_VALUE"""),"Оплатили")</f>
        <v>Оплатили</v>
      </c>
      <c r="K37" s="1"/>
      <c r="L37" s="1">
        <f>IFERROR(__xludf.DUMMYFUNCTION("""COMPUTED_VALUE"""),5.0024439455E10)</f>
        <v>50024439455</v>
      </c>
      <c r="M37" s="1"/>
      <c r="N37" s="1"/>
      <c r="O37" s="1"/>
      <c r="P37" s="1"/>
      <c r="Q37" s="1"/>
      <c r="R37" s="1"/>
      <c r="S37" s="1"/>
      <c r="T37" s="1"/>
      <c r="U37" s="1"/>
    </row>
    <row r="38">
      <c r="A38" s="1">
        <f>IFERROR(__xludf.DUMMYFUNCTION("""COMPUTED_VALUE"""),2025.0)</f>
        <v>2025</v>
      </c>
      <c r="B38" s="1" t="str">
        <f>IFERROR(__xludf.DUMMYFUNCTION("""COMPUTED_VALUE"""),"16.10-5.11")</f>
        <v>16.10-5.11</v>
      </c>
      <c r="C38" s="2" t="str">
        <f>IFERROR(__xludf.DUMMYFUNCTION("""COMPUTED_VALUE"""),"Мухммадиев Аббосджон Хуснидин Угли")</f>
        <v>Мухммадиев Аббосджон Хуснидин Угли</v>
      </c>
      <c r="D38" s="1" t="str">
        <f>IFERROR(__xludf.DUMMYFUNCTION("""COMPUTED_VALUE"""),"79255971906")</f>
        <v>79255971906</v>
      </c>
      <c r="E38" s="3">
        <f>IFERROR(__xludf.DUMMYFUNCTION("""COMPUTED_VALUE"""),80800.0)</f>
        <v>80800</v>
      </c>
      <c r="F38" s="1"/>
      <c r="G38" s="4"/>
      <c r="H38" s="1"/>
      <c r="I38" s="5">
        <f>IFERROR(__xludf.DUMMYFUNCTION("""COMPUTED_VALUE"""),80800.0)</f>
        <v>80800</v>
      </c>
      <c r="J38" s="1" t="str">
        <f>IFERROR(__xludf.DUMMYFUNCTION("""COMPUTED_VALUE"""),"Оплатили")</f>
        <v>Оплатили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>
        <f>IFERROR(__xludf.DUMMYFUNCTION("""COMPUTED_VALUE"""),2025.0)</f>
        <v>2025</v>
      </c>
      <c r="B39" s="1" t="str">
        <f>IFERROR(__xludf.DUMMYFUNCTION("""COMPUTED_VALUE"""),"16.10-5.11")</f>
        <v>16.10-5.11</v>
      </c>
      <c r="C39" s="2" t="str">
        <f>IFERROR(__xludf.DUMMYFUNCTION("""COMPUTED_VALUE"""),"Мамадалиев Шамшод")</f>
        <v>Мамадалиев Шамшод</v>
      </c>
      <c r="D39" s="1" t="str">
        <f>IFERROR(__xludf.DUMMYFUNCTION("""COMPUTED_VALUE"""),"79309907663")</f>
        <v>79309907663</v>
      </c>
      <c r="E39" s="3">
        <f>IFERROR(__xludf.DUMMYFUNCTION("""COMPUTED_VALUE"""),10000.0)</f>
        <v>10000</v>
      </c>
      <c r="F39" s="1"/>
      <c r="G39" s="4"/>
      <c r="H39" s="1"/>
      <c r="I39" s="5">
        <f>IFERROR(__xludf.DUMMYFUNCTION("""COMPUTED_VALUE"""),10000.0)</f>
        <v>10000</v>
      </c>
      <c r="J39" s="1" t="str">
        <f>IFERROR(__xludf.DUMMYFUNCTION("""COMPUTED_VALUE"""),"Оплатили")</f>
        <v>Оплатили</v>
      </c>
      <c r="K39" s="1"/>
      <c r="L39" s="1">
        <f>IFERROR(__xludf.DUMMYFUNCTION("""COMPUTED_VALUE"""),7.75163599087E11)</f>
        <v>775163599087</v>
      </c>
      <c r="M39" s="1"/>
      <c r="N39" s="1"/>
      <c r="O39" s="1"/>
      <c r="P39" s="1"/>
      <c r="Q39" s="1"/>
      <c r="R39" s="1"/>
      <c r="S39" s="1"/>
      <c r="T39" s="1"/>
      <c r="U39" s="1"/>
    </row>
    <row r="40">
      <c r="A40" s="1">
        <f>IFERROR(__xludf.DUMMYFUNCTION("""COMPUTED_VALUE"""),2025.0)</f>
        <v>2025</v>
      </c>
      <c r="B40" s="1" t="str">
        <f>IFERROR(__xludf.DUMMYFUNCTION("""COMPUTED_VALUE"""),"16.10-5.11")</f>
        <v>16.10-5.11</v>
      </c>
      <c r="C40" s="2" t="str">
        <f>IFERROR(__xludf.DUMMYFUNCTION("""COMPUTED_VALUE"""),"Сулейманов Санжар")</f>
        <v>Сулейманов Санжар</v>
      </c>
      <c r="D40" s="1" t="str">
        <f>IFERROR(__xludf.DUMMYFUNCTION("""COMPUTED_VALUE"""),"79313709033")</f>
        <v>79313709033</v>
      </c>
      <c r="E40" s="3">
        <f>IFERROR(__xludf.DUMMYFUNCTION("""COMPUTED_VALUE"""),94590.0)</f>
        <v>94590</v>
      </c>
      <c r="F40" s="1"/>
      <c r="G40" s="4"/>
      <c r="H40" s="1"/>
      <c r="I40" s="5">
        <f>IFERROR(__xludf.DUMMYFUNCTION("""COMPUTED_VALUE"""),94590.0)</f>
        <v>94590</v>
      </c>
      <c r="J40" s="1" t="str">
        <f>IFERROR(__xludf.DUMMYFUNCTION("""COMPUTED_VALUE"""),"Оплатили")</f>
        <v>Оплатили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>
        <f>IFERROR(__xludf.DUMMYFUNCTION("""COMPUTED_VALUE"""),2025.0)</f>
        <v>2025</v>
      </c>
      <c r="B41" s="1" t="str">
        <f>IFERROR(__xludf.DUMMYFUNCTION("""COMPUTED_VALUE"""),"16.10-5.11")</f>
        <v>16.10-5.11</v>
      </c>
      <c r="C41" s="2" t="str">
        <f>IFERROR(__xludf.DUMMYFUNCTION("""COMPUTED_VALUE"""),"Рахмонов Сухроб")</f>
        <v>Рахмонов Сухроб</v>
      </c>
      <c r="D41" s="1" t="str">
        <f>IFERROR(__xludf.DUMMYFUNCTION("""COMPUTED_VALUE"""),"79336934364")</f>
        <v>79336934364</v>
      </c>
      <c r="E41" s="3">
        <f>IFERROR(__xludf.DUMMYFUNCTION("""COMPUTED_VALUE"""),10000.0)</f>
        <v>10000</v>
      </c>
      <c r="F41" s="1"/>
      <c r="G41" s="4"/>
      <c r="H41" s="1"/>
      <c r="I41" s="5">
        <f>IFERROR(__xludf.DUMMYFUNCTION("""COMPUTED_VALUE"""),10000.0)</f>
        <v>10000</v>
      </c>
      <c r="J41" s="1" t="str">
        <f>IFERROR(__xludf.DUMMYFUNCTION("""COMPUTED_VALUE"""),"Оплатили")</f>
        <v>Оплатили</v>
      </c>
      <c r="K41" s="1"/>
      <c r="L41" s="1">
        <f>IFERROR(__xludf.DUMMYFUNCTION("""COMPUTED_VALUE"""),7.75185498484E11)</f>
        <v>775185498484</v>
      </c>
      <c r="M41" s="1"/>
      <c r="N41" s="1"/>
      <c r="O41" s="1"/>
      <c r="P41" s="1"/>
      <c r="Q41" s="1"/>
      <c r="R41" s="1"/>
      <c r="S41" s="1"/>
      <c r="T41" s="1"/>
      <c r="U41" s="1"/>
    </row>
    <row r="42">
      <c r="A42" s="1">
        <f>IFERROR(__xludf.DUMMYFUNCTION("""COMPUTED_VALUE"""),2025.0)</f>
        <v>2025</v>
      </c>
      <c r="B42" s="1" t="str">
        <f>IFERROR(__xludf.DUMMYFUNCTION("""COMPUTED_VALUE"""),"16.10-5.11")</f>
        <v>16.10-5.11</v>
      </c>
      <c r="C42" s="2" t="str">
        <f>IFERROR(__xludf.DUMMYFUNCTION("""COMPUTED_VALUE"""),"Абдулаева Зухра Базарбаева")</f>
        <v>Абдулаева Зухра Базарбаева</v>
      </c>
      <c r="D42" s="1" t="str">
        <f>IFERROR(__xludf.DUMMYFUNCTION("""COMPUTED_VALUE"""),"79337001721")</f>
        <v>79337001721</v>
      </c>
      <c r="E42" s="3">
        <f>IFERROR(__xludf.DUMMYFUNCTION("""COMPUTED_VALUE"""),28600.0)</f>
        <v>28600</v>
      </c>
      <c r="F42" s="1"/>
      <c r="G42" s="4"/>
      <c r="H42" s="1"/>
      <c r="I42" s="5">
        <f>IFERROR(__xludf.DUMMYFUNCTION("""COMPUTED_VALUE"""),28600.0)</f>
        <v>28600</v>
      </c>
      <c r="J42" s="1" t="str">
        <f>IFERROR(__xludf.DUMMYFUNCTION("""COMPUTED_VALUE"""),"Оплатили")</f>
        <v>Оплатили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>
        <f>IFERROR(__xludf.DUMMYFUNCTION("""COMPUTED_VALUE"""),2025.0)</f>
        <v>2025</v>
      </c>
      <c r="B43" s="1" t="str">
        <f>IFERROR(__xludf.DUMMYFUNCTION("""COMPUTED_VALUE"""),"16.10-5.11")</f>
        <v>16.10-5.11</v>
      </c>
      <c r="C43" s="2" t="str">
        <f>IFERROR(__xludf.DUMMYFUNCTION("""COMPUTED_VALUE"""),"Нематов Мухаммад")</f>
        <v>Нематов Мухаммад</v>
      </c>
      <c r="D43" s="1" t="str">
        <f>IFERROR(__xludf.DUMMYFUNCTION("""COMPUTED_VALUE"""),"79932625819")</f>
        <v>79932625819</v>
      </c>
      <c r="E43" s="3">
        <f>IFERROR(__xludf.DUMMYFUNCTION("""COMPUTED_VALUE"""),145634.0)</f>
        <v>145634</v>
      </c>
      <c r="F43" s="1"/>
      <c r="G43" s="4"/>
      <c r="H43" s="1"/>
      <c r="I43" s="5">
        <f>IFERROR(__xludf.DUMMYFUNCTION("""COMPUTED_VALUE"""),145634.0)</f>
        <v>145634</v>
      </c>
      <c r="J43" s="1" t="str">
        <f>IFERROR(__xludf.DUMMYFUNCTION("""COMPUTED_VALUE"""),"Оплатили")</f>
        <v>Оплатили</v>
      </c>
      <c r="K43" s="1"/>
      <c r="L43" s="1">
        <f>IFERROR(__xludf.DUMMYFUNCTION("""COMPUTED_VALUE"""),7.75147436504E11)</f>
        <v>775147436504</v>
      </c>
      <c r="M43" s="1"/>
      <c r="N43" s="1"/>
      <c r="O43" s="1"/>
      <c r="P43" s="1"/>
      <c r="Q43" s="1"/>
      <c r="R43" s="1"/>
      <c r="S43" s="1"/>
      <c r="T43" s="1"/>
      <c r="U43" s="1"/>
    </row>
    <row r="44">
      <c r="A44" s="1">
        <f>IFERROR(__xludf.DUMMYFUNCTION("""COMPUTED_VALUE"""),2025.0)</f>
        <v>2025</v>
      </c>
      <c r="B44" s="1" t="str">
        <f>IFERROR(__xludf.DUMMYFUNCTION("""COMPUTED_VALUE"""),"16.10-5.11")</f>
        <v>16.10-5.11</v>
      </c>
      <c r="C44" s="2" t="str">
        <f>IFERROR(__xludf.DUMMYFUNCTION("""COMPUTED_VALUE"""),"Сайдалиев Салмон")</f>
        <v>Сайдалиев Салмон</v>
      </c>
      <c r="D44" s="1" t="str">
        <f>IFERROR(__xludf.DUMMYFUNCTION("""COMPUTED_VALUE"""),"79309826676")</f>
        <v>79309826676</v>
      </c>
      <c r="E44" s="3">
        <f>IFERROR(__xludf.DUMMYFUNCTION("""COMPUTED_VALUE"""),100650.0)</f>
        <v>100650</v>
      </c>
      <c r="F44" s="1"/>
      <c r="G44" s="4"/>
      <c r="H44" s="1"/>
      <c r="I44" s="5">
        <f>IFERROR(__xludf.DUMMYFUNCTION("""COMPUTED_VALUE"""),100650.0)</f>
        <v>100650</v>
      </c>
      <c r="J44" s="1" t="str">
        <f>IFERROR(__xludf.DUMMYFUNCTION("""COMPUTED_VALUE"""),"Оплатили")</f>
        <v>Оплатили</v>
      </c>
      <c r="K44" s="1"/>
      <c r="L44" s="1">
        <f>IFERROR(__xludf.DUMMYFUNCTION("""COMPUTED_VALUE"""),5.00924497331E11)</f>
        <v>500924497331</v>
      </c>
      <c r="M44" s="1"/>
      <c r="N44" s="1"/>
      <c r="O44" s="1"/>
      <c r="P44" s="1"/>
      <c r="Q44" s="1"/>
      <c r="R44" s="1"/>
      <c r="S44" s="1"/>
      <c r="T44" s="1"/>
      <c r="U44" s="1"/>
    </row>
    <row r="45">
      <c r="A45" s="1">
        <f>IFERROR(__xludf.DUMMYFUNCTION("""COMPUTED_VALUE"""),2025.0)</f>
        <v>2025</v>
      </c>
      <c r="B45" s="1" t="str">
        <f>IFERROR(__xludf.DUMMYFUNCTION("""COMPUTED_VALUE"""),"16.10-5.11")</f>
        <v>16.10-5.11</v>
      </c>
      <c r="C45" s="2" t="str">
        <f>IFERROR(__xludf.DUMMYFUNCTION("""COMPUTED_VALUE"""),"Рахматуллаев Мухаммад")</f>
        <v>Рахматуллаев Мухаммад</v>
      </c>
      <c r="D45" s="1" t="str">
        <f>IFERROR(__xludf.DUMMYFUNCTION("""COMPUTED_VALUE"""),"79662669660")</f>
        <v>79662669660</v>
      </c>
      <c r="E45" s="3">
        <f>IFERROR(__xludf.DUMMYFUNCTION("""COMPUTED_VALUE"""),79800.0)</f>
        <v>79800</v>
      </c>
      <c r="F45" s="1"/>
      <c r="G45" s="4"/>
      <c r="H45" s="1"/>
      <c r="I45" s="5">
        <f>IFERROR(__xludf.DUMMYFUNCTION("""COMPUTED_VALUE"""),79800.0)</f>
        <v>79800</v>
      </c>
      <c r="J45" s="1" t="str">
        <f>IFERROR(__xludf.DUMMYFUNCTION("""COMPUTED_VALUE"""),"Оплатили")</f>
        <v>Оплатили</v>
      </c>
      <c r="K45" s="1"/>
      <c r="L45" s="1">
        <f>IFERROR(__xludf.DUMMYFUNCTION("""COMPUTED_VALUE"""),7.75175953769E11)</f>
        <v>775175953769</v>
      </c>
      <c r="M45" s="1"/>
      <c r="N45" s="1"/>
      <c r="O45" s="1"/>
      <c r="P45" s="1"/>
      <c r="Q45" s="1"/>
      <c r="R45" s="1"/>
      <c r="S45" s="1"/>
      <c r="T45" s="1"/>
      <c r="U45" s="1"/>
    </row>
    <row r="46">
      <c r="A46" s="1">
        <f>IFERROR(__xludf.DUMMYFUNCTION("""COMPUTED_VALUE"""),2025.0)</f>
        <v>2025</v>
      </c>
      <c r="B46" s="1" t="str">
        <f>IFERROR(__xludf.DUMMYFUNCTION("""COMPUTED_VALUE"""),"16.10-5.11")</f>
        <v>16.10-5.11</v>
      </c>
      <c r="C46" s="2" t="str">
        <f>IFERROR(__xludf.DUMMYFUNCTION("""COMPUTED_VALUE"""),"Эшонкулов Шердил Асроркулович")</f>
        <v>Эшонкулов Шердил Асроркулович</v>
      </c>
      <c r="D46" s="1" t="str">
        <f>IFERROR(__xludf.DUMMYFUNCTION("""COMPUTED_VALUE"""),"79683257111")</f>
        <v>79683257111</v>
      </c>
      <c r="E46" s="3">
        <f>IFERROR(__xludf.DUMMYFUNCTION("""COMPUTED_VALUE"""),80000.0)</f>
        <v>80000</v>
      </c>
      <c r="F46" s="1"/>
      <c r="G46" s="4"/>
      <c r="H46" s="1"/>
      <c r="I46" s="5">
        <f>IFERROR(__xludf.DUMMYFUNCTION("""COMPUTED_VALUE"""),80000.0)</f>
        <v>80000</v>
      </c>
      <c r="J46" s="1" t="str">
        <f>IFERROR(__xludf.DUMMYFUNCTION("""COMPUTED_VALUE"""),"Оплатили")</f>
        <v>Оплатили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>
        <f>IFERROR(__xludf.DUMMYFUNCTION("""COMPUTED_VALUE"""),2025.0)</f>
        <v>2025</v>
      </c>
      <c r="B47" s="1" t="str">
        <f>IFERROR(__xludf.DUMMYFUNCTION("""COMPUTED_VALUE"""),"16.10-5.11")</f>
        <v>16.10-5.11</v>
      </c>
      <c r="C47" s="2" t="str">
        <f>IFERROR(__xludf.DUMMYFUNCTION("""COMPUTED_VALUE"""),"Коконова Марал")</f>
        <v>Коконова Марал</v>
      </c>
      <c r="D47" s="1" t="str">
        <f>IFERROR(__xludf.DUMMYFUNCTION("""COMPUTED_VALUE"""),"79687081793")</f>
        <v>79687081793</v>
      </c>
      <c r="E47" s="3">
        <f>IFERROR(__xludf.DUMMYFUNCTION("""COMPUTED_VALUE"""),39633.0)</f>
        <v>39633</v>
      </c>
      <c r="F47" s="1"/>
      <c r="G47" s="4"/>
      <c r="H47" s="1"/>
      <c r="I47" s="5">
        <f>IFERROR(__xludf.DUMMYFUNCTION("""COMPUTED_VALUE"""),39633.0)</f>
        <v>39633</v>
      </c>
      <c r="J47" s="1" t="str">
        <f>IFERROR(__xludf.DUMMYFUNCTION("""COMPUTED_VALUE"""),"Оплатили")</f>
        <v>Оплатили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>
        <f>IFERROR(__xludf.DUMMYFUNCTION("""COMPUTED_VALUE"""),2025.0)</f>
        <v>2025</v>
      </c>
      <c r="B48" s="1" t="str">
        <f>IFERROR(__xludf.DUMMYFUNCTION("""COMPUTED_VALUE"""),"16.10-5.11")</f>
        <v>16.10-5.11</v>
      </c>
      <c r="C48" s="2" t="str">
        <f>IFERROR(__xludf.DUMMYFUNCTION("""COMPUTED_VALUE"""),"Мухмудов Ботиржон")</f>
        <v>Мухмудов Ботиржон</v>
      </c>
      <c r="D48" s="1" t="str">
        <f>IFERROR(__xludf.DUMMYFUNCTION("""COMPUTED_VALUE"""),"79688236466")</f>
        <v>79688236466</v>
      </c>
      <c r="E48" s="3">
        <f>IFERROR(__xludf.DUMMYFUNCTION("""COMPUTED_VALUE"""),85000.0)</f>
        <v>85000</v>
      </c>
      <c r="F48" s="1"/>
      <c r="G48" s="4"/>
      <c r="H48" s="1"/>
      <c r="I48" s="5">
        <f>IFERROR(__xludf.DUMMYFUNCTION("""COMPUTED_VALUE"""),85000.0)</f>
        <v>85000</v>
      </c>
      <c r="J48" s="1" t="str">
        <f>IFERROR(__xludf.DUMMYFUNCTION("""COMPUTED_VALUE"""),"Оплатили")</f>
        <v>Оплатили</v>
      </c>
      <c r="K48" s="1"/>
      <c r="L48" s="1">
        <f>IFERROR(__xludf.DUMMYFUNCTION("""COMPUTED_VALUE"""),5.02776294258E11)</f>
        <v>502776294258</v>
      </c>
      <c r="M48" s="1"/>
      <c r="N48" s="1"/>
      <c r="O48" s="1"/>
      <c r="P48" s="1"/>
      <c r="Q48" s="1"/>
      <c r="R48" s="1"/>
      <c r="S48" s="1"/>
      <c r="T48" s="1"/>
      <c r="U48" s="1"/>
    </row>
    <row r="49">
      <c r="A49" s="1">
        <f>IFERROR(__xludf.DUMMYFUNCTION("""COMPUTED_VALUE"""),2025.0)</f>
        <v>2025</v>
      </c>
      <c r="B49" s="1" t="str">
        <f>IFERROR(__xludf.DUMMYFUNCTION("""COMPUTED_VALUE"""),"16.10-5.11")</f>
        <v>16.10-5.11</v>
      </c>
      <c r="C49" s="2" t="str">
        <f>IFERROR(__xludf.DUMMYFUNCTION("""COMPUTED_VALUE"""),"Абдурахманов Улугбек")</f>
        <v>Абдурахманов Улугбек</v>
      </c>
      <c r="D49" s="1" t="str">
        <f>IFERROR(__xludf.DUMMYFUNCTION("""COMPUTED_VALUE"""),"79691382161")</f>
        <v>79691382161</v>
      </c>
      <c r="E49" s="3">
        <f>IFERROR(__xludf.DUMMYFUNCTION("""COMPUTED_VALUE"""),88800.0)</f>
        <v>88800</v>
      </c>
      <c r="F49" s="1"/>
      <c r="G49" s="4"/>
      <c r="H49" s="1"/>
      <c r="I49" s="5">
        <f>IFERROR(__xludf.DUMMYFUNCTION("""COMPUTED_VALUE"""),88800.0)</f>
        <v>88800</v>
      </c>
      <c r="J49" s="1" t="str">
        <f>IFERROR(__xludf.DUMMYFUNCTION("""COMPUTED_VALUE"""),"Оплатили")</f>
        <v>Оплатили</v>
      </c>
      <c r="K49" s="1"/>
      <c r="L49" s="1">
        <f>IFERROR(__xludf.DUMMYFUNCTION("""COMPUTED_VALUE"""),4.02513629575E11)</f>
        <v>402513629575</v>
      </c>
      <c r="M49" s="1"/>
      <c r="N49" s="1"/>
      <c r="O49" s="1"/>
      <c r="P49" s="1"/>
      <c r="Q49" s="1"/>
      <c r="R49" s="1"/>
      <c r="S49" s="1"/>
      <c r="T49" s="1"/>
      <c r="U49" s="1"/>
    </row>
    <row r="50">
      <c r="A50" s="1">
        <f>IFERROR(__xludf.DUMMYFUNCTION("""COMPUTED_VALUE"""),2025.0)</f>
        <v>2025</v>
      </c>
      <c r="B50" s="1" t="str">
        <f>IFERROR(__xludf.DUMMYFUNCTION("""COMPUTED_VALUE"""),"16.10-5.11")</f>
        <v>16.10-5.11</v>
      </c>
      <c r="C50" s="2" t="str">
        <f>IFERROR(__xludf.DUMMYFUNCTION("""COMPUTED_VALUE"""),"Пулатов Фарид")</f>
        <v>Пулатов Фарид</v>
      </c>
      <c r="D50" s="1" t="str">
        <f>IFERROR(__xludf.DUMMYFUNCTION("""COMPUTED_VALUE"""),"79694688670")</f>
        <v>79694688670</v>
      </c>
      <c r="E50" s="3">
        <f>IFERROR(__xludf.DUMMYFUNCTION("""COMPUTED_VALUE"""),105600.0)</f>
        <v>105600</v>
      </c>
      <c r="F50" s="1"/>
      <c r="G50" s="4"/>
      <c r="H50" s="1"/>
      <c r="I50" s="5">
        <f>IFERROR(__xludf.DUMMYFUNCTION("""COMPUTED_VALUE"""),105600.0)</f>
        <v>105600</v>
      </c>
      <c r="J50" s="1" t="str">
        <f>IFERROR(__xludf.DUMMYFUNCTION("""COMPUTED_VALUE"""),"Оплатили")</f>
        <v>Оплатили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>
        <f>IFERROR(__xludf.DUMMYFUNCTION("""COMPUTED_VALUE"""),2025.0)</f>
        <v>2025</v>
      </c>
      <c r="B51" s="1" t="str">
        <f>IFERROR(__xludf.DUMMYFUNCTION("""COMPUTED_VALUE"""),"16.10-5.11")</f>
        <v>16.10-5.11</v>
      </c>
      <c r="C51" s="2" t="str">
        <f>IFERROR(__xludf.DUMMYFUNCTION("""COMPUTED_VALUE"""),"Хаитова Лайло Норбоевна")</f>
        <v>Хаитова Лайло Норбоевна</v>
      </c>
      <c r="D51" s="1" t="str">
        <f>IFERROR(__xludf.DUMMYFUNCTION("""COMPUTED_VALUE"""),"79694748125")</f>
        <v>79694748125</v>
      </c>
      <c r="E51" s="3">
        <f>IFERROR(__xludf.DUMMYFUNCTION("""COMPUTED_VALUE"""),80000.0)</f>
        <v>80000</v>
      </c>
      <c r="F51" s="1"/>
      <c r="G51" s="4"/>
      <c r="H51" s="1"/>
      <c r="I51" s="5">
        <f>IFERROR(__xludf.DUMMYFUNCTION("""COMPUTED_VALUE"""),80000.0)</f>
        <v>80000</v>
      </c>
      <c r="J51" s="1" t="str">
        <f>IFERROR(__xludf.DUMMYFUNCTION("""COMPUTED_VALUE"""),"Оплатили")</f>
        <v>Оплатили</v>
      </c>
      <c r="K51" s="1"/>
      <c r="L51" s="1">
        <f>IFERROR(__xludf.DUMMYFUNCTION("""COMPUTED_VALUE"""),7.71778280523E11)</f>
        <v>771778280523</v>
      </c>
      <c r="M51" s="1"/>
      <c r="N51" s="1"/>
      <c r="O51" s="1"/>
      <c r="P51" s="1"/>
      <c r="Q51" s="1"/>
      <c r="R51" s="1"/>
      <c r="S51" s="1"/>
      <c r="T51" s="1"/>
      <c r="U51" s="1"/>
    </row>
    <row r="52">
      <c r="A52" s="1">
        <f>IFERROR(__xludf.DUMMYFUNCTION("""COMPUTED_VALUE"""),2025.0)</f>
        <v>2025</v>
      </c>
      <c r="B52" s="1" t="str">
        <f>IFERROR(__xludf.DUMMYFUNCTION("""COMPUTED_VALUE"""),"16.10-5.11")</f>
        <v>16.10-5.11</v>
      </c>
      <c r="C52" s="2" t="str">
        <f>IFERROR(__xludf.DUMMYFUNCTION("""COMPUTED_VALUE"""),"Иброхимзода Юсуф")</f>
        <v>Иброхимзода Юсуф</v>
      </c>
      <c r="D52" s="1" t="str">
        <f>IFERROR(__xludf.DUMMYFUNCTION("""COMPUTED_VALUE"""),"79694795092")</f>
        <v>79694795092</v>
      </c>
      <c r="E52" s="3">
        <f>IFERROR(__xludf.DUMMYFUNCTION("""COMPUTED_VALUE"""),71600.0)</f>
        <v>71600</v>
      </c>
      <c r="F52" s="1"/>
      <c r="G52" s="4"/>
      <c r="H52" s="1"/>
      <c r="I52" s="5">
        <f>IFERROR(__xludf.DUMMYFUNCTION("""COMPUTED_VALUE"""),71600.0)</f>
        <v>71600</v>
      </c>
      <c r="J52" s="1" t="str">
        <f>IFERROR(__xludf.DUMMYFUNCTION("""COMPUTED_VALUE"""),"Оплатили")</f>
        <v>Оплатили</v>
      </c>
      <c r="K52" s="1"/>
      <c r="L52" s="1">
        <f>IFERROR(__xludf.DUMMYFUNCTION("""COMPUTED_VALUE"""),7.72321986304E11)</f>
        <v>772321986304</v>
      </c>
      <c r="M52" s="1"/>
      <c r="N52" s="1"/>
      <c r="O52" s="1"/>
      <c r="P52" s="1"/>
      <c r="Q52" s="1"/>
      <c r="R52" s="1"/>
      <c r="S52" s="1"/>
      <c r="T52" s="1"/>
      <c r="U52" s="1"/>
    </row>
    <row r="53">
      <c r="A53" s="1">
        <f>IFERROR(__xludf.DUMMYFUNCTION("""COMPUTED_VALUE"""),2025.0)</f>
        <v>2025</v>
      </c>
      <c r="B53" s="1" t="str">
        <f>IFERROR(__xludf.DUMMYFUNCTION("""COMPUTED_VALUE"""),"16.10-5.11")</f>
        <v>16.10-5.11</v>
      </c>
      <c r="C53" s="2" t="str">
        <f>IFERROR(__xludf.DUMMYFUNCTION("""COMPUTED_VALUE"""),"Холбаева Феруза")</f>
        <v>Холбаева Феруза</v>
      </c>
      <c r="D53" s="1" t="str">
        <f>IFERROR(__xludf.DUMMYFUNCTION("""COMPUTED_VALUE"""),"79694901782")</f>
        <v>79694901782</v>
      </c>
      <c r="E53" s="3">
        <f>IFERROR(__xludf.DUMMYFUNCTION("""COMPUTED_VALUE"""),69400.0)</f>
        <v>69400</v>
      </c>
      <c r="F53" s="1"/>
      <c r="G53" s="4"/>
      <c r="H53" s="1"/>
      <c r="I53" s="5">
        <f>IFERROR(__xludf.DUMMYFUNCTION("""COMPUTED_VALUE"""),69400.0)</f>
        <v>69400</v>
      </c>
      <c r="J53" s="1" t="str">
        <f>IFERROR(__xludf.DUMMYFUNCTION("""COMPUTED_VALUE"""),"Оплатили")</f>
        <v>Оплатили</v>
      </c>
      <c r="K53" s="1"/>
      <c r="L53" s="1">
        <f>IFERROR(__xludf.DUMMYFUNCTION("""COMPUTED_VALUE"""),7.81724641498E11)</f>
        <v>781724641498</v>
      </c>
      <c r="M53" s="1"/>
      <c r="N53" s="1"/>
      <c r="O53" s="1"/>
      <c r="P53" s="1"/>
      <c r="Q53" s="1"/>
      <c r="R53" s="1"/>
      <c r="S53" s="1"/>
      <c r="T53" s="1"/>
      <c r="U53" s="1"/>
    </row>
    <row r="54">
      <c r="A54" s="1">
        <f>IFERROR(__xludf.DUMMYFUNCTION("""COMPUTED_VALUE"""),2025.0)</f>
        <v>2025</v>
      </c>
      <c r="B54" s="1" t="str">
        <f>IFERROR(__xludf.DUMMYFUNCTION("""COMPUTED_VALUE"""),"16.10-5.11")</f>
        <v>16.10-5.11</v>
      </c>
      <c r="C54" s="2" t="str">
        <f>IFERROR(__xludf.DUMMYFUNCTION("""COMPUTED_VALUE"""),"Дустназарзода Джавлонбек")</f>
        <v>Дустназарзода Джавлонбек</v>
      </c>
      <c r="D54" s="1" t="str">
        <f>IFERROR(__xludf.DUMMYFUNCTION("""COMPUTED_VALUE"""),"79774431553")</f>
        <v>79774431553</v>
      </c>
      <c r="E54" s="3">
        <f>IFERROR(__xludf.DUMMYFUNCTION("""COMPUTED_VALUE"""),79830.0)</f>
        <v>79830</v>
      </c>
      <c r="F54" s="1"/>
      <c r="G54" s="4"/>
      <c r="H54" s="1"/>
      <c r="I54" s="5">
        <f>IFERROR(__xludf.DUMMYFUNCTION("""COMPUTED_VALUE"""),79830.0)</f>
        <v>79830</v>
      </c>
      <c r="J54" s="1" t="str">
        <f>IFERROR(__xludf.DUMMYFUNCTION("""COMPUTED_VALUE"""),"Оплатили")</f>
        <v>Оплатили</v>
      </c>
      <c r="K54" s="1"/>
      <c r="L54" s="1">
        <f>IFERROR(__xludf.DUMMYFUNCTION("""COMPUTED_VALUE"""),5.04726268129E11)</f>
        <v>504726268129</v>
      </c>
      <c r="M54" s="1"/>
      <c r="N54" s="1"/>
      <c r="O54" s="1"/>
      <c r="P54" s="1"/>
      <c r="Q54" s="1"/>
      <c r="R54" s="1"/>
      <c r="S54" s="1"/>
      <c r="T54" s="1"/>
      <c r="U54" s="1"/>
    </row>
    <row r="55">
      <c r="A55" s="1">
        <f>IFERROR(__xludf.DUMMYFUNCTION("""COMPUTED_VALUE"""),2025.0)</f>
        <v>2025</v>
      </c>
      <c r="B55" s="1" t="str">
        <f>IFERROR(__xludf.DUMMYFUNCTION("""COMPUTED_VALUE"""),"16.10-5.11")</f>
        <v>16.10-5.11</v>
      </c>
      <c r="C55" s="2" t="str">
        <f>IFERROR(__xludf.DUMMYFUNCTION("""COMPUTED_VALUE"""),"Холмирзаев Сахиб")</f>
        <v>Холмирзаев Сахиб</v>
      </c>
      <c r="D55" s="1" t="str">
        <f>IFERROR(__xludf.DUMMYFUNCTION("""COMPUTED_VALUE"""),"79969750701")</f>
        <v>79969750701</v>
      </c>
      <c r="E55" s="3">
        <f>IFERROR(__xludf.DUMMYFUNCTION("""COMPUTED_VALUE"""),167334.0)</f>
        <v>167334</v>
      </c>
      <c r="F55" s="1"/>
      <c r="G55" s="4"/>
      <c r="H55" s="1"/>
      <c r="I55" s="5">
        <f>IFERROR(__xludf.DUMMYFUNCTION("""COMPUTED_VALUE"""),167334.0)</f>
        <v>167334</v>
      </c>
      <c r="J55" s="1" t="str">
        <f>IFERROR(__xludf.DUMMYFUNCTION("""COMPUTED_VALUE"""),"Оплатили")</f>
        <v>Оплатили</v>
      </c>
      <c r="K55" s="1"/>
      <c r="L55" s="1">
        <f>IFERROR(__xludf.DUMMYFUNCTION("""COMPUTED_VALUE"""),7.84210910349E11)</f>
        <v>784210910349</v>
      </c>
      <c r="M55" s="1"/>
      <c r="N55" s="1"/>
      <c r="O55" s="1"/>
      <c r="P55" s="1"/>
      <c r="Q55" s="1"/>
      <c r="R55" s="1"/>
      <c r="S55" s="1"/>
      <c r="T55" s="1"/>
      <c r="U55" s="1"/>
    </row>
    <row r="56">
      <c r="A56" s="1">
        <f>IFERROR(__xludf.DUMMYFUNCTION("""COMPUTED_VALUE"""),2025.0)</f>
        <v>2025</v>
      </c>
      <c r="B56" s="1" t="str">
        <f>IFERROR(__xludf.DUMMYFUNCTION("""COMPUTED_VALUE"""),"16.10-5.11")</f>
        <v>16.10-5.11</v>
      </c>
      <c r="C56" s="2" t="str">
        <f>IFERROR(__xludf.DUMMYFUNCTION("""COMPUTED_VALUE"""),"Примова Нилюфер")</f>
        <v>Примова Нилюфер</v>
      </c>
      <c r="D56" s="1" t="str">
        <f>IFERROR(__xludf.DUMMYFUNCTION("""COMPUTED_VALUE"""),"79775621896")</f>
        <v>79775621896</v>
      </c>
      <c r="E56" s="3">
        <f>IFERROR(__xludf.DUMMYFUNCTION("""COMPUTED_VALUE"""),69400.0)</f>
        <v>69400</v>
      </c>
      <c r="F56" s="1"/>
      <c r="G56" s="4"/>
      <c r="H56" s="1"/>
      <c r="I56" s="5">
        <f>IFERROR(__xludf.DUMMYFUNCTION("""COMPUTED_VALUE"""),69400.0)</f>
        <v>69400</v>
      </c>
      <c r="J56" s="1" t="str">
        <f>IFERROR(__xludf.DUMMYFUNCTION("""COMPUTED_VALUE"""),"Оплатили")</f>
        <v>Оплатили</v>
      </c>
      <c r="K56" s="1"/>
      <c r="L56" s="1">
        <f>IFERROR(__xludf.DUMMYFUNCTION("""COMPUTED_VALUE"""),7.72312047604E11)</f>
        <v>772312047604</v>
      </c>
      <c r="M56" s="1"/>
      <c r="N56" s="1"/>
      <c r="O56" s="1"/>
      <c r="P56" s="1"/>
      <c r="Q56" s="1"/>
      <c r="R56" s="1"/>
      <c r="S56" s="1"/>
      <c r="T56" s="1"/>
      <c r="U56" s="1"/>
    </row>
    <row r="57">
      <c r="A57" s="1">
        <f>IFERROR(__xludf.DUMMYFUNCTION("""COMPUTED_VALUE"""),2025.0)</f>
        <v>2025</v>
      </c>
      <c r="B57" s="1" t="str">
        <f>IFERROR(__xludf.DUMMYFUNCTION("""COMPUTED_VALUE"""),"16.10-5.11")</f>
        <v>16.10-5.11</v>
      </c>
      <c r="C57" s="2" t="str">
        <f>IFERROR(__xludf.DUMMYFUNCTION("""COMPUTED_VALUE"""),"Тураева Райхон")</f>
        <v>Тураева Райхон</v>
      </c>
      <c r="D57" s="1" t="str">
        <f>IFERROR(__xludf.DUMMYFUNCTION("""COMPUTED_VALUE"""),"79776109620")</f>
        <v>79776109620</v>
      </c>
      <c r="E57" s="3">
        <f>IFERROR(__xludf.DUMMYFUNCTION("""COMPUTED_VALUE"""),79800.0)</f>
        <v>79800</v>
      </c>
      <c r="F57" s="1"/>
      <c r="G57" s="4"/>
      <c r="H57" s="1"/>
      <c r="I57" s="5">
        <f>IFERROR(__xludf.DUMMYFUNCTION("""COMPUTED_VALUE"""),79800.0)</f>
        <v>79800</v>
      </c>
      <c r="J57" s="1" t="str">
        <f>IFERROR(__xludf.DUMMYFUNCTION("""COMPUTED_VALUE"""),"Оплатили")</f>
        <v>Оплатили</v>
      </c>
      <c r="K57" s="1"/>
      <c r="L57" s="1">
        <f>IFERROR(__xludf.DUMMYFUNCTION("""COMPUTED_VALUE"""),5.0072713242E11)</f>
        <v>500727132420</v>
      </c>
      <c r="M57" s="1"/>
      <c r="N57" s="1"/>
      <c r="O57" s="1"/>
      <c r="P57" s="1"/>
      <c r="Q57" s="1"/>
      <c r="R57" s="1"/>
      <c r="S57" s="1"/>
      <c r="T57" s="1"/>
      <c r="U57" s="1"/>
    </row>
    <row r="58">
      <c r="A58" s="1">
        <f>IFERROR(__xludf.DUMMYFUNCTION("""COMPUTED_VALUE"""),2025.0)</f>
        <v>2025</v>
      </c>
      <c r="B58" s="1" t="str">
        <f>IFERROR(__xludf.DUMMYFUNCTION("""COMPUTED_VALUE"""),"16.10-5.11")</f>
        <v>16.10-5.11</v>
      </c>
      <c r="C58" s="2" t="str">
        <f>IFERROR(__xludf.DUMMYFUNCTION("""COMPUTED_VALUE"""),"Камолзода Саидабону")</f>
        <v>Камолзода Саидабону</v>
      </c>
      <c r="D58" s="1" t="str">
        <f>IFERROR(__xludf.DUMMYFUNCTION("""COMPUTED_VALUE"""),"79776328956")</f>
        <v>79776328956</v>
      </c>
      <c r="E58" s="3">
        <f>IFERROR(__xludf.DUMMYFUNCTION("""COMPUTED_VALUE"""),40500.0)</f>
        <v>40500</v>
      </c>
      <c r="F58" s="1"/>
      <c r="G58" s="4"/>
      <c r="H58" s="1"/>
      <c r="I58" s="5">
        <f>IFERROR(__xludf.DUMMYFUNCTION("""COMPUTED_VALUE"""),40500.0)</f>
        <v>40500</v>
      </c>
      <c r="J58" s="1" t="str">
        <f>IFERROR(__xludf.DUMMYFUNCTION("""COMPUTED_VALUE"""),"Оплатили")</f>
        <v>Оплатили</v>
      </c>
      <c r="K58" s="1"/>
      <c r="L58" s="1">
        <f>IFERROR(__xludf.DUMMYFUNCTION("""COMPUTED_VALUE"""),7.72844070731E11)</f>
        <v>772844070731</v>
      </c>
      <c r="M58" s="1"/>
      <c r="N58" s="1"/>
      <c r="O58" s="1"/>
      <c r="P58" s="1"/>
      <c r="Q58" s="1"/>
      <c r="R58" s="1"/>
      <c r="S58" s="1"/>
      <c r="T58" s="1"/>
      <c r="U58" s="1"/>
    </row>
    <row r="59">
      <c r="A59" s="1">
        <f>IFERROR(__xludf.DUMMYFUNCTION("""COMPUTED_VALUE"""),2025.0)</f>
        <v>2025</v>
      </c>
      <c r="B59" s="1" t="str">
        <f>IFERROR(__xludf.DUMMYFUNCTION("""COMPUTED_VALUE"""),"16.10-5.11")</f>
        <v>16.10-5.11</v>
      </c>
      <c r="C59" s="2" t="str">
        <f>IFERROR(__xludf.DUMMYFUNCTION("""COMPUTED_VALUE"""),"Рахимов Сафарали")</f>
        <v>Рахимов Сафарали</v>
      </c>
      <c r="D59" s="1" t="str">
        <f>IFERROR(__xludf.DUMMYFUNCTION("""COMPUTED_VALUE"""),"79776437403")</f>
        <v>79776437403</v>
      </c>
      <c r="E59" s="3">
        <f>IFERROR(__xludf.DUMMYFUNCTION("""COMPUTED_VALUE"""),80000.0)</f>
        <v>80000</v>
      </c>
      <c r="F59" s="1"/>
      <c r="G59" s="4"/>
      <c r="H59" s="1"/>
      <c r="I59" s="5">
        <f>IFERROR(__xludf.DUMMYFUNCTION("""COMPUTED_VALUE"""),80000.0)</f>
        <v>80000</v>
      </c>
      <c r="J59" s="1" t="str">
        <f>IFERROR(__xludf.DUMMYFUNCTION("""COMPUTED_VALUE"""),"Оплатили")</f>
        <v>Оплатили</v>
      </c>
      <c r="K59" s="1"/>
      <c r="L59" s="1">
        <f>IFERROR(__xludf.DUMMYFUNCTION("""COMPUTED_VALUE"""),7.70979908855E11)</f>
        <v>770979908855</v>
      </c>
      <c r="M59" s="1"/>
      <c r="N59" s="1"/>
      <c r="O59" s="1"/>
      <c r="P59" s="1"/>
      <c r="Q59" s="1"/>
      <c r="R59" s="1"/>
      <c r="S59" s="1"/>
      <c r="T59" s="1"/>
      <c r="U59" s="1"/>
    </row>
    <row r="60">
      <c r="A60" s="1">
        <f>IFERROR(__xludf.DUMMYFUNCTION("""COMPUTED_VALUE"""),2025.0)</f>
        <v>2025</v>
      </c>
      <c r="B60" s="1" t="str">
        <f>IFERROR(__xludf.DUMMYFUNCTION("""COMPUTED_VALUE"""),"16.10-5.11")</f>
        <v>16.10-5.11</v>
      </c>
      <c r="C60" s="2" t="str">
        <f>IFERROR(__xludf.DUMMYFUNCTION("""COMPUTED_VALUE"""),"Рустамов Дониёр Абдукахорович")</f>
        <v>Рустамов Дониёр Абдукахорович</v>
      </c>
      <c r="D60" s="1" t="str">
        <f>IFERROR(__xludf.DUMMYFUNCTION("""COMPUTED_VALUE"""),"79776800074")</f>
        <v>79776800074</v>
      </c>
      <c r="E60" s="3">
        <f>IFERROR(__xludf.DUMMYFUNCTION("""COMPUTED_VALUE"""),72533.0)</f>
        <v>72533</v>
      </c>
      <c r="F60" s="1"/>
      <c r="G60" s="4"/>
      <c r="H60" s="1"/>
      <c r="I60" s="5">
        <f>IFERROR(__xludf.DUMMYFUNCTION("""COMPUTED_VALUE"""),72533.0)</f>
        <v>72533</v>
      </c>
      <c r="J60" s="1" t="str">
        <f>IFERROR(__xludf.DUMMYFUNCTION("""COMPUTED_VALUE"""),"Оплатили")</f>
        <v>Оплатили</v>
      </c>
      <c r="K60" s="1"/>
      <c r="L60" s="1">
        <f>IFERROR(__xludf.DUMMYFUNCTION("""COMPUTED_VALUE"""),9.7180693062E11)</f>
        <v>971806930620</v>
      </c>
      <c r="M60" s="1"/>
      <c r="N60" s="1"/>
      <c r="O60" s="1"/>
      <c r="P60" s="1"/>
      <c r="Q60" s="1"/>
      <c r="R60" s="1"/>
      <c r="S60" s="1"/>
      <c r="T60" s="1"/>
      <c r="U60" s="1"/>
    </row>
    <row r="61">
      <c r="A61" s="1">
        <f>IFERROR(__xludf.DUMMYFUNCTION("""COMPUTED_VALUE"""),2025.0)</f>
        <v>2025</v>
      </c>
      <c r="B61" s="1" t="str">
        <f>IFERROR(__xludf.DUMMYFUNCTION("""COMPUTED_VALUE"""),"16.10-5.11")</f>
        <v>16.10-5.11</v>
      </c>
      <c r="C61" s="2" t="str">
        <f>IFERROR(__xludf.DUMMYFUNCTION("""COMPUTED_VALUE"""),"Тешабоев Расулжон")</f>
        <v>Тешабоев Расулжон</v>
      </c>
      <c r="D61" s="1" t="str">
        <f>IFERROR(__xludf.DUMMYFUNCTION("""COMPUTED_VALUE"""),"79777013390")</f>
        <v>79777013390</v>
      </c>
      <c r="E61" s="3">
        <f>IFERROR(__xludf.DUMMYFUNCTION("""COMPUTED_VALUE"""),69000.0)</f>
        <v>69000</v>
      </c>
      <c r="F61" s="1"/>
      <c r="G61" s="4"/>
      <c r="H61" s="1"/>
      <c r="I61" s="5">
        <f>IFERROR(__xludf.DUMMYFUNCTION("""COMPUTED_VALUE"""),69000.0)</f>
        <v>69000</v>
      </c>
      <c r="J61" s="1" t="str">
        <f>IFERROR(__xludf.DUMMYFUNCTION("""COMPUTED_VALUE"""),"Оплатили")</f>
        <v>Оплатили</v>
      </c>
      <c r="K61" s="1"/>
      <c r="L61" s="1">
        <f>IFERROR(__xludf.DUMMYFUNCTION("""COMPUTED_VALUE"""),7.75171178607E11)</f>
        <v>775171178607</v>
      </c>
      <c r="M61" s="1"/>
      <c r="N61" s="1"/>
      <c r="O61" s="1"/>
      <c r="P61" s="1"/>
      <c r="Q61" s="1"/>
      <c r="R61" s="1"/>
      <c r="S61" s="1"/>
      <c r="T61" s="1"/>
      <c r="U61" s="1"/>
    </row>
    <row r="62">
      <c r="A62" s="1">
        <f>IFERROR(__xludf.DUMMYFUNCTION("""COMPUTED_VALUE"""),2025.0)</f>
        <v>2025</v>
      </c>
      <c r="B62" s="1" t="str">
        <f>IFERROR(__xludf.DUMMYFUNCTION("""COMPUTED_VALUE"""),"16.10-5.11")</f>
        <v>16.10-5.11</v>
      </c>
      <c r="C62" s="2" t="str">
        <f>IFERROR(__xludf.DUMMYFUNCTION("""COMPUTED_VALUE"""),"Оторбаев Бектурган")</f>
        <v>Оторбаев Бектурган</v>
      </c>
      <c r="D62" s="1" t="str">
        <f>IFERROR(__xludf.DUMMYFUNCTION("""COMPUTED_VALUE"""),"79777540107")</f>
        <v>79777540107</v>
      </c>
      <c r="E62" s="3">
        <f>IFERROR(__xludf.DUMMYFUNCTION("""COMPUTED_VALUE"""),77400.0)</f>
        <v>77400</v>
      </c>
      <c r="F62" s="1"/>
      <c r="G62" s="4"/>
      <c r="H62" s="1"/>
      <c r="I62" s="5">
        <f>IFERROR(__xludf.DUMMYFUNCTION("""COMPUTED_VALUE"""),77400.0)</f>
        <v>77400</v>
      </c>
      <c r="J62" s="1" t="str">
        <f>IFERROR(__xludf.DUMMYFUNCTION("""COMPUTED_VALUE"""),"Оплатили")</f>
        <v>Оплатили</v>
      </c>
      <c r="K62" s="1"/>
      <c r="L62" s="1">
        <f>IFERROR(__xludf.DUMMYFUNCTION("""COMPUTED_VALUE"""),5.01220476256E11)</f>
        <v>501220476256</v>
      </c>
      <c r="M62" s="1"/>
      <c r="N62" s="1"/>
      <c r="O62" s="1"/>
      <c r="P62" s="1"/>
      <c r="Q62" s="1"/>
      <c r="R62" s="1"/>
      <c r="S62" s="1"/>
      <c r="T62" s="1"/>
      <c r="U62" s="1"/>
    </row>
    <row r="63">
      <c r="A63" s="1">
        <f>IFERROR(__xludf.DUMMYFUNCTION("""COMPUTED_VALUE"""),2025.0)</f>
        <v>2025</v>
      </c>
      <c r="B63" s="1" t="str">
        <f>IFERROR(__xludf.DUMMYFUNCTION("""COMPUTED_VALUE"""),"16.10-5.11")</f>
        <v>16.10-5.11</v>
      </c>
      <c r="C63" s="2" t="str">
        <f>IFERROR(__xludf.DUMMYFUNCTION("""COMPUTED_VALUE"""),"Холдошбаева Айсулуу")</f>
        <v>Холдошбаева Айсулуу</v>
      </c>
      <c r="D63" s="1" t="str">
        <f>IFERROR(__xludf.DUMMYFUNCTION("""COMPUTED_VALUE"""),"79778938220")</f>
        <v>79778938220</v>
      </c>
      <c r="E63" s="3">
        <f>IFERROR(__xludf.DUMMYFUNCTION("""COMPUTED_VALUE"""),8000.0)</f>
        <v>8000</v>
      </c>
      <c r="F63" s="1"/>
      <c r="G63" s="4"/>
      <c r="H63" s="1"/>
      <c r="I63" s="5">
        <f>IFERROR(__xludf.DUMMYFUNCTION("""COMPUTED_VALUE"""),8000.0)</f>
        <v>8000</v>
      </c>
      <c r="J63" s="1" t="str">
        <f>IFERROR(__xludf.DUMMYFUNCTION("""COMPUTED_VALUE"""),"Оплатили")</f>
        <v>Оплатили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>
        <f>IFERROR(__xludf.DUMMYFUNCTION("""COMPUTED_VALUE"""),2025.0)</f>
        <v>2025</v>
      </c>
      <c r="B64" s="1" t="str">
        <f>IFERROR(__xludf.DUMMYFUNCTION("""COMPUTED_VALUE"""),"16.10-5.11")</f>
        <v>16.10-5.11</v>
      </c>
      <c r="C64" s="2" t="str">
        <f>IFERROR(__xludf.DUMMYFUNCTION("""COMPUTED_VALUE"""),"Усманов Нодир")</f>
        <v>Усманов Нодир</v>
      </c>
      <c r="D64" s="1" t="str">
        <f>IFERROR(__xludf.DUMMYFUNCTION("""COMPUTED_VALUE"""),"79800015369")</f>
        <v>79800015369</v>
      </c>
      <c r="E64" s="3">
        <f>IFERROR(__xludf.DUMMYFUNCTION("""COMPUTED_VALUE"""),84000.0)</f>
        <v>84000</v>
      </c>
      <c r="F64" s="1"/>
      <c r="G64" s="4"/>
      <c r="H64" s="1"/>
      <c r="I64" s="5">
        <f>IFERROR(__xludf.DUMMYFUNCTION("""COMPUTED_VALUE"""),84000.0)</f>
        <v>84000</v>
      </c>
      <c r="J64" s="1" t="str">
        <f>IFERROR(__xludf.DUMMYFUNCTION("""COMPUTED_VALUE"""),"Оплатили")</f>
        <v>Оплатили</v>
      </c>
      <c r="K64" s="1"/>
      <c r="L64" s="1">
        <f>IFERROR(__xludf.DUMMYFUNCTION("""COMPUTED_VALUE"""),7.75155901184E11)</f>
        <v>775155901184</v>
      </c>
      <c r="M64" s="1"/>
      <c r="N64" s="1"/>
      <c r="O64" s="1"/>
      <c r="P64" s="1"/>
      <c r="Q64" s="1"/>
      <c r="R64" s="1"/>
      <c r="S64" s="1"/>
      <c r="T64" s="1"/>
      <c r="U64" s="1"/>
    </row>
    <row r="65">
      <c r="A65" s="1">
        <f>IFERROR(__xludf.DUMMYFUNCTION("""COMPUTED_VALUE"""),2025.0)</f>
        <v>2025</v>
      </c>
      <c r="B65" s="1" t="str">
        <f>IFERROR(__xludf.DUMMYFUNCTION("""COMPUTED_VALUE"""),"16.10-5.11")</f>
        <v>16.10-5.11</v>
      </c>
      <c r="C65" s="2" t="str">
        <f>IFERROR(__xludf.DUMMYFUNCTION("""COMPUTED_VALUE"""),"Ходжаев Мухаммад")</f>
        <v>Ходжаев Мухаммад</v>
      </c>
      <c r="D65" s="1" t="str">
        <f>IFERROR(__xludf.DUMMYFUNCTION("""COMPUTED_VALUE"""),"79851400399")</f>
        <v>79851400399</v>
      </c>
      <c r="E65" s="3">
        <f>IFERROR(__xludf.DUMMYFUNCTION("""COMPUTED_VALUE"""),40667.0)</f>
        <v>40667</v>
      </c>
      <c r="F65" s="1"/>
      <c r="G65" s="4"/>
      <c r="H65" s="1"/>
      <c r="I65" s="5">
        <f>IFERROR(__xludf.DUMMYFUNCTION("""COMPUTED_VALUE"""),40667.0)</f>
        <v>40667</v>
      </c>
      <c r="J65" s="1" t="str">
        <f>IFERROR(__xludf.DUMMYFUNCTION("""COMPUTED_VALUE"""),"Оплатили")</f>
        <v>Оплатили</v>
      </c>
      <c r="K65" s="1"/>
      <c r="L65" s="1">
        <f>IFERROR(__xludf.DUMMYFUNCTION("""COMPUTED_VALUE"""),7.7515935605E11)</f>
        <v>775159356050</v>
      </c>
      <c r="M65" s="1"/>
      <c r="N65" s="1"/>
      <c r="O65" s="1"/>
      <c r="P65" s="1"/>
      <c r="Q65" s="1"/>
      <c r="R65" s="1"/>
      <c r="S65" s="1"/>
      <c r="T65" s="1"/>
      <c r="U65" s="1"/>
    </row>
    <row r="66">
      <c r="A66" s="1">
        <f>IFERROR(__xludf.DUMMYFUNCTION("""COMPUTED_VALUE"""),2025.0)</f>
        <v>2025</v>
      </c>
      <c r="B66" s="1" t="str">
        <f>IFERROR(__xludf.DUMMYFUNCTION("""COMPUTED_VALUE"""),"16.10-5.11")</f>
        <v>16.10-5.11</v>
      </c>
      <c r="C66" s="2" t="str">
        <f>IFERROR(__xludf.DUMMYFUNCTION("""COMPUTED_VALUE"""),"Расулова Махфуза Зайниддиновна")</f>
        <v>Расулова Махфуза Зайниддиновна</v>
      </c>
      <c r="D66" s="1" t="str">
        <f>IFERROR(__xludf.DUMMYFUNCTION("""COMPUTED_VALUE"""),"79854583155")</f>
        <v>79854583155</v>
      </c>
      <c r="E66" s="3">
        <f>IFERROR(__xludf.DUMMYFUNCTION("""COMPUTED_VALUE"""),80000.0)</f>
        <v>80000</v>
      </c>
      <c r="F66" s="1"/>
      <c r="G66" s="4"/>
      <c r="H66" s="1"/>
      <c r="I66" s="5">
        <f>IFERROR(__xludf.DUMMYFUNCTION("""COMPUTED_VALUE"""),80000.0)</f>
        <v>80000</v>
      </c>
      <c r="J66" s="1" t="str">
        <f>IFERROR(__xludf.DUMMYFUNCTION("""COMPUTED_VALUE"""),"Оплатили")</f>
        <v>Оплатили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>
        <f>IFERROR(__xludf.DUMMYFUNCTION("""COMPUTED_VALUE"""),2025.0)</f>
        <v>2025</v>
      </c>
      <c r="B67" s="1" t="str">
        <f>IFERROR(__xludf.DUMMYFUNCTION("""COMPUTED_VALUE"""),"16.10-5.11")</f>
        <v>16.10-5.11</v>
      </c>
      <c r="C67" s="2" t="str">
        <f>IFERROR(__xludf.DUMMYFUNCTION("""COMPUTED_VALUE"""),"Рахимов Некбахт")</f>
        <v>Рахимов Некбахт</v>
      </c>
      <c r="D67" s="1" t="str">
        <f>IFERROR(__xludf.DUMMYFUNCTION("""COMPUTED_VALUE"""),"79890499153")</f>
        <v>79890499153</v>
      </c>
      <c r="E67" s="3">
        <f>IFERROR(__xludf.DUMMYFUNCTION("""COMPUTED_VALUE"""),71500.0)</f>
        <v>71500</v>
      </c>
      <c r="F67" s="1"/>
      <c r="G67" s="4"/>
      <c r="H67" s="1"/>
      <c r="I67" s="5">
        <f>IFERROR(__xludf.DUMMYFUNCTION("""COMPUTED_VALUE"""),71500.0)</f>
        <v>71500</v>
      </c>
      <c r="J67" s="1" t="str">
        <f>IFERROR(__xludf.DUMMYFUNCTION("""COMPUTED_VALUE"""),"Оплатили")</f>
        <v>Оплатили</v>
      </c>
      <c r="K67" s="1"/>
      <c r="L67" s="1">
        <f>IFERROR(__xludf.DUMMYFUNCTION("""COMPUTED_VALUE"""),7.72281929709E11)</f>
        <v>772281929709</v>
      </c>
      <c r="M67" s="1"/>
      <c r="N67" s="1"/>
      <c r="O67" s="1"/>
      <c r="P67" s="1"/>
      <c r="Q67" s="1"/>
      <c r="R67" s="1"/>
      <c r="S67" s="1"/>
      <c r="T67" s="1"/>
      <c r="U67" s="1"/>
    </row>
    <row r="68">
      <c r="A68" s="1">
        <f>IFERROR(__xludf.DUMMYFUNCTION("""COMPUTED_VALUE"""),2025.0)</f>
        <v>2025</v>
      </c>
      <c r="B68" s="1" t="str">
        <f>IFERROR(__xludf.DUMMYFUNCTION("""COMPUTED_VALUE"""),"16.10-5.11")</f>
        <v>16.10-5.11</v>
      </c>
      <c r="C68" s="2" t="str">
        <f>IFERROR(__xludf.DUMMYFUNCTION("""COMPUTED_VALUE"""),"Султонзода Нодира")</f>
        <v>Султонзода Нодира</v>
      </c>
      <c r="D68" s="1" t="str">
        <f>IFERROR(__xludf.DUMMYFUNCTION("""COMPUTED_VALUE"""),"79891031216")</f>
        <v>79891031216</v>
      </c>
      <c r="E68" s="3">
        <f>IFERROR(__xludf.DUMMYFUNCTION("""COMPUTED_VALUE"""),68292.0)</f>
        <v>68292</v>
      </c>
      <c r="F68" s="1"/>
      <c r="G68" s="4"/>
      <c r="H68" s="1"/>
      <c r="I68" s="5">
        <f>IFERROR(__xludf.DUMMYFUNCTION("""COMPUTED_VALUE"""),68292.0)</f>
        <v>68292</v>
      </c>
      <c r="J68" s="1" t="str">
        <f>IFERROR(__xludf.DUMMYFUNCTION("""COMPUTED_VALUE"""),"Оплатили")</f>
        <v>Оплатили</v>
      </c>
      <c r="K68" s="1"/>
      <c r="L68" s="1">
        <f>IFERROR(__xludf.DUMMYFUNCTION("""COMPUTED_VALUE"""),7.75184127705E11)</f>
        <v>775184127705</v>
      </c>
      <c r="M68" s="1"/>
      <c r="N68" s="1"/>
      <c r="O68" s="1"/>
      <c r="P68" s="1"/>
      <c r="Q68" s="1"/>
      <c r="R68" s="1"/>
      <c r="S68" s="1"/>
      <c r="T68" s="1"/>
      <c r="U68" s="1"/>
    </row>
    <row r="69">
      <c r="A69" s="1">
        <f>IFERROR(__xludf.DUMMYFUNCTION("""COMPUTED_VALUE"""),2025.0)</f>
        <v>2025</v>
      </c>
      <c r="B69" s="1" t="str">
        <f>IFERROR(__xludf.DUMMYFUNCTION("""COMPUTED_VALUE"""),"16.10-5.11")</f>
        <v>16.10-5.11</v>
      </c>
      <c r="C69" s="2" t="str">
        <f>IFERROR(__xludf.DUMMYFUNCTION("""COMPUTED_VALUE"""),"Нематов Рузимухаммад")</f>
        <v>Нематов Рузимухаммад</v>
      </c>
      <c r="D69" s="1" t="str">
        <f>IFERROR(__xludf.DUMMYFUNCTION("""COMPUTED_VALUE"""),"79891066937")</f>
        <v>79891066937</v>
      </c>
      <c r="E69" s="3">
        <f>IFERROR(__xludf.DUMMYFUNCTION("""COMPUTED_VALUE"""),17500.0)</f>
        <v>17500</v>
      </c>
      <c r="F69" s="1"/>
      <c r="G69" s="4"/>
      <c r="H69" s="1"/>
      <c r="I69" s="5">
        <f>IFERROR(__xludf.DUMMYFUNCTION("""COMPUTED_VALUE"""),17500.0)</f>
        <v>17500</v>
      </c>
      <c r="J69" s="1" t="str">
        <f>IFERROR(__xludf.DUMMYFUNCTION("""COMPUTED_VALUE"""),"Оплатили")</f>
        <v>Оплатили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>
        <f>IFERROR(__xludf.DUMMYFUNCTION("""COMPUTED_VALUE"""),2025.0)</f>
        <v>2025</v>
      </c>
      <c r="B70" s="1" t="str">
        <f>IFERROR(__xludf.DUMMYFUNCTION("""COMPUTED_VALUE"""),"16.10-5.11")</f>
        <v>16.10-5.11</v>
      </c>
      <c r="C70" s="2" t="str">
        <f>IFERROR(__xludf.DUMMYFUNCTION("""COMPUTED_VALUE"""),"Атаев Иброхим")</f>
        <v>Атаев Иброхим</v>
      </c>
      <c r="D70" s="1" t="str">
        <f>IFERROR(__xludf.DUMMYFUNCTION("""COMPUTED_VALUE"""),"79911875000")</f>
        <v>79911875000</v>
      </c>
      <c r="E70" s="3">
        <f>IFERROR(__xludf.DUMMYFUNCTION("""COMPUTED_VALUE"""),79521.0)</f>
        <v>79521</v>
      </c>
      <c r="F70" s="1"/>
      <c r="G70" s="4"/>
      <c r="H70" s="1"/>
      <c r="I70" s="5">
        <f>IFERROR(__xludf.DUMMYFUNCTION("""COMPUTED_VALUE"""),79521.0)</f>
        <v>79521</v>
      </c>
      <c r="J70" s="1" t="str">
        <f>IFERROR(__xludf.DUMMYFUNCTION("""COMPUTED_VALUE"""),"Оплатили")</f>
        <v>Оплатили</v>
      </c>
      <c r="K70" s="1"/>
      <c r="L70" s="1">
        <f>IFERROR(__xludf.DUMMYFUNCTION("""COMPUTED_VALUE"""),2.46415369245E11)</f>
        <v>246415369245</v>
      </c>
      <c r="M70" s="1"/>
      <c r="N70" s="1"/>
      <c r="O70" s="1"/>
      <c r="P70" s="1"/>
      <c r="Q70" s="1"/>
      <c r="R70" s="1"/>
      <c r="S70" s="1"/>
      <c r="T70" s="1"/>
      <c r="U70" s="1"/>
    </row>
    <row r="71">
      <c r="A71" s="1">
        <f>IFERROR(__xludf.DUMMYFUNCTION("""COMPUTED_VALUE"""),2025.0)</f>
        <v>2025</v>
      </c>
      <c r="B71" s="1" t="str">
        <f>IFERROR(__xludf.DUMMYFUNCTION("""COMPUTED_VALUE"""),"16.10-5.11")</f>
        <v>16.10-5.11</v>
      </c>
      <c r="C71" s="2" t="str">
        <f>IFERROR(__xludf.DUMMYFUNCTION("""COMPUTED_VALUE"""),"Акбарова Зылола")</f>
        <v>Акбарова Зылола</v>
      </c>
      <c r="D71" s="1" t="str">
        <f>IFERROR(__xludf.DUMMYFUNCTION("""COMPUTED_VALUE"""),"79912261183")</f>
        <v>79912261183</v>
      </c>
      <c r="E71" s="3">
        <f>IFERROR(__xludf.DUMMYFUNCTION("""COMPUTED_VALUE"""),70997.0)</f>
        <v>70997</v>
      </c>
      <c r="F71" s="1"/>
      <c r="G71" s="4"/>
      <c r="H71" s="1"/>
      <c r="I71" s="5">
        <f>IFERROR(__xludf.DUMMYFUNCTION("""COMPUTED_VALUE"""),70997.0)</f>
        <v>70997</v>
      </c>
      <c r="J71" s="1" t="str">
        <f>IFERROR(__xludf.DUMMYFUNCTION("""COMPUTED_VALUE"""),"Оплатили")</f>
        <v>Оплатили</v>
      </c>
      <c r="K71" s="1"/>
      <c r="L71" s="1">
        <f>IFERROR(__xludf.DUMMYFUNCTION("""COMPUTED_VALUE"""),5.0423296544E11)</f>
        <v>504232965440</v>
      </c>
      <c r="M71" s="1"/>
      <c r="N71" s="1"/>
      <c r="O71" s="1"/>
      <c r="P71" s="1"/>
      <c r="Q71" s="1"/>
      <c r="R71" s="1"/>
      <c r="S71" s="1"/>
      <c r="T71" s="1"/>
      <c r="U71" s="1"/>
    </row>
    <row r="72">
      <c r="A72" s="1">
        <f>IFERROR(__xludf.DUMMYFUNCTION("""COMPUTED_VALUE"""),2025.0)</f>
        <v>2025</v>
      </c>
      <c r="B72" s="1" t="str">
        <f>IFERROR(__xludf.DUMMYFUNCTION("""COMPUTED_VALUE"""),"16.10-5.11")</f>
        <v>16.10-5.11</v>
      </c>
      <c r="C72" s="2" t="str">
        <f>IFERROR(__xludf.DUMMYFUNCTION("""COMPUTED_VALUE"""),"Аюбова Мухайе")</f>
        <v>Аюбова Мухайе</v>
      </c>
      <c r="D72" s="1" t="str">
        <f>IFERROR(__xludf.DUMMYFUNCTION("""COMPUTED_VALUE"""),"79969645979")</f>
        <v>79969645979</v>
      </c>
      <c r="E72" s="3">
        <f>IFERROR(__xludf.DUMMYFUNCTION("""COMPUTED_VALUE"""),68000.0)</f>
        <v>68000</v>
      </c>
      <c r="F72" s="1"/>
      <c r="G72" s="4"/>
      <c r="H72" s="1"/>
      <c r="I72" s="5">
        <f>IFERROR(__xludf.DUMMYFUNCTION("""COMPUTED_VALUE"""),68000.0)</f>
        <v>68000</v>
      </c>
      <c r="J72" s="1" t="str">
        <f>IFERROR(__xludf.DUMMYFUNCTION("""COMPUTED_VALUE"""),"Оплатили")</f>
        <v>Оплатили</v>
      </c>
      <c r="K72" s="1"/>
      <c r="L72" s="1">
        <f>IFERROR(__xludf.DUMMYFUNCTION("""COMPUTED_VALUE"""),6.67803019045E11)</f>
        <v>667803019045</v>
      </c>
      <c r="M72" s="1"/>
      <c r="N72" s="1"/>
      <c r="O72" s="1"/>
      <c r="P72" s="1"/>
      <c r="Q72" s="1"/>
      <c r="R72" s="1"/>
      <c r="S72" s="1"/>
      <c r="T72" s="1"/>
      <c r="U72" s="1"/>
    </row>
    <row r="73">
      <c r="A73" s="1">
        <f>IFERROR(__xludf.DUMMYFUNCTION("""COMPUTED_VALUE"""),2025.0)</f>
        <v>2025</v>
      </c>
      <c r="B73" s="1" t="str">
        <f>IFERROR(__xludf.DUMMYFUNCTION("""COMPUTED_VALUE"""),"16.10-5.11")</f>
        <v>16.10-5.11</v>
      </c>
      <c r="C73" s="2" t="str">
        <f>IFERROR(__xludf.DUMMYFUNCTION("""COMPUTED_VALUE"""),"Курбанов Мехробджон Манучехрович")</f>
        <v>Курбанов Мехробджон Манучехрович</v>
      </c>
      <c r="D73" s="1" t="str">
        <f>IFERROR(__xludf.DUMMYFUNCTION("""COMPUTED_VALUE"""),"79939246738")</f>
        <v>79939246738</v>
      </c>
      <c r="E73" s="3">
        <f>IFERROR(__xludf.DUMMYFUNCTION("""COMPUTED_VALUE"""),62340.0)</f>
        <v>62340</v>
      </c>
      <c r="F73" s="1"/>
      <c r="G73" s="4"/>
      <c r="H73" s="1"/>
      <c r="I73" s="5">
        <f>IFERROR(__xludf.DUMMYFUNCTION("""COMPUTED_VALUE"""),62340.0)</f>
        <v>62340</v>
      </c>
      <c r="J73" s="1" t="str">
        <f>IFERROR(__xludf.DUMMYFUNCTION("""COMPUTED_VALUE"""),"Оплатили")</f>
        <v>Оплатили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>
        <f>IFERROR(__xludf.DUMMYFUNCTION("""COMPUTED_VALUE"""),2025.0)</f>
        <v>2025</v>
      </c>
      <c r="B74" s="1" t="str">
        <f>IFERROR(__xludf.DUMMYFUNCTION("""COMPUTED_VALUE"""),"16.10-5.11")</f>
        <v>16.10-5.11</v>
      </c>
      <c r="C74" s="2" t="str">
        <f>IFERROR(__xludf.DUMMYFUNCTION("""COMPUTED_VALUE"""),"Хакимханов Мухаммадхон")</f>
        <v>Хакимханов Мухаммадхон</v>
      </c>
      <c r="D74" s="1" t="str">
        <f>IFERROR(__xludf.DUMMYFUNCTION("""COMPUTED_VALUE"""),"79955063157")</f>
        <v>79955063157</v>
      </c>
      <c r="E74" s="3">
        <f>IFERROR(__xludf.DUMMYFUNCTION("""COMPUTED_VALUE"""),85000.0)</f>
        <v>85000</v>
      </c>
      <c r="F74" s="1"/>
      <c r="G74" s="4"/>
      <c r="H74" s="1"/>
      <c r="I74" s="5">
        <f>IFERROR(__xludf.DUMMYFUNCTION("""COMPUTED_VALUE"""),85000.0)</f>
        <v>85000</v>
      </c>
      <c r="J74" s="1" t="str">
        <f>IFERROR(__xludf.DUMMYFUNCTION("""COMPUTED_VALUE"""),"Оплатили")</f>
        <v>Оплатили</v>
      </c>
      <c r="K74" s="1"/>
      <c r="L74" s="1">
        <f>IFERROR(__xludf.DUMMYFUNCTION("""COMPUTED_VALUE"""),7.72323442638E11)</f>
        <v>772323442638</v>
      </c>
      <c r="M74" s="1"/>
      <c r="N74" s="1"/>
      <c r="O74" s="1"/>
      <c r="P74" s="1"/>
      <c r="Q74" s="1"/>
      <c r="R74" s="1"/>
      <c r="S74" s="1"/>
      <c r="T74" s="1"/>
      <c r="U74" s="1"/>
    </row>
    <row r="75">
      <c r="A75" s="1">
        <f>IFERROR(__xludf.DUMMYFUNCTION("""COMPUTED_VALUE"""),2025.0)</f>
        <v>2025</v>
      </c>
      <c r="B75" s="1" t="str">
        <f>IFERROR(__xludf.DUMMYFUNCTION("""COMPUTED_VALUE"""),"16.10-5.11")</f>
        <v>16.10-5.11</v>
      </c>
      <c r="C75" s="2" t="str">
        <f>IFERROR(__xludf.DUMMYFUNCTION("""COMPUTED_VALUE"""),"Нематова Мархабо")</f>
        <v>Нематова Мархабо</v>
      </c>
      <c r="D75" s="1" t="str">
        <f>IFERROR(__xludf.DUMMYFUNCTION("""COMPUTED_VALUE"""),"79955575643")</f>
        <v>79955575643</v>
      </c>
      <c r="E75" s="3">
        <f>IFERROR(__xludf.DUMMYFUNCTION("""COMPUTED_VALUE"""),60800.0)</f>
        <v>60800</v>
      </c>
      <c r="F75" s="1"/>
      <c r="G75" s="4"/>
      <c r="H75" s="1"/>
      <c r="I75" s="5">
        <f>IFERROR(__xludf.DUMMYFUNCTION("""COMPUTED_VALUE"""),60800.0)</f>
        <v>60800</v>
      </c>
      <c r="J75" s="1" t="str">
        <f>IFERROR(__xludf.DUMMYFUNCTION("""COMPUTED_VALUE"""),"Оплатили")</f>
        <v>Оплатили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>
        <f>IFERROR(__xludf.DUMMYFUNCTION("""COMPUTED_VALUE"""),2025.0)</f>
        <v>2025</v>
      </c>
      <c r="B76" s="1" t="str">
        <f>IFERROR(__xludf.DUMMYFUNCTION("""COMPUTED_VALUE"""),"16.10-5.11")</f>
        <v>16.10-5.11</v>
      </c>
      <c r="C76" s="2" t="str">
        <f>IFERROR(__xludf.DUMMYFUNCTION("""COMPUTED_VALUE"""),"Сатаров Адхам")</f>
        <v>Сатаров Адхам</v>
      </c>
      <c r="D76" s="1" t="str">
        <f>IFERROR(__xludf.DUMMYFUNCTION("""COMPUTED_VALUE"""),"79957088596")</f>
        <v>79957088596</v>
      </c>
      <c r="E76" s="3">
        <f>IFERROR(__xludf.DUMMYFUNCTION("""COMPUTED_VALUE"""),85000.0)</f>
        <v>85000</v>
      </c>
      <c r="F76" s="1"/>
      <c r="G76" s="4"/>
      <c r="H76" s="1"/>
      <c r="I76" s="5">
        <f>IFERROR(__xludf.DUMMYFUNCTION("""COMPUTED_VALUE"""),85000.0)</f>
        <v>85000</v>
      </c>
      <c r="J76" s="1" t="str">
        <f>IFERROR(__xludf.DUMMYFUNCTION("""COMPUTED_VALUE"""),"Оплатили")</f>
        <v>Оплатили</v>
      </c>
      <c r="K76" s="1"/>
      <c r="L76" s="1">
        <f>IFERROR(__xludf.DUMMYFUNCTION("""COMPUTED_VALUE"""),7.75117173632E11)</f>
        <v>775117173632</v>
      </c>
      <c r="M76" s="1"/>
      <c r="N76" s="1"/>
      <c r="O76" s="1"/>
      <c r="P76" s="1"/>
      <c r="Q76" s="1"/>
      <c r="R76" s="1"/>
      <c r="S76" s="1"/>
      <c r="T76" s="1"/>
      <c r="U76" s="1"/>
    </row>
    <row r="77">
      <c r="A77" s="1">
        <f>IFERROR(__xludf.DUMMYFUNCTION("""COMPUTED_VALUE"""),2025.0)</f>
        <v>2025</v>
      </c>
      <c r="B77" s="1" t="str">
        <f>IFERROR(__xludf.DUMMYFUNCTION("""COMPUTED_VALUE"""),"16.10-5.11")</f>
        <v>16.10-5.11</v>
      </c>
      <c r="C77" s="2" t="str">
        <f>IFERROR(__xludf.DUMMYFUNCTION("""COMPUTED_VALUE"""),"Зуфарова Дилбар")</f>
        <v>Зуфарова Дилбар</v>
      </c>
      <c r="D77" s="1" t="str">
        <f>IFERROR(__xludf.DUMMYFUNCTION("""COMPUTED_VALUE"""),"79962119116")</f>
        <v>79962119116</v>
      </c>
      <c r="E77" s="3">
        <f>IFERROR(__xludf.DUMMYFUNCTION("""COMPUTED_VALUE"""),65000.0)</f>
        <v>65000</v>
      </c>
      <c r="F77" s="1"/>
      <c r="G77" s="4"/>
      <c r="H77" s="1"/>
      <c r="I77" s="5">
        <f>IFERROR(__xludf.DUMMYFUNCTION("""COMPUTED_VALUE"""),65000.0)</f>
        <v>65000</v>
      </c>
      <c r="J77" s="1" t="str">
        <f>IFERROR(__xludf.DUMMYFUNCTION("""COMPUTED_VALUE"""),"Оплатили")</f>
        <v>Оплатили</v>
      </c>
      <c r="K77" s="1"/>
      <c r="L77" s="1">
        <f>IFERROR(__xludf.DUMMYFUNCTION("""COMPUTED_VALUE"""),2.3101357277E11)</f>
        <v>231013572770</v>
      </c>
      <c r="M77" s="1"/>
      <c r="N77" s="1"/>
      <c r="O77" s="1"/>
      <c r="P77" s="1"/>
      <c r="Q77" s="1"/>
      <c r="R77" s="1"/>
      <c r="S77" s="1"/>
      <c r="T77" s="1"/>
      <c r="U77" s="1"/>
    </row>
    <row r="78">
      <c r="A78" s="1">
        <f>IFERROR(__xludf.DUMMYFUNCTION("""COMPUTED_VALUE"""),2025.0)</f>
        <v>2025</v>
      </c>
      <c r="B78" s="1" t="str">
        <f>IFERROR(__xludf.DUMMYFUNCTION("""COMPUTED_VALUE"""),"16.10-5.11")</f>
        <v>16.10-5.11</v>
      </c>
      <c r="C78" s="2" t="str">
        <f>IFERROR(__xludf.DUMMYFUNCTION("""COMPUTED_VALUE"""),"Юлдашева Нигора")</f>
        <v>Юлдашева Нигора</v>
      </c>
      <c r="D78" s="1" t="str">
        <f>IFERROR(__xludf.DUMMYFUNCTION("""COMPUTED_VALUE"""),"79963682991")</f>
        <v>79963682991</v>
      </c>
      <c r="E78" s="3">
        <f>IFERROR(__xludf.DUMMYFUNCTION("""COMPUTED_VALUE"""),70500.0)</f>
        <v>70500</v>
      </c>
      <c r="F78" s="1"/>
      <c r="G78" s="4"/>
      <c r="H78" s="1"/>
      <c r="I78" s="5">
        <f>IFERROR(__xludf.DUMMYFUNCTION("""COMPUTED_VALUE"""),70500.0)</f>
        <v>70500</v>
      </c>
      <c r="J78" s="1" t="str">
        <f>IFERROR(__xludf.DUMMYFUNCTION("""COMPUTED_VALUE"""),"Оплатили")</f>
        <v>Оплатили</v>
      </c>
      <c r="K78" s="1"/>
      <c r="L78" s="1">
        <f>IFERROR(__xludf.DUMMYFUNCTION("""COMPUTED_VALUE"""),7.7512017364E11)</f>
        <v>775120173640</v>
      </c>
      <c r="M78" s="1"/>
      <c r="N78" s="1"/>
      <c r="O78" s="1"/>
      <c r="P78" s="1"/>
      <c r="Q78" s="1"/>
      <c r="R78" s="1"/>
      <c r="S78" s="1"/>
      <c r="T78" s="1"/>
      <c r="U78" s="1"/>
    </row>
    <row r="79">
      <c r="A79" s="1">
        <f>IFERROR(__xludf.DUMMYFUNCTION("""COMPUTED_VALUE"""),2025.0)</f>
        <v>2025</v>
      </c>
      <c r="B79" s="1" t="str">
        <f>IFERROR(__xludf.DUMMYFUNCTION("""COMPUTED_VALUE"""),"16.10-5.11")</f>
        <v>16.10-5.11</v>
      </c>
      <c r="C79" s="2" t="str">
        <f>IFERROR(__xludf.DUMMYFUNCTION("""COMPUTED_VALUE"""),"Курбанова Умида Юсуб Кизи")</f>
        <v>Курбанова Умида Юсуб Кизи</v>
      </c>
      <c r="D79" s="1" t="str">
        <f>IFERROR(__xludf.DUMMYFUNCTION("""COMPUTED_VALUE"""),"79969669203")</f>
        <v>79969669203</v>
      </c>
      <c r="E79" s="3">
        <f>IFERROR(__xludf.DUMMYFUNCTION("""COMPUTED_VALUE"""),80000.0)</f>
        <v>80000</v>
      </c>
      <c r="F79" s="1"/>
      <c r="G79" s="4"/>
      <c r="H79" s="1"/>
      <c r="I79" s="5">
        <f>IFERROR(__xludf.DUMMYFUNCTION("""COMPUTED_VALUE"""),80000.0)</f>
        <v>80000</v>
      </c>
      <c r="J79" s="1" t="str">
        <f>IFERROR(__xludf.DUMMYFUNCTION("""COMPUTED_VALUE"""),"Оплатили")</f>
        <v>Оплатили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>
        <f>IFERROR(__xludf.DUMMYFUNCTION("""COMPUTED_VALUE"""),2025.0)</f>
        <v>2025</v>
      </c>
      <c r="B80" s="1" t="str">
        <f>IFERROR(__xludf.DUMMYFUNCTION("""COMPUTED_VALUE"""),"16.10-5.11")</f>
        <v>16.10-5.11</v>
      </c>
      <c r="C80" s="2" t="str">
        <f>IFERROR(__xludf.DUMMYFUNCTION("""COMPUTED_VALUE"""),"Зиятова Комила")</f>
        <v>Зиятова Комила</v>
      </c>
      <c r="D80" s="1" t="str">
        <f>IFERROR(__xludf.DUMMYFUNCTION("""COMPUTED_VALUE"""),"79969818788")</f>
        <v>79969818788</v>
      </c>
      <c r="E80" s="3">
        <f>IFERROR(__xludf.DUMMYFUNCTION("""COMPUTED_VALUE"""),36300.0)</f>
        <v>36300</v>
      </c>
      <c r="F80" s="1"/>
      <c r="G80" s="4"/>
      <c r="H80" s="1"/>
      <c r="I80" s="5">
        <f>IFERROR(__xludf.DUMMYFUNCTION("""COMPUTED_VALUE"""),36300.0)</f>
        <v>36300</v>
      </c>
      <c r="J80" s="1" t="str">
        <f>IFERROR(__xludf.DUMMYFUNCTION("""COMPUTED_VALUE"""),"Оплатили")</f>
        <v>Оплатили</v>
      </c>
      <c r="K80" s="1"/>
      <c r="L80" s="1">
        <f>IFERROR(__xludf.DUMMYFUNCTION("""COMPUTED_VALUE"""),7.81160795068E11)</f>
        <v>781160795068</v>
      </c>
      <c r="M80" s="1"/>
      <c r="N80" s="1"/>
      <c r="O80" s="1"/>
      <c r="P80" s="1"/>
      <c r="Q80" s="1"/>
      <c r="R80" s="1"/>
      <c r="S80" s="1"/>
      <c r="T80" s="1"/>
      <c r="U80" s="1"/>
    </row>
    <row r="81">
      <c r="A81" s="1">
        <f>IFERROR(__xludf.DUMMYFUNCTION("""COMPUTED_VALUE"""),2025.0)</f>
        <v>2025</v>
      </c>
      <c r="B81" s="1" t="str">
        <f>IFERROR(__xludf.DUMMYFUNCTION("""COMPUTED_VALUE"""),"16.10-5.11")</f>
        <v>16.10-5.11</v>
      </c>
      <c r="C81" s="2" t="str">
        <f>IFERROR(__xludf.DUMMYFUNCTION("""COMPUTED_VALUE"""),"Далив Мехроб Шомуродович")</f>
        <v>Далив Мехроб Шомуродович</v>
      </c>
      <c r="D81" s="1" t="str">
        <f>IFERROR(__xludf.DUMMYFUNCTION("""COMPUTED_VALUE"""),"79969875036")</f>
        <v>79969875036</v>
      </c>
      <c r="E81" s="3">
        <f>IFERROR(__xludf.DUMMYFUNCTION("""COMPUTED_VALUE"""),76000.0)</f>
        <v>76000</v>
      </c>
      <c r="F81" s="1"/>
      <c r="G81" s="4"/>
      <c r="H81" s="1"/>
      <c r="I81" s="5">
        <f>IFERROR(__xludf.DUMMYFUNCTION("""COMPUTED_VALUE"""),76000.0)</f>
        <v>76000</v>
      </c>
      <c r="J81" s="1" t="str">
        <f>IFERROR(__xludf.DUMMYFUNCTION("""COMPUTED_VALUE"""),"Оплатили")</f>
        <v>Оплатили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>
        <f>IFERROR(__xludf.DUMMYFUNCTION("""COMPUTED_VALUE"""),2025.0)</f>
        <v>2025</v>
      </c>
      <c r="B82" s="1" t="str">
        <f>IFERROR(__xludf.DUMMYFUNCTION("""COMPUTED_VALUE"""),"16.10-5.11")</f>
        <v>16.10-5.11</v>
      </c>
      <c r="C82" s="2" t="str">
        <f>IFERROR(__xludf.DUMMYFUNCTION("""COMPUTED_VALUE"""),"Исмаилов Хусанбой")</f>
        <v>Исмаилов Хусанбой</v>
      </c>
      <c r="D82" s="1" t="str">
        <f>IFERROR(__xludf.DUMMYFUNCTION("""COMPUTED_VALUE"""),"79969888664")</f>
        <v>79969888664</v>
      </c>
      <c r="E82" s="3">
        <f>IFERROR(__xludf.DUMMYFUNCTION("""COMPUTED_VALUE"""),93000.0)</f>
        <v>93000</v>
      </c>
      <c r="F82" s="1"/>
      <c r="G82" s="4"/>
      <c r="H82" s="1"/>
      <c r="I82" s="5">
        <f>IFERROR(__xludf.DUMMYFUNCTION("""COMPUTED_VALUE"""),93000.0)</f>
        <v>93000</v>
      </c>
      <c r="J82" s="1" t="str">
        <f>IFERROR(__xludf.DUMMYFUNCTION("""COMPUTED_VALUE"""),"Оплатили")</f>
        <v>Оплатили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>
        <f>IFERROR(__xludf.DUMMYFUNCTION("""COMPUTED_VALUE"""),2025.0)</f>
        <v>2025</v>
      </c>
      <c r="B83" s="1" t="str">
        <f>IFERROR(__xludf.DUMMYFUNCTION("""COMPUTED_VALUE"""),"16.10-5.11")</f>
        <v>16.10-5.11</v>
      </c>
      <c r="C83" s="2" t="str">
        <f>IFERROR(__xludf.DUMMYFUNCTION("""COMPUTED_VALUE"""),"Булдурсунова Алина")</f>
        <v>Булдурсунова Алина</v>
      </c>
      <c r="D83" s="1" t="str">
        <f>IFERROR(__xludf.DUMMYFUNCTION("""COMPUTED_VALUE"""),"79990032538")</f>
        <v>79990032538</v>
      </c>
      <c r="E83" s="3">
        <f>IFERROR(__xludf.DUMMYFUNCTION("""COMPUTED_VALUE"""),63747.0)</f>
        <v>63747</v>
      </c>
      <c r="F83" s="1"/>
      <c r="G83" s="4"/>
      <c r="H83" s="1"/>
      <c r="I83" s="5">
        <f>IFERROR(__xludf.DUMMYFUNCTION("""COMPUTED_VALUE"""),63747.0)</f>
        <v>63747</v>
      </c>
      <c r="J83" s="1" t="str">
        <f>IFERROR(__xludf.DUMMYFUNCTION("""COMPUTED_VALUE"""),"Оплатили")</f>
        <v>Оплатили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>
        <f>IFERROR(__xludf.DUMMYFUNCTION("""COMPUTED_VALUE"""),2025.0)</f>
        <v>2025</v>
      </c>
      <c r="B84" s="1" t="str">
        <f>IFERROR(__xludf.DUMMYFUNCTION("""COMPUTED_VALUE"""),"16.10-5.11")</f>
        <v>16.10-5.11</v>
      </c>
      <c r="C84" s="2" t="str">
        <f>IFERROR(__xludf.DUMMYFUNCTION("""COMPUTED_VALUE"""),"Махаматов Бекзод")</f>
        <v>Махаматов Бекзод</v>
      </c>
      <c r="D84" s="1" t="str">
        <f>IFERROR(__xludf.DUMMYFUNCTION("""COMPUTED_VALUE"""),"79998290697")</f>
        <v>79998290697</v>
      </c>
      <c r="E84" s="3">
        <f>IFERROR(__xludf.DUMMYFUNCTION("""COMPUTED_VALUE"""),90300.0)</f>
        <v>90300</v>
      </c>
      <c r="F84" s="1"/>
      <c r="G84" s="4"/>
      <c r="H84" s="1"/>
      <c r="I84" s="5">
        <f>IFERROR(__xludf.DUMMYFUNCTION("""COMPUTED_VALUE"""),90300.0)</f>
        <v>90300</v>
      </c>
      <c r="J84" s="1" t="str">
        <f>IFERROR(__xludf.DUMMYFUNCTION("""COMPUTED_VALUE"""),"Оплатили")</f>
        <v>Оплатили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>
        <f>IFERROR(__xludf.DUMMYFUNCTION("""COMPUTED_VALUE"""),2025.0)</f>
        <v>2025</v>
      </c>
      <c r="B85" s="1" t="str">
        <f>IFERROR(__xludf.DUMMYFUNCTION("""COMPUTED_VALUE"""),"16.10-5.11")</f>
        <v>16.10-5.11</v>
      </c>
      <c r="C85" s="2" t="str">
        <f>IFERROR(__xludf.DUMMYFUNCTION("""COMPUTED_VALUE"""),"Турдубаева Саткынай")</f>
        <v>Турдубаева Саткынай</v>
      </c>
      <c r="D85" s="1" t="str">
        <f>IFERROR(__xludf.DUMMYFUNCTION("""COMPUTED_VALUE"""),"79253866063")</f>
        <v>79253866063</v>
      </c>
      <c r="E85" s="3">
        <f>IFERROR(__xludf.DUMMYFUNCTION("""COMPUTED_VALUE"""),76000.0)</f>
        <v>76000</v>
      </c>
      <c r="F85" s="1"/>
      <c r="G85" s="4"/>
      <c r="H85" s="1"/>
      <c r="I85" s="5">
        <f>IFERROR(__xludf.DUMMYFUNCTION("""COMPUTED_VALUE"""),76000.0)</f>
        <v>76000</v>
      </c>
      <c r="J85" s="1" t="str">
        <f>IFERROR(__xludf.DUMMYFUNCTION("""COMPUTED_VALUE"""),"Оплатили")</f>
        <v>Оплатили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>
        <f>IFERROR(__xludf.DUMMYFUNCTION("""COMPUTED_VALUE"""),2025.0)</f>
        <v>2025</v>
      </c>
      <c r="B86" s="1" t="str">
        <f>IFERROR(__xludf.DUMMYFUNCTION("""COMPUTED_VALUE"""),"16.10-5.11")</f>
        <v>16.10-5.11</v>
      </c>
      <c r="C86" s="2" t="str">
        <f>IFERROR(__xludf.DUMMYFUNCTION("""COMPUTED_VALUE"""),"Жураев Бахриддин Фахриддинович")</f>
        <v>Жураев Бахриддин Фахриддинович</v>
      </c>
      <c r="D86" s="1" t="str">
        <f>IFERROR(__xludf.DUMMYFUNCTION("""COMPUTED_VALUE"""),"79260684763")</f>
        <v>79260684763</v>
      </c>
      <c r="E86" s="3">
        <f>IFERROR(__xludf.DUMMYFUNCTION("""COMPUTED_VALUE"""),79330.0)</f>
        <v>79330</v>
      </c>
      <c r="F86" s="1"/>
      <c r="G86" s="4"/>
      <c r="H86" s="1"/>
      <c r="I86" s="5">
        <f>IFERROR(__xludf.DUMMYFUNCTION("""COMPUTED_VALUE"""),79330.0)</f>
        <v>79330</v>
      </c>
      <c r="J86" s="1" t="str">
        <f>IFERROR(__xludf.DUMMYFUNCTION("""COMPUTED_VALUE"""),"Оплатили")</f>
        <v>Оплатили</v>
      </c>
      <c r="K86" s="1"/>
      <c r="L86" s="1">
        <f>IFERROR(__xludf.DUMMYFUNCTION("""COMPUTED_VALUE"""),7.75182197834E11)</f>
        <v>775182197834</v>
      </c>
      <c r="M86" s="1"/>
      <c r="N86" s="1"/>
      <c r="O86" s="1"/>
      <c r="P86" s="1"/>
      <c r="Q86" s="1"/>
      <c r="R86" s="1"/>
      <c r="S86" s="1"/>
      <c r="T86" s="1"/>
      <c r="U86" s="1"/>
    </row>
    <row r="87">
      <c r="A87" s="1">
        <f>IFERROR(__xludf.DUMMYFUNCTION("""COMPUTED_VALUE"""),2025.0)</f>
        <v>2025</v>
      </c>
      <c r="B87" s="1" t="str">
        <f>IFERROR(__xludf.DUMMYFUNCTION("""COMPUTED_VALUE"""),"16.10-5.11")</f>
        <v>16.10-5.11</v>
      </c>
      <c r="C87" s="2" t="str">
        <f>IFERROR(__xludf.DUMMYFUNCTION("""COMPUTED_VALUE"""),"Касымалиев Бекзат")</f>
        <v>Касымалиев Бекзат</v>
      </c>
      <c r="D87" s="1" t="str">
        <f>IFERROR(__xludf.DUMMYFUNCTION("""COMPUTED_VALUE"""),"79801374981")</f>
        <v>79801374981</v>
      </c>
      <c r="E87" s="3">
        <f>IFERROR(__xludf.DUMMYFUNCTION("""COMPUTED_VALUE"""),106925.0)</f>
        <v>106925</v>
      </c>
      <c r="F87" s="1"/>
      <c r="G87" s="4"/>
      <c r="H87" s="1"/>
      <c r="I87" s="5">
        <f>IFERROR(__xludf.DUMMYFUNCTION("""COMPUTED_VALUE"""),106925.0)</f>
        <v>106925</v>
      </c>
      <c r="J87" s="1" t="str">
        <f>IFERROR(__xludf.DUMMYFUNCTION("""COMPUTED_VALUE"""),"Оплатили")</f>
        <v>Оплатили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>
        <f>IFERROR(__xludf.DUMMYFUNCTION("""COMPUTED_VALUE"""),2025.0)</f>
        <v>2025</v>
      </c>
      <c r="B88" s="1" t="str">
        <f>IFERROR(__xludf.DUMMYFUNCTION("""COMPUTED_VALUE"""),"16.10-5.11")</f>
        <v>16.10-5.11</v>
      </c>
      <c r="C88" s="2" t="str">
        <f>IFERROR(__xludf.DUMMYFUNCTION("""COMPUTED_VALUE"""),"Зулунов Акбарали Шухратбек угли")</f>
        <v>Зулунов Акбарали Шухратбек угли</v>
      </c>
      <c r="D88" s="1" t="str">
        <f>IFERROR(__xludf.DUMMYFUNCTION("""COMPUTED_VALUE"""),"79684325555")</f>
        <v>79684325555</v>
      </c>
      <c r="E88" s="3">
        <f>IFERROR(__xludf.DUMMYFUNCTION("""COMPUTED_VALUE"""),70867.0)</f>
        <v>70867</v>
      </c>
      <c r="F88" s="1"/>
      <c r="G88" s="4"/>
      <c r="H88" s="1"/>
      <c r="I88" s="5">
        <f>IFERROR(__xludf.DUMMYFUNCTION("""COMPUTED_VALUE"""),70867.0)</f>
        <v>70867</v>
      </c>
      <c r="J88" s="1" t="str">
        <f>IFERROR(__xludf.DUMMYFUNCTION("""COMPUTED_VALUE"""),"Оплатили")</f>
        <v>Оплатили</v>
      </c>
      <c r="K88" s="1"/>
      <c r="L88" s="1">
        <f>IFERROR(__xludf.DUMMYFUNCTION("""COMPUTED_VALUE"""),5.02765439695E11)</f>
        <v>502765439695</v>
      </c>
      <c r="M88" s="1"/>
      <c r="N88" s="1"/>
      <c r="O88" s="1"/>
      <c r="P88" s="1"/>
      <c r="Q88" s="1"/>
      <c r="R88" s="1"/>
      <c r="S88" s="1"/>
      <c r="T88" s="1"/>
      <c r="U88" s="1"/>
    </row>
    <row r="89">
      <c r="A89" s="1">
        <f>IFERROR(__xludf.DUMMYFUNCTION("""COMPUTED_VALUE"""),2025.0)</f>
        <v>2025</v>
      </c>
      <c r="B89" s="1" t="str">
        <f>IFERROR(__xludf.DUMMYFUNCTION("""COMPUTED_VALUE"""),"16.10-5.11")</f>
        <v>16.10-5.11</v>
      </c>
      <c r="C89" s="2" t="str">
        <f>IFERROR(__xludf.DUMMYFUNCTION("""COMPUTED_VALUE"""),"Сайдуллаев Музаффар")</f>
        <v>Сайдуллаев Музаффар</v>
      </c>
      <c r="D89" s="1" t="str">
        <f>IFERROR(__xludf.DUMMYFUNCTION("""COMPUTED_VALUE"""),"79997977857")</f>
        <v>79997977857</v>
      </c>
      <c r="E89" s="3">
        <f>IFERROR(__xludf.DUMMYFUNCTION("""COMPUTED_VALUE"""),70300.0)</f>
        <v>70300</v>
      </c>
      <c r="F89" s="1"/>
      <c r="G89" s="4"/>
      <c r="H89" s="1"/>
      <c r="I89" s="5">
        <f>IFERROR(__xludf.DUMMYFUNCTION("""COMPUTED_VALUE"""),70300.0)</f>
        <v>70300</v>
      </c>
      <c r="J89" s="1" t="str">
        <f>IFERROR(__xludf.DUMMYFUNCTION("""COMPUTED_VALUE"""),"Оплатили")</f>
        <v>Оплатили</v>
      </c>
      <c r="K89" s="1"/>
      <c r="L89" s="1">
        <f>IFERROR(__xludf.DUMMYFUNCTION("""COMPUTED_VALUE"""),7.75123675454E11)</f>
        <v>775123675454</v>
      </c>
      <c r="M89" s="1"/>
      <c r="N89" s="1"/>
      <c r="O89" s="1"/>
      <c r="P89" s="1"/>
      <c r="Q89" s="1"/>
      <c r="R89" s="1"/>
      <c r="S89" s="1"/>
      <c r="T89" s="1"/>
      <c r="U89" s="1"/>
    </row>
    <row r="90">
      <c r="A90" s="1">
        <f>IFERROR(__xludf.DUMMYFUNCTION("""COMPUTED_VALUE"""),2025.0)</f>
        <v>2025</v>
      </c>
      <c r="B90" s="1" t="str">
        <f>IFERROR(__xludf.DUMMYFUNCTION("""COMPUTED_VALUE"""),"06.11-15.11")</f>
        <v>06.11-15.11</v>
      </c>
      <c r="C90" s="2" t="str">
        <f>IFERROR(__xludf.DUMMYFUNCTION("""COMPUTED_VALUE"""),"Абдулаева Зухра Базарбаева")</f>
        <v>Абдулаева Зухра Базарбаева</v>
      </c>
      <c r="D90" s="1" t="str">
        <f>IFERROR(__xludf.DUMMYFUNCTION("""COMPUTED_VALUE"""),"79337001721")</f>
        <v>79337001721</v>
      </c>
      <c r="E90" s="3">
        <f>IFERROR(__xludf.DUMMYFUNCTION("""COMPUTED_VALUE"""),39830.0)</f>
        <v>39830</v>
      </c>
      <c r="F90" s="1"/>
      <c r="G90" s="4"/>
      <c r="H90" s="1"/>
      <c r="I90" s="5">
        <f>IFERROR(__xludf.DUMMYFUNCTION("""COMPUTED_VALUE"""),39830.0)</f>
        <v>39830</v>
      </c>
      <c r="J90" s="1" t="str">
        <f>IFERROR(__xludf.DUMMYFUNCTION("""COMPUTED_VALUE"""),"Оплатили")</f>
        <v>Оплатили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>
        <f>IFERROR(__xludf.DUMMYFUNCTION("""COMPUTED_VALUE"""),2025.0)</f>
        <v>2025</v>
      </c>
      <c r="B91" s="1" t="str">
        <f>IFERROR(__xludf.DUMMYFUNCTION("""COMPUTED_VALUE"""),"06.11-15.11")</f>
        <v>06.11-15.11</v>
      </c>
      <c r="C91" s="2" t="str">
        <f>IFERROR(__xludf.DUMMYFUNCTION("""COMPUTED_VALUE"""),"Абдуллаев Маруф")</f>
        <v>Абдуллаев Маруф</v>
      </c>
      <c r="D91" s="1" t="str">
        <f>IFERROR(__xludf.DUMMYFUNCTION("""COMPUTED_VALUE"""),"79036164768")</f>
        <v>79036164768</v>
      </c>
      <c r="E91" s="3">
        <f>IFERROR(__xludf.DUMMYFUNCTION("""COMPUTED_VALUE"""),47230.0)</f>
        <v>47230</v>
      </c>
      <c r="F91" s="1"/>
      <c r="G91" s="4"/>
      <c r="H91" s="1"/>
      <c r="I91" s="5">
        <f>IFERROR(__xludf.DUMMYFUNCTION("""COMPUTED_VALUE"""),47230.0)</f>
        <v>47230</v>
      </c>
      <c r="J91" s="1" t="str">
        <f>IFERROR(__xludf.DUMMYFUNCTION("""COMPUTED_VALUE"""),"Оплатили")</f>
        <v>Оплатили</v>
      </c>
      <c r="K91" s="1"/>
      <c r="L91" s="1">
        <f>IFERROR(__xludf.DUMMYFUNCTION("""COMPUTED_VALUE"""),5.61020333756E11)</f>
        <v>561020333756</v>
      </c>
      <c r="M91" s="1"/>
      <c r="N91" s="1"/>
      <c r="O91" s="1"/>
      <c r="P91" s="1"/>
      <c r="Q91" s="1"/>
      <c r="R91" s="1"/>
      <c r="S91" s="1"/>
      <c r="T91" s="1"/>
      <c r="U91" s="1"/>
    </row>
    <row r="92">
      <c r="A92" s="1">
        <f>IFERROR(__xludf.DUMMYFUNCTION("""COMPUTED_VALUE"""),2025.0)</f>
        <v>2025</v>
      </c>
      <c r="B92" s="1" t="str">
        <f>IFERROR(__xludf.DUMMYFUNCTION("""COMPUTED_VALUE"""),"06.11-15.11")</f>
        <v>06.11-15.11</v>
      </c>
      <c r="C92" s="2" t="str">
        <f>IFERROR(__xludf.DUMMYFUNCTION("""COMPUTED_VALUE"""),"Абдурахманов Улугбек")</f>
        <v>Абдурахманов Улугбек</v>
      </c>
      <c r="D92" s="1" t="str">
        <f>IFERROR(__xludf.DUMMYFUNCTION("""COMPUTED_VALUE"""),"79691382161")</f>
        <v>79691382161</v>
      </c>
      <c r="E92" s="3">
        <f>IFERROR(__xludf.DUMMYFUNCTION("""COMPUTED_VALUE"""),45000.0)</f>
        <v>45000</v>
      </c>
      <c r="F92" s="1"/>
      <c r="G92" s="4"/>
      <c r="H92" s="1"/>
      <c r="I92" s="5">
        <f>IFERROR(__xludf.DUMMYFUNCTION("""COMPUTED_VALUE"""),45000.0)</f>
        <v>45000</v>
      </c>
      <c r="J92" s="1" t="str">
        <f>IFERROR(__xludf.DUMMYFUNCTION("""COMPUTED_VALUE"""),"Оплатили")</f>
        <v>Оплатили</v>
      </c>
      <c r="K92" s="1"/>
      <c r="L92" s="1">
        <f>IFERROR(__xludf.DUMMYFUNCTION("""COMPUTED_VALUE"""),4.02513629575E11)</f>
        <v>402513629575</v>
      </c>
      <c r="M92" s="1"/>
      <c r="N92" s="1"/>
      <c r="O92" s="1"/>
      <c r="P92" s="1"/>
      <c r="Q92" s="1"/>
      <c r="R92" s="1"/>
      <c r="S92" s="1"/>
      <c r="T92" s="1"/>
      <c r="U92" s="1"/>
    </row>
    <row r="93">
      <c r="A93" s="1">
        <f>IFERROR(__xludf.DUMMYFUNCTION("""COMPUTED_VALUE"""),2025.0)</f>
        <v>2025</v>
      </c>
      <c r="B93" s="1" t="str">
        <f>IFERROR(__xludf.DUMMYFUNCTION("""COMPUTED_VALUE"""),"06.11-15.11")</f>
        <v>06.11-15.11</v>
      </c>
      <c r="C93" s="2" t="str">
        <f>IFERROR(__xludf.DUMMYFUNCTION("""COMPUTED_VALUE"""),"Азиззода Джамшед")</f>
        <v>Азиззода Джамшед</v>
      </c>
      <c r="D93" s="1" t="str">
        <f>IFERROR(__xludf.DUMMYFUNCTION("""COMPUTED_VALUE"""),"79116699346")</f>
        <v>79116699346</v>
      </c>
      <c r="E93" s="3">
        <f>IFERROR(__xludf.DUMMYFUNCTION("""COMPUTED_VALUE"""),27270.0)</f>
        <v>27270</v>
      </c>
      <c r="F93" s="1"/>
      <c r="G93" s="4"/>
      <c r="H93" s="1"/>
      <c r="I93" s="5">
        <f>IFERROR(__xludf.DUMMYFUNCTION("""COMPUTED_VALUE"""),27270.0)</f>
        <v>27270</v>
      </c>
      <c r="J93" s="1" t="str">
        <f>IFERROR(__xludf.DUMMYFUNCTION("""COMPUTED_VALUE"""),"Оплатили")</f>
        <v>Оплатили</v>
      </c>
      <c r="K93" s="1"/>
      <c r="L93" s="1">
        <f>IFERROR(__xludf.DUMMYFUNCTION("""COMPUTED_VALUE"""),1.00000868544E11)</f>
        <v>100000868544</v>
      </c>
      <c r="M93" s="1"/>
      <c r="N93" s="1"/>
      <c r="O93" s="1"/>
      <c r="P93" s="1"/>
      <c r="Q93" s="1"/>
      <c r="R93" s="1"/>
      <c r="S93" s="1"/>
      <c r="T93" s="1"/>
      <c r="U93" s="1"/>
    </row>
    <row r="94">
      <c r="A94" s="1">
        <f>IFERROR(__xludf.DUMMYFUNCTION("""COMPUTED_VALUE"""),2025.0)</f>
        <v>2025</v>
      </c>
      <c r="B94" s="1" t="str">
        <f>IFERROR(__xludf.DUMMYFUNCTION("""COMPUTED_VALUE"""),"06.11-15.11")</f>
        <v>06.11-15.11</v>
      </c>
      <c r="C94" s="2" t="str">
        <f>IFERROR(__xludf.DUMMYFUNCTION("""COMPUTED_VALUE"""),"Акбарова Зылола")</f>
        <v>Акбарова Зылола</v>
      </c>
      <c r="D94" s="1" t="str">
        <f>IFERROR(__xludf.DUMMYFUNCTION("""COMPUTED_VALUE"""),"79912261183")</f>
        <v>79912261183</v>
      </c>
      <c r="E94" s="3">
        <f>IFERROR(__xludf.DUMMYFUNCTION("""COMPUTED_VALUE"""),31300.0)</f>
        <v>31300</v>
      </c>
      <c r="F94" s="1"/>
      <c r="G94" s="4"/>
      <c r="H94" s="1"/>
      <c r="I94" s="5">
        <f>IFERROR(__xludf.DUMMYFUNCTION("""COMPUTED_VALUE"""),31300.0)</f>
        <v>31300</v>
      </c>
      <c r="J94" s="1" t="str">
        <f>IFERROR(__xludf.DUMMYFUNCTION("""COMPUTED_VALUE"""),"Оплатили")</f>
        <v>Оплатили</v>
      </c>
      <c r="K94" s="1"/>
      <c r="L94" s="1">
        <f>IFERROR(__xludf.DUMMYFUNCTION("""COMPUTED_VALUE"""),5.0423296544E11)</f>
        <v>504232965440</v>
      </c>
      <c r="M94" s="1"/>
      <c r="N94" s="1"/>
      <c r="O94" s="1"/>
      <c r="P94" s="1"/>
      <c r="Q94" s="1"/>
      <c r="R94" s="1"/>
      <c r="S94" s="1"/>
      <c r="T94" s="1"/>
      <c r="U94" s="1"/>
    </row>
    <row r="95">
      <c r="A95" s="1">
        <f>IFERROR(__xludf.DUMMYFUNCTION("""COMPUTED_VALUE"""),2025.0)</f>
        <v>2025</v>
      </c>
      <c r="B95" s="1" t="str">
        <f>IFERROR(__xludf.DUMMYFUNCTION("""COMPUTED_VALUE"""),"06.11-15.11")</f>
        <v>06.11-15.11</v>
      </c>
      <c r="C95" s="2" t="str">
        <f>IFERROR(__xludf.DUMMYFUNCTION("""COMPUTED_VALUE"""),"Анорбоев Шахзод Тулгин Угли")</f>
        <v>Анорбоев Шахзод Тулгин Угли</v>
      </c>
      <c r="D95" s="1" t="str">
        <f>IFERROR(__xludf.DUMMYFUNCTION("""COMPUTED_VALUE"""),"79777470317")</f>
        <v>79777470317</v>
      </c>
      <c r="E95" s="3">
        <f>IFERROR(__xludf.DUMMYFUNCTION("""COMPUTED_VALUE"""),36558.0)</f>
        <v>36558</v>
      </c>
      <c r="F95" s="1"/>
      <c r="G95" s="4"/>
      <c r="H95" s="1"/>
      <c r="I95" s="5">
        <f>IFERROR(__xludf.DUMMYFUNCTION("""COMPUTED_VALUE"""),36558.0)</f>
        <v>36558</v>
      </c>
      <c r="J95" s="1" t="str">
        <f>IFERROR(__xludf.DUMMYFUNCTION("""COMPUTED_VALUE"""),"Оплатили")</f>
        <v>Оплатили</v>
      </c>
      <c r="K95" s="1"/>
      <c r="L95" s="1">
        <f>IFERROR(__xludf.DUMMYFUNCTION("""COMPUTED_VALUE"""),3.43537688905E11)</f>
        <v>343537688905</v>
      </c>
      <c r="M95" s="1"/>
      <c r="N95" s="1"/>
      <c r="O95" s="1"/>
      <c r="P95" s="1"/>
      <c r="Q95" s="1"/>
      <c r="R95" s="1"/>
      <c r="S95" s="1"/>
      <c r="T95" s="1"/>
      <c r="U95" s="1"/>
    </row>
    <row r="96">
      <c r="A96" s="1">
        <f>IFERROR(__xludf.DUMMYFUNCTION("""COMPUTED_VALUE"""),2025.0)</f>
        <v>2025</v>
      </c>
      <c r="B96" s="1" t="str">
        <f>IFERROR(__xludf.DUMMYFUNCTION("""COMPUTED_VALUE"""),"06.11-15.11")</f>
        <v>06.11-15.11</v>
      </c>
      <c r="C96" s="2" t="str">
        <f>IFERROR(__xludf.DUMMYFUNCTION("""COMPUTED_VALUE"""),"Атаев Иброхим")</f>
        <v>Атаев Иброхим</v>
      </c>
      <c r="D96" s="1" t="str">
        <f>IFERROR(__xludf.DUMMYFUNCTION("""COMPUTED_VALUE"""),"79911875000")</f>
        <v>79911875000</v>
      </c>
      <c r="E96" s="3">
        <f>IFERROR(__xludf.DUMMYFUNCTION("""COMPUTED_VALUE"""),44000.0)</f>
        <v>44000</v>
      </c>
      <c r="F96" s="1"/>
      <c r="G96" s="4"/>
      <c r="H96" s="1"/>
      <c r="I96" s="5">
        <f>IFERROR(__xludf.DUMMYFUNCTION("""COMPUTED_VALUE"""),44000.0)</f>
        <v>44000</v>
      </c>
      <c r="J96" s="1" t="str">
        <f>IFERROR(__xludf.DUMMYFUNCTION("""COMPUTED_VALUE"""),"Оплатили")</f>
        <v>Оплатили</v>
      </c>
      <c r="K96" s="1"/>
      <c r="L96" s="1">
        <f>IFERROR(__xludf.DUMMYFUNCTION("""COMPUTED_VALUE"""),2.46415369245E11)</f>
        <v>246415369245</v>
      </c>
      <c r="M96" s="1"/>
      <c r="N96" s="1"/>
      <c r="O96" s="1"/>
      <c r="P96" s="1"/>
      <c r="Q96" s="1"/>
      <c r="R96" s="1"/>
      <c r="S96" s="1"/>
      <c r="T96" s="1"/>
      <c r="U96" s="1"/>
    </row>
    <row r="97">
      <c r="A97" s="1">
        <f>IFERROR(__xludf.DUMMYFUNCTION("""COMPUTED_VALUE"""),2025.0)</f>
        <v>2025</v>
      </c>
      <c r="B97" s="1" t="str">
        <f>IFERROR(__xludf.DUMMYFUNCTION("""COMPUTED_VALUE"""),"06.11-15.11")</f>
        <v>06.11-15.11</v>
      </c>
      <c r="C97" s="2" t="str">
        <f>IFERROR(__xludf.DUMMYFUNCTION("""COMPUTED_VALUE"""),"Аюбова Мухайе")</f>
        <v>Аюбова Мухайе</v>
      </c>
      <c r="D97" s="1" t="str">
        <f>IFERROR(__xludf.DUMMYFUNCTION("""COMPUTED_VALUE"""),"79969645979")</f>
        <v>79969645979</v>
      </c>
      <c r="E97" s="3">
        <f>IFERROR(__xludf.DUMMYFUNCTION("""COMPUTED_VALUE"""),24000.0)</f>
        <v>24000</v>
      </c>
      <c r="F97" s="1"/>
      <c r="G97" s="4"/>
      <c r="H97" s="1"/>
      <c r="I97" s="5">
        <f>IFERROR(__xludf.DUMMYFUNCTION("""COMPUTED_VALUE"""),24000.0)</f>
        <v>24000</v>
      </c>
      <c r="J97" s="1" t="str">
        <f>IFERROR(__xludf.DUMMYFUNCTION("""COMPUTED_VALUE"""),"Оплатили")</f>
        <v>Оплатили</v>
      </c>
      <c r="K97" s="1"/>
      <c r="L97" s="1">
        <f>IFERROR(__xludf.DUMMYFUNCTION("""COMPUTED_VALUE"""),6.67803019045E11)</f>
        <v>667803019045</v>
      </c>
      <c r="M97" s="1"/>
      <c r="N97" s="1"/>
      <c r="O97" s="1"/>
      <c r="P97" s="1"/>
      <c r="Q97" s="1"/>
      <c r="R97" s="1"/>
      <c r="S97" s="1"/>
      <c r="T97" s="1"/>
      <c r="U97" s="1"/>
    </row>
    <row r="98">
      <c r="A98" s="1">
        <f>IFERROR(__xludf.DUMMYFUNCTION("""COMPUTED_VALUE"""),2025.0)</f>
        <v>2025</v>
      </c>
      <c r="B98" s="1" t="str">
        <f>IFERROR(__xludf.DUMMYFUNCTION("""COMPUTED_VALUE"""),"06.11-15.11")</f>
        <v>06.11-15.11</v>
      </c>
      <c r="C98" s="2" t="str">
        <f>IFERROR(__xludf.DUMMYFUNCTION("""COMPUTED_VALUE"""),"Бобожонова Фарида")</f>
        <v>Бобожонова Фарида</v>
      </c>
      <c r="D98" s="1" t="str">
        <f>IFERROR(__xludf.DUMMYFUNCTION("""COMPUTED_VALUE"""),"79163023415")</f>
        <v>79163023415</v>
      </c>
      <c r="E98" s="3">
        <f>IFERROR(__xludf.DUMMYFUNCTION("""COMPUTED_VALUE"""),36000.0)</f>
        <v>36000</v>
      </c>
      <c r="F98" s="1"/>
      <c r="G98" s="4"/>
      <c r="H98" s="1"/>
      <c r="I98" s="5">
        <f>IFERROR(__xludf.DUMMYFUNCTION("""COMPUTED_VALUE"""),36000.0)</f>
        <v>36000</v>
      </c>
      <c r="J98" s="1" t="str">
        <f>IFERROR(__xludf.DUMMYFUNCTION("""COMPUTED_VALUE"""),"Оплатили")</f>
        <v>Оплатили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>
        <f>IFERROR(__xludf.DUMMYFUNCTION("""COMPUTED_VALUE"""),2025.0)</f>
        <v>2025</v>
      </c>
      <c r="B99" s="1" t="str">
        <f>IFERROR(__xludf.DUMMYFUNCTION("""COMPUTED_VALUE"""),"06.11-15.11")</f>
        <v>06.11-15.11</v>
      </c>
      <c r="C99" s="2" t="str">
        <f>IFERROR(__xludf.DUMMYFUNCTION("""COMPUTED_VALUE"""),"Булдурсунова Алина")</f>
        <v>Булдурсунова Алина</v>
      </c>
      <c r="D99" s="1" t="str">
        <f>IFERROR(__xludf.DUMMYFUNCTION("""COMPUTED_VALUE"""),"79990032538")</f>
        <v>79990032538</v>
      </c>
      <c r="E99" s="3">
        <f>IFERROR(__xludf.DUMMYFUNCTION("""COMPUTED_VALUE"""),32475.0)</f>
        <v>32475</v>
      </c>
      <c r="F99" s="1"/>
      <c r="G99" s="4"/>
      <c r="H99" s="1"/>
      <c r="I99" s="5">
        <f>IFERROR(__xludf.DUMMYFUNCTION("""COMPUTED_VALUE"""),32475.0)</f>
        <v>32475</v>
      </c>
      <c r="J99" s="1" t="str">
        <f>IFERROR(__xludf.DUMMYFUNCTION("""COMPUTED_VALUE"""),"Оплатили")</f>
        <v>Оплатили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>
        <f>IFERROR(__xludf.DUMMYFUNCTION("""COMPUTED_VALUE"""),2025.0)</f>
        <v>2025</v>
      </c>
      <c r="B100" s="1" t="str">
        <f>IFERROR(__xludf.DUMMYFUNCTION("""COMPUTED_VALUE"""),"06.11-15.11")</f>
        <v>06.11-15.11</v>
      </c>
      <c r="C100" s="2" t="str">
        <f>IFERROR(__xludf.DUMMYFUNCTION("""COMPUTED_VALUE"""),"Вахобов Мехроджиддин Махмадович")</f>
        <v>Вахобов Мехроджиддин Махмадович</v>
      </c>
      <c r="D100" s="1" t="str">
        <f>IFERROR(__xludf.DUMMYFUNCTION("""COMPUTED_VALUE"""),"79969262030")</f>
        <v>79969262030</v>
      </c>
      <c r="E100" s="3">
        <f>IFERROR(__xludf.DUMMYFUNCTION("""COMPUTED_VALUE"""),59500.0)</f>
        <v>59500</v>
      </c>
      <c r="F100" s="1"/>
      <c r="G100" s="4"/>
      <c r="H100" s="1"/>
      <c r="I100" s="5">
        <f>IFERROR(__xludf.DUMMYFUNCTION("""COMPUTED_VALUE"""),59500.0)</f>
        <v>59500</v>
      </c>
      <c r="J100" s="1" t="str">
        <f>IFERROR(__xludf.DUMMYFUNCTION("""COMPUTED_VALUE"""),"Оплатили")</f>
        <v>Оплатили</v>
      </c>
      <c r="K100" s="1"/>
      <c r="L100" s="1">
        <f>IFERROR(__xludf.DUMMYFUNCTION("""COMPUTED_VALUE"""),7.60419142561E11)</f>
        <v>760419142561</v>
      </c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>
        <f>IFERROR(__xludf.DUMMYFUNCTION("""COMPUTED_VALUE"""),2025.0)</f>
        <v>2025</v>
      </c>
      <c r="B101" s="1" t="str">
        <f>IFERROR(__xludf.DUMMYFUNCTION("""COMPUTED_VALUE"""),"06.11-15.11")</f>
        <v>06.11-15.11</v>
      </c>
      <c r="C101" s="2" t="str">
        <f>IFERROR(__xludf.DUMMYFUNCTION("""COMPUTED_VALUE"""),"Гапарова Бегимай")</f>
        <v>Гапарова Бегимай</v>
      </c>
      <c r="D101" s="1" t="str">
        <f>IFERROR(__xludf.DUMMYFUNCTION("""COMPUTED_VALUE"""),"79257537783")</f>
        <v>79257537783</v>
      </c>
      <c r="E101" s="3">
        <f>IFERROR(__xludf.DUMMYFUNCTION("""COMPUTED_VALUE"""),11700.0)</f>
        <v>11700</v>
      </c>
      <c r="F101" s="1"/>
      <c r="G101" s="4"/>
      <c r="H101" s="1"/>
      <c r="I101" s="5">
        <f>IFERROR(__xludf.DUMMYFUNCTION("""COMPUTED_VALUE"""),11700.0)</f>
        <v>11700</v>
      </c>
      <c r="J101" s="1" t="str">
        <f>IFERROR(__xludf.DUMMYFUNCTION("""COMPUTED_VALUE"""),"Оплатили")</f>
        <v>Оплатили</v>
      </c>
      <c r="K101" s="1"/>
      <c r="L101" s="1">
        <f>IFERROR(__xludf.DUMMYFUNCTION("""COMPUTED_VALUE"""),7.72065375012E11)</f>
        <v>772065375012</v>
      </c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>
        <f>IFERROR(__xludf.DUMMYFUNCTION("""COMPUTED_VALUE"""),2025.0)</f>
        <v>2025</v>
      </c>
      <c r="B102" s="1" t="str">
        <f>IFERROR(__xludf.DUMMYFUNCTION("""COMPUTED_VALUE"""),"06.11-15.11")</f>
        <v>06.11-15.11</v>
      </c>
      <c r="C102" s="2" t="str">
        <f>IFERROR(__xludf.DUMMYFUNCTION("""COMPUTED_VALUE"""),"Далив Мехроб Шомуродович")</f>
        <v>Далив Мехроб Шомуродович</v>
      </c>
      <c r="D102" s="1" t="str">
        <f>IFERROR(__xludf.DUMMYFUNCTION("""COMPUTED_VALUE"""),"79969875036")</f>
        <v>79969875036</v>
      </c>
      <c r="E102" s="3">
        <f>IFERROR(__xludf.DUMMYFUNCTION("""COMPUTED_VALUE"""),38000.0)</f>
        <v>38000</v>
      </c>
      <c r="F102" s="1"/>
      <c r="G102" s="4"/>
      <c r="H102" s="1"/>
      <c r="I102" s="5">
        <f>IFERROR(__xludf.DUMMYFUNCTION("""COMPUTED_VALUE"""),38000.0)</f>
        <v>38000</v>
      </c>
      <c r="J102" s="1" t="str">
        <f>IFERROR(__xludf.DUMMYFUNCTION("""COMPUTED_VALUE"""),"Оплатили")</f>
        <v>Оплатили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>
        <f>IFERROR(__xludf.DUMMYFUNCTION("""COMPUTED_VALUE"""),2025.0)</f>
        <v>2025</v>
      </c>
      <c r="B103" s="1" t="str">
        <f>IFERROR(__xludf.DUMMYFUNCTION("""COMPUTED_VALUE"""),"06.11-15.11")</f>
        <v>06.11-15.11</v>
      </c>
      <c r="C103" s="2" t="str">
        <f>IFERROR(__xludf.DUMMYFUNCTION("""COMPUTED_VALUE"""),"Джовлиева Дильфруз")</f>
        <v>Джовлиева Дильфруз</v>
      </c>
      <c r="D103" s="1" t="str">
        <f>IFERROR(__xludf.DUMMYFUNCTION("""COMPUTED_VALUE"""),"79031409201")</f>
        <v>79031409201</v>
      </c>
      <c r="E103" s="3">
        <f>IFERROR(__xludf.DUMMYFUNCTION("""COMPUTED_VALUE"""),33000.0)</f>
        <v>33000</v>
      </c>
      <c r="F103" s="1"/>
      <c r="G103" s="4"/>
      <c r="H103" s="1"/>
      <c r="I103" s="5">
        <f>IFERROR(__xludf.DUMMYFUNCTION("""COMPUTED_VALUE"""),33000.0)</f>
        <v>33000</v>
      </c>
      <c r="J103" s="1" t="str">
        <f>IFERROR(__xludf.DUMMYFUNCTION("""COMPUTED_VALUE"""),"Оплатили")</f>
        <v>Оплатили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>
        <f>IFERROR(__xludf.DUMMYFUNCTION("""COMPUTED_VALUE"""),2025.0)</f>
        <v>2025</v>
      </c>
      <c r="B104" s="1" t="str">
        <f>IFERROR(__xludf.DUMMYFUNCTION("""COMPUTED_VALUE"""),"06.11-15.11")</f>
        <v>06.11-15.11</v>
      </c>
      <c r="C104" s="2" t="str">
        <f>IFERROR(__xludf.DUMMYFUNCTION("""COMPUTED_VALUE"""),"Джуманиязова Саида")</f>
        <v>Джуманиязова Саида</v>
      </c>
      <c r="D104" s="1" t="str">
        <f>IFERROR(__xludf.DUMMYFUNCTION("""COMPUTED_VALUE"""),"79686192625")</f>
        <v>79686192625</v>
      </c>
      <c r="E104" s="3">
        <f>IFERROR(__xludf.DUMMYFUNCTION("""COMPUTED_VALUE"""),40000.0)</f>
        <v>40000</v>
      </c>
      <c r="F104" s="1"/>
      <c r="G104" s="4"/>
      <c r="H104" s="1"/>
      <c r="I104" s="5">
        <f>IFERROR(__xludf.DUMMYFUNCTION("""COMPUTED_VALUE"""),40000.0)</f>
        <v>40000</v>
      </c>
      <c r="J104" s="1" t="str">
        <f>IFERROR(__xludf.DUMMYFUNCTION("""COMPUTED_VALUE"""),"Оплатили")</f>
        <v>Оплатили</v>
      </c>
      <c r="K104" s="1" t="str">
        <f>IFERROR(__xludf.DUMMYFUNCTION("""COMPUTED_VALUE"""),"сказали что новый номер актуален")</f>
        <v>сказали что новый номер актуален</v>
      </c>
      <c r="L104" s="1">
        <f>IFERROR(__xludf.DUMMYFUNCTION("""COMPUTED_VALUE"""),7.7343164594E11)</f>
        <v>773431645940</v>
      </c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>
        <f>IFERROR(__xludf.DUMMYFUNCTION("""COMPUTED_VALUE"""),2025.0)</f>
        <v>2025</v>
      </c>
      <c r="B105" s="1" t="str">
        <f>IFERROR(__xludf.DUMMYFUNCTION("""COMPUTED_VALUE"""),"06.11-15.11")</f>
        <v>06.11-15.11</v>
      </c>
      <c r="C105" s="2" t="str">
        <f>IFERROR(__xludf.DUMMYFUNCTION("""COMPUTED_VALUE"""),"Дониерзода Сурайе")</f>
        <v>Дониерзода Сурайе</v>
      </c>
      <c r="D105" s="1" t="str">
        <f>IFERROR(__xludf.DUMMYFUNCTION("""COMPUTED_VALUE"""),"79377648587")</f>
        <v>79377648587</v>
      </c>
      <c r="E105" s="3">
        <f>IFERROR(__xludf.DUMMYFUNCTION("""COMPUTED_VALUE"""),37725.0)</f>
        <v>37725</v>
      </c>
      <c r="F105" s="1"/>
      <c r="G105" s="4"/>
      <c r="H105" s="1"/>
      <c r="I105" s="5">
        <f>IFERROR(__xludf.DUMMYFUNCTION("""COMPUTED_VALUE"""),37725.0)</f>
        <v>37725</v>
      </c>
      <c r="J105" s="1" t="str">
        <f>IFERROR(__xludf.DUMMYFUNCTION("""COMPUTED_VALUE"""),"Оплатили")</f>
        <v>Оплатили</v>
      </c>
      <c r="K105" s="1"/>
      <c r="L105" s="1">
        <f>IFERROR(__xludf.DUMMYFUNCTION("""COMPUTED_VALUE"""),7.71487989675E11)</f>
        <v>771487989675</v>
      </c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>
        <f>IFERROR(__xludf.DUMMYFUNCTION("""COMPUTED_VALUE"""),2025.0)</f>
        <v>2025</v>
      </c>
      <c r="B106" s="1" t="str">
        <f>IFERROR(__xludf.DUMMYFUNCTION("""COMPUTED_VALUE"""),"06.11-15.11")</f>
        <v>06.11-15.11</v>
      </c>
      <c r="C106" s="2" t="str">
        <f>IFERROR(__xludf.DUMMYFUNCTION("""COMPUTED_VALUE"""),"Дусматов Равшан Алишерович")</f>
        <v>Дусматов Равшан Алишерович</v>
      </c>
      <c r="D106" s="1" t="str">
        <f>IFERROR(__xludf.DUMMYFUNCTION("""COMPUTED_VALUE"""),"79254088185")</f>
        <v>79254088185</v>
      </c>
      <c r="E106" s="3">
        <f>IFERROR(__xludf.DUMMYFUNCTION("""COMPUTED_VALUE"""),45000.0)</f>
        <v>45000</v>
      </c>
      <c r="F106" s="1"/>
      <c r="G106" s="4"/>
      <c r="H106" s="1"/>
      <c r="I106" s="5">
        <f>IFERROR(__xludf.DUMMYFUNCTION("""COMPUTED_VALUE"""),45000.0)</f>
        <v>45000</v>
      </c>
      <c r="J106" s="1" t="str">
        <f>IFERROR(__xludf.DUMMYFUNCTION("""COMPUTED_VALUE"""),"Оплатили")</f>
        <v>Оплатили</v>
      </c>
      <c r="K106" s="1"/>
      <c r="L106" s="1">
        <f>IFERROR(__xludf.DUMMYFUNCTION("""COMPUTED_VALUE"""),7.71689013702E11)</f>
        <v>771689013702</v>
      </c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>
        <f>IFERROR(__xludf.DUMMYFUNCTION("""COMPUTED_VALUE"""),2025.0)</f>
        <v>2025</v>
      </c>
      <c r="B107" s="1" t="str">
        <f>IFERROR(__xludf.DUMMYFUNCTION("""COMPUTED_VALUE"""),"06.11-15.11")</f>
        <v>06.11-15.11</v>
      </c>
      <c r="C107" s="2" t="str">
        <f>IFERROR(__xludf.DUMMYFUNCTION("""COMPUTED_VALUE"""),"Дусматова Зулола Агзамовна")</f>
        <v>Дусматова Зулола Агзамовна</v>
      </c>
      <c r="D107" s="1" t="str">
        <f>IFERROR(__xludf.DUMMYFUNCTION("""COMPUTED_VALUE"""),"79997675838")</f>
        <v>79997675838</v>
      </c>
      <c r="E107" s="3">
        <f>IFERROR(__xludf.DUMMYFUNCTION("""COMPUTED_VALUE"""),39150.0)</f>
        <v>39150</v>
      </c>
      <c r="F107" s="1"/>
      <c r="G107" s="4"/>
      <c r="H107" s="1"/>
      <c r="I107" s="5">
        <f>IFERROR(__xludf.DUMMYFUNCTION("""COMPUTED_VALUE"""),39150.0)</f>
        <v>39150</v>
      </c>
      <c r="J107" s="1" t="str">
        <f>IFERROR(__xludf.DUMMYFUNCTION("""COMPUTED_VALUE"""),"Оплатили")</f>
        <v>Оплатили</v>
      </c>
      <c r="K107" s="1"/>
      <c r="L107" s="1">
        <f>IFERROR(__xludf.DUMMYFUNCTION("""COMPUTED_VALUE"""),7.7148705793E11)</f>
        <v>771487057930</v>
      </c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>
        <f>IFERROR(__xludf.DUMMYFUNCTION("""COMPUTED_VALUE"""),2025.0)</f>
        <v>2025</v>
      </c>
      <c r="B108" s="1" t="str">
        <f>IFERROR(__xludf.DUMMYFUNCTION("""COMPUTED_VALUE"""),"06.11-15.11")</f>
        <v>06.11-15.11</v>
      </c>
      <c r="C108" s="2" t="str">
        <f>IFERROR(__xludf.DUMMYFUNCTION("""COMPUTED_VALUE"""),"Дустназарзода Джавлонбек")</f>
        <v>Дустназарзода Джавлонбек</v>
      </c>
      <c r="D108" s="1" t="str">
        <f>IFERROR(__xludf.DUMMYFUNCTION("""COMPUTED_VALUE"""),"79774431553")</f>
        <v>79774431553</v>
      </c>
      <c r="E108" s="3">
        <f>IFERROR(__xludf.DUMMYFUNCTION("""COMPUTED_VALUE"""),39700.0)</f>
        <v>39700</v>
      </c>
      <c r="F108" s="1"/>
      <c r="G108" s="4"/>
      <c r="H108" s="1"/>
      <c r="I108" s="5">
        <f>IFERROR(__xludf.DUMMYFUNCTION("""COMPUTED_VALUE"""),39700.0)</f>
        <v>39700</v>
      </c>
      <c r="J108" s="1" t="str">
        <f>IFERROR(__xludf.DUMMYFUNCTION("""COMPUTED_VALUE"""),"Оплатили")</f>
        <v>Оплатили</v>
      </c>
      <c r="K108" s="1"/>
      <c r="L108" s="1">
        <f>IFERROR(__xludf.DUMMYFUNCTION("""COMPUTED_VALUE"""),5.04726268129E11)</f>
        <v>504726268129</v>
      </c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>
        <f>IFERROR(__xludf.DUMMYFUNCTION("""COMPUTED_VALUE"""),2025.0)</f>
        <v>2025</v>
      </c>
      <c r="B109" s="1" t="str">
        <f>IFERROR(__xludf.DUMMYFUNCTION("""COMPUTED_VALUE"""),"06.11-15.11")</f>
        <v>06.11-15.11</v>
      </c>
      <c r="C109" s="2" t="str">
        <f>IFERROR(__xludf.DUMMYFUNCTION("""COMPUTED_VALUE"""),"Жуманиязова Гулшод Базарбаевна")</f>
        <v>Жуманиязова Гулшод Базарбаевна</v>
      </c>
      <c r="D109" s="1" t="str">
        <f>IFERROR(__xludf.DUMMYFUNCTION("""COMPUTED_VALUE"""),"79255937717")</f>
        <v>79255937717</v>
      </c>
      <c r="E109" s="3">
        <f>IFERROR(__xludf.DUMMYFUNCTION("""COMPUTED_VALUE"""),35000.0)</f>
        <v>35000</v>
      </c>
      <c r="F109" s="1"/>
      <c r="G109" s="4"/>
      <c r="H109" s="1"/>
      <c r="I109" s="5">
        <f>IFERROR(__xludf.DUMMYFUNCTION("""COMPUTED_VALUE"""),35000.0)</f>
        <v>35000</v>
      </c>
      <c r="J109" s="1" t="str">
        <f>IFERROR(__xludf.DUMMYFUNCTION("""COMPUTED_VALUE"""),"Оплатили")</f>
        <v>Оплатили</v>
      </c>
      <c r="K109" s="1" t="str">
        <f>IFERROR(__xludf.DUMMYFUNCTION("""COMPUTED_VALUE"""),"меняли номер и назад на наш")</f>
        <v>меняли номер и назад на наш</v>
      </c>
      <c r="L109" s="1">
        <f>IFERROR(__xludf.DUMMYFUNCTION("""COMPUTED_VALUE"""),9.71901898983E11)</f>
        <v>971901898983</v>
      </c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>
        <f>IFERROR(__xludf.DUMMYFUNCTION("""COMPUTED_VALUE"""),2025.0)</f>
        <v>2025</v>
      </c>
      <c r="B110" s="1" t="str">
        <f>IFERROR(__xludf.DUMMYFUNCTION("""COMPUTED_VALUE"""),"06.11-15.11")</f>
        <v>06.11-15.11</v>
      </c>
      <c r="C110" s="2" t="str">
        <f>IFERROR(__xludf.DUMMYFUNCTION("""COMPUTED_VALUE"""),"Жураев Бахриддин Фахриддинович")</f>
        <v>Жураев Бахриддин Фахриддинович</v>
      </c>
      <c r="D110" s="1" t="str">
        <f>IFERROR(__xludf.DUMMYFUNCTION("""COMPUTED_VALUE"""),"79260684763")</f>
        <v>79260684763</v>
      </c>
      <c r="E110" s="3">
        <f>IFERROR(__xludf.DUMMYFUNCTION("""COMPUTED_VALUE"""),38000.0)</f>
        <v>38000</v>
      </c>
      <c r="F110" s="1"/>
      <c r="G110" s="4"/>
      <c r="H110" s="1"/>
      <c r="I110" s="5">
        <f>IFERROR(__xludf.DUMMYFUNCTION("""COMPUTED_VALUE"""),38000.0)</f>
        <v>38000</v>
      </c>
      <c r="J110" s="1" t="str">
        <f>IFERROR(__xludf.DUMMYFUNCTION("""COMPUTED_VALUE"""),"Оплатили")</f>
        <v>Оплатили</v>
      </c>
      <c r="K110" s="1"/>
      <c r="L110" s="1">
        <f>IFERROR(__xludf.DUMMYFUNCTION("""COMPUTED_VALUE"""),7.75182197834E11)</f>
        <v>775182197834</v>
      </c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>
        <f>IFERROR(__xludf.DUMMYFUNCTION("""COMPUTED_VALUE"""),2025.0)</f>
        <v>2025</v>
      </c>
      <c r="B111" s="1" t="str">
        <f>IFERROR(__xludf.DUMMYFUNCTION("""COMPUTED_VALUE"""),"06.11-15.11")</f>
        <v>06.11-15.11</v>
      </c>
      <c r="C111" s="2" t="str">
        <f>IFERROR(__xludf.DUMMYFUNCTION("""COMPUTED_VALUE"""),"Зиятова Комила")</f>
        <v>Зиятова Комила</v>
      </c>
      <c r="D111" s="1" t="str">
        <f>IFERROR(__xludf.DUMMYFUNCTION("""COMPUTED_VALUE"""),"79969818788")</f>
        <v>79969818788</v>
      </c>
      <c r="E111" s="3">
        <f>IFERROR(__xludf.DUMMYFUNCTION("""COMPUTED_VALUE"""),32175.0)</f>
        <v>32175</v>
      </c>
      <c r="F111" s="1"/>
      <c r="G111" s="4"/>
      <c r="H111" s="1"/>
      <c r="I111" s="5">
        <f>IFERROR(__xludf.DUMMYFUNCTION("""COMPUTED_VALUE"""),32175.0)</f>
        <v>32175</v>
      </c>
      <c r="J111" s="1" t="str">
        <f>IFERROR(__xludf.DUMMYFUNCTION("""COMPUTED_VALUE"""),"Оплатили")</f>
        <v>Оплатили</v>
      </c>
      <c r="K111" s="1"/>
      <c r="L111" s="1">
        <f>IFERROR(__xludf.DUMMYFUNCTION("""COMPUTED_VALUE"""),7.81160795068E11)</f>
        <v>781160795068</v>
      </c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>
        <f>IFERROR(__xludf.DUMMYFUNCTION("""COMPUTED_VALUE"""),2025.0)</f>
        <v>2025</v>
      </c>
      <c r="B112" s="1" t="str">
        <f>IFERROR(__xludf.DUMMYFUNCTION("""COMPUTED_VALUE"""),"06.11-15.11")</f>
        <v>06.11-15.11</v>
      </c>
      <c r="C112" s="2" t="str">
        <f>IFERROR(__xludf.DUMMYFUNCTION("""COMPUTED_VALUE"""),"Зулунов Акбарали Шухратбек угли")</f>
        <v>Зулунов Акбарали Шухратбек угли</v>
      </c>
      <c r="D112" s="1" t="str">
        <f>IFERROR(__xludf.DUMMYFUNCTION("""COMPUTED_VALUE"""),"79684325555")</f>
        <v>79684325555</v>
      </c>
      <c r="E112" s="3">
        <f>IFERROR(__xludf.DUMMYFUNCTION("""COMPUTED_VALUE"""),31909.0)</f>
        <v>31909</v>
      </c>
      <c r="F112" s="1"/>
      <c r="G112" s="4"/>
      <c r="H112" s="1"/>
      <c r="I112" s="5">
        <f>IFERROR(__xludf.DUMMYFUNCTION("""COMPUTED_VALUE"""),31909.0)</f>
        <v>31909</v>
      </c>
      <c r="J112" s="1" t="str">
        <f>IFERROR(__xludf.DUMMYFUNCTION("""COMPUTED_VALUE"""),"Оплатили")</f>
        <v>Оплатили</v>
      </c>
      <c r="K112" s="1"/>
      <c r="L112" s="1">
        <f>IFERROR(__xludf.DUMMYFUNCTION("""COMPUTED_VALUE"""),5.02765439695E11)</f>
        <v>502765439695</v>
      </c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>
        <f>IFERROR(__xludf.DUMMYFUNCTION("""COMPUTED_VALUE"""),2025.0)</f>
        <v>2025</v>
      </c>
      <c r="B113" s="1" t="str">
        <f>IFERROR(__xludf.DUMMYFUNCTION("""COMPUTED_VALUE"""),"06.11-15.11")</f>
        <v>06.11-15.11</v>
      </c>
      <c r="C113" s="2" t="str">
        <f>IFERROR(__xludf.DUMMYFUNCTION("""COMPUTED_VALUE"""),"Зуфарова Дилбар")</f>
        <v>Зуфарова Дилбар</v>
      </c>
      <c r="D113" s="1" t="str">
        <f>IFERROR(__xludf.DUMMYFUNCTION("""COMPUTED_VALUE"""),"79962119116")</f>
        <v>79962119116</v>
      </c>
      <c r="E113" s="3">
        <f>IFERROR(__xludf.DUMMYFUNCTION("""COMPUTED_VALUE"""),35000.0)</f>
        <v>35000</v>
      </c>
      <c r="F113" s="1"/>
      <c r="G113" s="4"/>
      <c r="H113" s="1"/>
      <c r="I113" s="5">
        <f>IFERROR(__xludf.DUMMYFUNCTION("""COMPUTED_VALUE"""),35000.0)</f>
        <v>35000</v>
      </c>
      <c r="J113" s="1" t="str">
        <f>IFERROR(__xludf.DUMMYFUNCTION("""COMPUTED_VALUE"""),"Оплатили")</f>
        <v>Оплатили</v>
      </c>
      <c r="K113" s="1"/>
      <c r="L113" s="1">
        <f>IFERROR(__xludf.DUMMYFUNCTION("""COMPUTED_VALUE"""),2.3101357277E11)</f>
        <v>231013572770</v>
      </c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>
        <f>IFERROR(__xludf.DUMMYFUNCTION("""COMPUTED_VALUE"""),2025.0)</f>
        <v>2025</v>
      </c>
      <c r="B114" s="1" t="str">
        <f>IFERROR(__xludf.DUMMYFUNCTION("""COMPUTED_VALUE"""),"06.11-15.11")</f>
        <v>06.11-15.11</v>
      </c>
      <c r="C114" s="2" t="str">
        <f>IFERROR(__xludf.DUMMYFUNCTION("""COMPUTED_VALUE"""),"Иброхимзода Юсуф")</f>
        <v>Иброхимзода Юсуф</v>
      </c>
      <c r="D114" s="1" t="str">
        <f>IFERROR(__xludf.DUMMYFUNCTION("""COMPUTED_VALUE"""),"79694795092")</f>
        <v>79694795092</v>
      </c>
      <c r="E114" s="3">
        <f>IFERROR(__xludf.DUMMYFUNCTION("""COMPUTED_VALUE"""),43000.0)</f>
        <v>43000</v>
      </c>
      <c r="F114" s="1"/>
      <c r="G114" s="4"/>
      <c r="H114" s="1"/>
      <c r="I114" s="5">
        <f>IFERROR(__xludf.DUMMYFUNCTION("""COMPUTED_VALUE"""),43000.0)</f>
        <v>43000</v>
      </c>
      <c r="J114" s="1" t="str">
        <f>IFERROR(__xludf.DUMMYFUNCTION("""COMPUTED_VALUE"""),"Оплатили")</f>
        <v>Оплатили</v>
      </c>
      <c r="K114" s="1"/>
      <c r="L114" s="1">
        <f>IFERROR(__xludf.DUMMYFUNCTION("""COMPUTED_VALUE"""),7.72321986304E11)</f>
        <v>772321986304</v>
      </c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>
        <f>IFERROR(__xludf.DUMMYFUNCTION("""COMPUTED_VALUE"""),2025.0)</f>
        <v>2025</v>
      </c>
      <c r="B115" s="1" t="str">
        <f>IFERROR(__xludf.DUMMYFUNCTION("""COMPUTED_VALUE"""),"06.11-15.11")</f>
        <v>06.11-15.11</v>
      </c>
      <c r="C115" s="2" t="str">
        <f>IFERROR(__xludf.DUMMYFUNCTION("""COMPUTED_VALUE"""),"Исмаилов Хусанбой")</f>
        <v>Исмаилов Хусанбой</v>
      </c>
      <c r="D115" s="1" t="str">
        <f>IFERROR(__xludf.DUMMYFUNCTION("""COMPUTED_VALUE"""),"79969888664")</f>
        <v>79969888664</v>
      </c>
      <c r="E115" s="3">
        <f>IFERROR(__xludf.DUMMYFUNCTION("""COMPUTED_VALUE"""),62918.0)</f>
        <v>62918</v>
      </c>
      <c r="F115" s="1"/>
      <c r="G115" s="4"/>
      <c r="H115" s="1"/>
      <c r="I115" s="5">
        <f>IFERROR(__xludf.DUMMYFUNCTION("""COMPUTED_VALUE"""),62918.0)</f>
        <v>62918</v>
      </c>
      <c r="J115" s="1" t="str">
        <f>IFERROR(__xludf.DUMMYFUNCTION("""COMPUTED_VALUE"""),"Оплатили")</f>
        <v>Оплатили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>
        <f>IFERROR(__xludf.DUMMYFUNCTION("""COMPUTED_VALUE"""),2025.0)</f>
        <v>2025</v>
      </c>
      <c r="B116" s="1" t="str">
        <f>IFERROR(__xludf.DUMMYFUNCTION("""COMPUTED_VALUE"""),"06.11-15.11")</f>
        <v>06.11-15.11</v>
      </c>
      <c r="C116" s="2" t="str">
        <f>IFERROR(__xludf.DUMMYFUNCTION("""COMPUTED_VALUE"""),"Исманов Мухаммадкодир")</f>
        <v>Исманов Мухаммадкодир</v>
      </c>
      <c r="D116" s="1" t="str">
        <f>IFERROR(__xludf.DUMMYFUNCTION("""COMPUTED_VALUE"""),"79255086393")</f>
        <v>79255086393</v>
      </c>
      <c r="E116" s="3">
        <f>IFERROR(__xludf.DUMMYFUNCTION("""COMPUTED_VALUE"""),40000.0)</f>
        <v>40000</v>
      </c>
      <c r="F116" s="1"/>
      <c r="G116" s="4"/>
      <c r="H116" s="1"/>
      <c r="I116" s="5">
        <f>IFERROR(__xludf.DUMMYFUNCTION("""COMPUTED_VALUE"""),40000.0)</f>
        <v>40000</v>
      </c>
      <c r="J116" s="1" t="str">
        <f>IFERROR(__xludf.DUMMYFUNCTION("""COMPUTED_VALUE"""),"Оплатили")</f>
        <v>Оплатили</v>
      </c>
      <c r="K116" s="1"/>
      <c r="L116" s="1">
        <f>IFERROR(__xludf.DUMMYFUNCTION("""COMPUTED_VALUE"""),5.0024439455E10)</f>
        <v>50024439455</v>
      </c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>
        <f>IFERROR(__xludf.DUMMYFUNCTION("""COMPUTED_VALUE"""),2025.0)</f>
        <v>2025</v>
      </c>
      <c r="B117" s="1" t="str">
        <f>IFERROR(__xludf.DUMMYFUNCTION("""COMPUTED_VALUE"""),"06.11-15.11")</f>
        <v>06.11-15.11</v>
      </c>
      <c r="C117" s="2" t="str">
        <f>IFERROR(__xludf.DUMMYFUNCTION("""COMPUTED_VALUE"""),"Кадиркулов Сафарали")</f>
        <v>Кадиркулов Сафарали</v>
      </c>
      <c r="D117" s="1" t="str">
        <f>IFERROR(__xludf.DUMMYFUNCTION("""COMPUTED_VALUE"""),"79253713008")</f>
        <v>79253713008</v>
      </c>
      <c r="E117" s="3">
        <f>IFERROR(__xludf.DUMMYFUNCTION("""COMPUTED_VALUE"""),120840.0)</f>
        <v>120840</v>
      </c>
      <c r="F117" s="1"/>
      <c r="G117" s="4"/>
      <c r="H117" s="1"/>
      <c r="I117" s="5">
        <f>IFERROR(__xludf.DUMMYFUNCTION("""COMPUTED_VALUE"""),120840.0)</f>
        <v>120840</v>
      </c>
      <c r="J117" s="1" t="str">
        <f>IFERROR(__xludf.DUMMYFUNCTION("""COMPUTED_VALUE"""),"Оплатили")</f>
        <v>Оплатили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>
        <f>IFERROR(__xludf.DUMMYFUNCTION("""COMPUTED_VALUE"""),2025.0)</f>
        <v>2025</v>
      </c>
      <c r="B118" s="1" t="str">
        <f>IFERROR(__xludf.DUMMYFUNCTION("""COMPUTED_VALUE"""),"06.11-15.11")</f>
        <v>06.11-15.11</v>
      </c>
      <c r="C118" s="2" t="str">
        <f>IFERROR(__xludf.DUMMYFUNCTION("""COMPUTED_VALUE"""),"Камилова Назира")</f>
        <v>Камилова Назира</v>
      </c>
      <c r="D118" s="1" t="str">
        <f>IFERROR(__xludf.DUMMYFUNCTION("""COMPUTED_VALUE"""),"79035139996")</f>
        <v>79035139996</v>
      </c>
      <c r="E118" s="3">
        <f>IFERROR(__xludf.DUMMYFUNCTION("""COMPUTED_VALUE"""),36800.0)</f>
        <v>36800</v>
      </c>
      <c r="F118" s="1"/>
      <c r="G118" s="4"/>
      <c r="H118" s="1"/>
      <c r="I118" s="5">
        <f>IFERROR(__xludf.DUMMYFUNCTION("""COMPUTED_VALUE"""),36800.0)</f>
        <v>36800</v>
      </c>
      <c r="J118" s="1" t="str">
        <f>IFERROR(__xludf.DUMMYFUNCTION("""COMPUTED_VALUE"""),"Оплатили")</f>
        <v>Оплатили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>
        <f>IFERROR(__xludf.DUMMYFUNCTION("""COMPUTED_VALUE"""),2025.0)</f>
        <v>2025</v>
      </c>
      <c r="B119" s="1" t="str">
        <f>IFERROR(__xludf.DUMMYFUNCTION("""COMPUTED_VALUE"""),"06.11-15.11")</f>
        <v>06.11-15.11</v>
      </c>
      <c r="C119" s="2" t="str">
        <f>IFERROR(__xludf.DUMMYFUNCTION("""COMPUTED_VALUE"""),"Камилова Юлдузхан")</f>
        <v>Камилова Юлдузхан</v>
      </c>
      <c r="D119" s="1" t="str">
        <f>IFERROR(__xludf.DUMMYFUNCTION("""COMPUTED_VALUE"""),"79969909192")</f>
        <v>79969909192</v>
      </c>
      <c r="E119" s="3">
        <f>IFERROR(__xludf.DUMMYFUNCTION("""COMPUTED_VALUE"""),20267.0)</f>
        <v>20267</v>
      </c>
      <c r="F119" s="1"/>
      <c r="G119" s="4"/>
      <c r="H119" s="1"/>
      <c r="I119" s="5">
        <f>IFERROR(__xludf.DUMMYFUNCTION("""COMPUTED_VALUE"""),20267.0)</f>
        <v>20267</v>
      </c>
      <c r="J119" s="1" t="str">
        <f>IFERROR(__xludf.DUMMYFUNCTION("""COMPUTED_VALUE"""),"Оплатили")</f>
        <v>Оплатили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>
        <f>IFERROR(__xludf.DUMMYFUNCTION("""COMPUTED_VALUE"""),2025.0)</f>
        <v>2025</v>
      </c>
      <c r="B120" s="1" t="str">
        <f>IFERROR(__xludf.DUMMYFUNCTION("""COMPUTED_VALUE"""),"06.11-15.11")</f>
        <v>06.11-15.11</v>
      </c>
      <c r="C120" s="2" t="str">
        <f>IFERROR(__xludf.DUMMYFUNCTION("""COMPUTED_VALUE"""),"Камолзода Саидабону")</f>
        <v>Камолзода Саидабону</v>
      </c>
      <c r="D120" s="1" t="str">
        <f>IFERROR(__xludf.DUMMYFUNCTION("""COMPUTED_VALUE"""),"79776328956")</f>
        <v>79776328956</v>
      </c>
      <c r="E120" s="3">
        <f>IFERROR(__xludf.DUMMYFUNCTION("""COMPUTED_VALUE"""),40000.0)</f>
        <v>40000</v>
      </c>
      <c r="F120" s="1"/>
      <c r="G120" s="4"/>
      <c r="H120" s="1"/>
      <c r="I120" s="5">
        <f>IFERROR(__xludf.DUMMYFUNCTION("""COMPUTED_VALUE"""),40000.0)</f>
        <v>40000</v>
      </c>
      <c r="J120" s="1" t="str">
        <f>IFERROR(__xludf.DUMMYFUNCTION("""COMPUTED_VALUE"""),"Оплатили")</f>
        <v>Оплатили</v>
      </c>
      <c r="K120" s="1"/>
      <c r="L120" s="1">
        <f>IFERROR(__xludf.DUMMYFUNCTION("""COMPUTED_VALUE"""),7.72844070731E11)</f>
        <v>772844070731</v>
      </c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>
        <f>IFERROR(__xludf.DUMMYFUNCTION("""COMPUTED_VALUE"""),2025.0)</f>
        <v>2025</v>
      </c>
      <c r="B121" s="1" t="str">
        <f>IFERROR(__xludf.DUMMYFUNCTION("""COMPUTED_VALUE"""),"06.11-15.11")</f>
        <v>06.11-15.11</v>
      </c>
      <c r="C121" s="2" t="str">
        <f>IFERROR(__xludf.DUMMYFUNCTION("""COMPUTED_VALUE"""),"Камолов Асилбек")</f>
        <v>Камолов Асилбек</v>
      </c>
      <c r="D121" s="1" t="str">
        <f>IFERROR(__xludf.DUMMYFUNCTION("""COMPUTED_VALUE"""),"79231408041")</f>
        <v>79231408041</v>
      </c>
      <c r="E121" s="3">
        <f>IFERROR(__xludf.DUMMYFUNCTION("""COMPUTED_VALUE"""),36000.0)</f>
        <v>36000</v>
      </c>
      <c r="F121" s="1"/>
      <c r="G121" s="4"/>
      <c r="H121" s="1"/>
      <c r="I121" s="5">
        <f>IFERROR(__xludf.DUMMYFUNCTION("""COMPUTED_VALUE"""),36000.0)</f>
        <v>36000</v>
      </c>
      <c r="J121" s="1" t="str">
        <f>IFERROR(__xludf.DUMMYFUNCTION("""COMPUTED_VALUE"""),"Оплатили")</f>
        <v>Оплатили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>
        <f>IFERROR(__xludf.DUMMYFUNCTION("""COMPUTED_VALUE"""),2025.0)</f>
        <v>2025</v>
      </c>
      <c r="B122" s="1" t="str">
        <f>IFERROR(__xludf.DUMMYFUNCTION("""COMPUTED_VALUE"""),"06.11-15.11")</f>
        <v>06.11-15.11</v>
      </c>
      <c r="C122" s="2" t="str">
        <f>IFERROR(__xludf.DUMMYFUNCTION("""COMPUTED_VALUE"""),"Касымалиев Бекзат")</f>
        <v>Касымалиев Бекзат</v>
      </c>
      <c r="D122" s="1" t="str">
        <f>IFERROR(__xludf.DUMMYFUNCTION("""COMPUTED_VALUE"""),"79801374981")</f>
        <v>79801374981</v>
      </c>
      <c r="E122" s="3">
        <f>IFERROR(__xludf.DUMMYFUNCTION("""COMPUTED_VALUE"""),50917.0)</f>
        <v>50917</v>
      </c>
      <c r="F122" s="1"/>
      <c r="G122" s="4"/>
      <c r="H122" s="1"/>
      <c r="I122" s="5">
        <f>IFERROR(__xludf.DUMMYFUNCTION("""COMPUTED_VALUE"""),50917.0)</f>
        <v>50917</v>
      </c>
      <c r="J122" s="1" t="str">
        <f>IFERROR(__xludf.DUMMYFUNCTION("""COMPUTED_VALUE"""),"Оплатили")</f>
        <v>Оплатили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>
        <f>IFERROR(__xludf.DUMMYFUNCTION("""COMPUTED_VALUE"""),2025.0)</f>
        <v>2025</v>
      </c>
      <c r="B123" s="1" t="str">
        <f>IFERROR(__xludf.DUMMYFUNCTION("""COMPUTED_VALUE"""),"06.11-15.11")</f>
        <v>06.11-15.11</v>
      </c>
      <c r="C123" s="2" t="str">
        <f>IFERROR(__xludf.DUMMYFUNCTION("""COMPUTED_VALUE"""),"Куватова Холбека Зокировна")</f>
        <v>Куватова Холбека Зокировна</v>
      </c>
      <c r="D123" s="1" t="str">
        <f>IFERROR(__xludf.DUMMYFUNCTION("""COMPUTED_VALUE"""),"79060885518")</f>
        <v>79060885518</v>
      </c>
      <c r="E123" s="3">
        <f>IFERROR(__xludf.DUMMYFUNCTION("""COMPUTED_VALUE"""),35000.0)</f>
        <v>35000</v>
      </c>
      <c r="F123" s="1"/>
      <c r="G123" s="4"/>
      <c r="H123" s="1"/>
      <c r="I123" s="5">
        <f>IFERROR(__xludf.DUMMYFUNCTION("""COMPUTED_VALUE"""),35000.0)</f>
        <v>35000</v>
      </c>
      <c r="J123" s="1" t="str">
        <f>IFERROR(__xludf.DUMMYFUNCTION("""COMPUTED_VALUE"""),"Оплатили")</f>
        <v>Оплатили</v>
      </c>
      <c r="K123" s="1"/>
      <c r="L123" s="1">
        <f>IFERROR(__xludf.DUMMYFUNCTION("""COMPUTED_VALUE"""),7.74354320506E11)</f>
        <v>774354320506</v>
      </c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>
        <f>IFERROR(__xludf.DUMMYFUNCTION("""COMPUTED_VALUE"""),2025.0)</f>
        <v>2025</v>
      </c>
      <c r="B124" s="1" t="str">
        <f>IFERROR(__xludf.DUMMYFUNCTION("""COMPUTED_VALUE"""),"06.11-15.11")</f>
        <v>06.11-15.11</v>
      </c>
      <c r="C124" s="2" t="str">
        <f>IFERROR(__xludf.DUMMYFUNCTION("""COMPUTED_VALUE"""),"Курбанов Мехробджон Манучехрович")</f>
        <v>Курбанов Мехробджон Манучехрович</v>
      </c>
      <c r="D124" s="1" t="str">
        <f>IFERROR(__xludf.DUMMYFUNCTION("""COMPUTED_VALUE"""),"79939246738")</f>
        <v>79939246738</v>
      </c>
      <c r="E124" s="3">
        <f>IFERROR(__xludf.DUMMYFUNCTION("""COMPUTED_VALUE"""),41500.0)</f>
        <v>41500</v>
      </c>
      <c r="F124" s="1"/>
      <c r="G124" s="4"/>
      <c r="H124" s="1"/>
      <c r="I124" s="5">
        <f>IFERROR(__xludf.DUMMYFUNCTION("""COMPUTED_VALUE"""),41500.0)</f>
        <v>41500</v>
      </c>
      <c r="J124" s="1" t="str">
        <f>IFERROR(__xludf.DUMMYFUNCTION("""COMPUTED_VALUE"""),"Оплатили")</f>
        <v>Оплатили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>
        <f>IFERROR(__xludf.DUMMYFUNCTION("""COMPUTED_VALUE"""),2025.0)</f>
        <v>2025</v>
      </c>
      <c r="B125" s="1" t="str">
        <f>IFERROR(__xludf.DUMMYFUNCTION("""COMPUTED_VALUE"""),"06.11-15.11")</f>
        <v>06.11-15.11</v>
      </c>
      <c r="C125" s="2" t="str">
        <f>IFERROR(__xludf.DUMMYFUNCTION("""COMPUTED_VALUE"""),"Курбанова Саломат Амиркуловна")</f>
        <v>Курбанова Саломат Амиркуловна</v>
      </c>
      <c r="D125" s="1" t="str">
        <f>IFERROR(__xludf.DUMMYFUNCTION("""COMPUTED_VALUE"""),"79252580102")</f>
        <v>79252580102</v>
      </c>
      <c r="E125" s="3">
        <f>IFERROR(__xludf.DUMMYFUNCTION("""COMPUTED_VALUE"""),39500.0)</f>
        <v>39500</v>
      </c>
      <c r="F125" s="1"/>
      <c r="G125" s="4"/>
      <c r="H125" s="1"/>
      <c r="I125" s="5">
        <f>IFERROR(__xludf.DUMMYFUNCTION("""COMPUTED_VALUE"""),39500.0)</f>
        <v>39500</v>
      </c>
      <c r="J125" s="1" t="str">
        <f>IFERROR(__xludf.DUMMYFUNCTION("""COMPUTED_VALUE"""),"Оплатили")</f>
        <v>Оплатили</v>
      </c>
      <c r="K125" s="1"/>
      <c r="L125" s="1">
        <f>IFERROR(__xludf.DUMMYFUNCTION("""COMPUTED_VALUE"""),7.743424938E11)</f>
        <v>774342493800</v>
      </c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>
        <f>IFERROR(__xludf.DUMMYFUNCTION("""COMPUTED_VALUE"""),2025.0)</f>
        <v>2025</v>
      </c>
      <c r="B126" s="1" t="str">
        <f>IFERROR(__xludf.DUMMYFUNCTION("""COMPUTED_VALUE"""),"06.11-15.11")</f>
        <v>06.11-15.11</v>
      </c>
      <c r="C126" s="2" t="str">
        <f>IFERROR(__xludf.DUMMYFUNCTION("""COMPUTED_VALUE"""),"Курбанова Умида Юсуб Кизи")</f>
        <v>Курбанова Умида Юсуб Кизи</v>
      </c>
      <c r="D126" s="1" t="str">
        <f>IFERROR(__xludf.DUMMYFUNCTION("""COMPUTED_VALUE"""),"79969669203")</f>
        <v>79969669203</v>
      </c>
      <c r="E126" s="3">
        <f>IFERROR(__xludf.DUMMYFUNCTION("""COMPUTED_VALUE"""),39740.0)</f>
        <v>39740</v>
      </c>
      <c r="F126" s="1"/>
      <c r="G126" s="4"/>
      <c r="H126" s="1"/>
      <c r="I126" s="5">
        <f>IFERROR(__xludf.DUMMYFUNCTION("""COMPUTED_VALUE"""),39740.0)</f>
        <v>39740</v>
      </c>
      <c r="J126" s="1" t="str">
        <f>IFERROR(__xludf.DUMMYFUNCTION("""COMPUTED_VALUE"""),"Оплатили")</f>
        <v>Оплатили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>
        <f>IFERROR(__xludf.DUMMYFUNCTION("""COMPUTED_VALUE"""),2025.0)</f>
        <v>2025</v>
      </c>
      <c r="B127" s="1" t="str">
        <f>IFERROR(__xludf.DUMMYFUNCTION("""COMPUTED_VALUE"""),"06.11-15.11")</f>
        <v>06.11-15.11</v>
      </c>
      <c r="C127" s="2" t="str">
        <f>IFERROR(__xludf.DUMMYFUNCTION("""COMPUTED_VALUE"""),"Курбонова Гулжахон Абдуразоковна")</f>
        <v>Курбонова Гулжахон Абдуразоковна</v>
      </c>
      <c r="D127" s="1" t="str">
        <f>IFERROR(__xludf.DUMMYFUNCTION("""COMPUTED_VALUE"""),"79255103455")</f>
        <v>79255103455</v>
      </c>
      <c r="E127" s="3">
        <f>IFERROR(__xludf.DUMMYFUNCTION("""COMPUTED_VALUE"""),40000.0)</f>
        <v>40000</v>
      </c>
      <c r="F127" s="1"/>
      <c r="G127" s="4"/>
      <c r="H127" s="1"/>
      <c r="I127" s="5">
        <f>IFERROR(__xludf.DUMMYFUNCTION("""COMPUTED_VALUE"""),40000.0)</f>
        <v>40000</v>
      </c>
      <c r="J127" s="1" t="str">
        <f>IFERROR(__xludf.DUMMYFUNCTION("""COMPUTED_VALUE"""),"Оплатили")</f>
        <v>Оплатили</v>
      </c>
      <c r="K127" s="1"/>
      <c r="L127" s="1">
        <f>IFERROR(__xludf.DUMMYFUNCTION("""COMPUTED_VALUE"""),7.75151914986E11)</f>
        <v>775151914986</v>
      </c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>
        <f>IFERROR(__xludf.DUMMYFUNCTION("""COMPUTED_VALUE"""),2025.0)</f>
        <v>2025</v>
      </c>
      <c r="B128" s="1" t="str">
        <f>IFERROR(__xludf.DUMMYFUNCTION("""COMPUTED_VALUE"""),"06.11-15.11")</f>
        <v>06.11-15.11</v>
      </c>
      <c r="C128" s="2" t="str">
        <f>IFERROR(__xludf.DUMMYFUNCTION("""COMPUTED_VALUE"""),"Курманбаева Назиира")</f>
        <v>Курманбаева Назиира</v>
      </c>
      <c r="D128" s="1" t="str">
        <f>IFERROR(__xludf.DUMMYFUNCTION("""COMPUTED_VALUE"""),"79254475417")</f>
        <v>79254475417</v>
      </c>
      <c r="E128" s="3">
        <f>IFERROR(__xludf.DUMMYFUNCTION("""COMPUTED_VALUE"""),38500.0)</f>
        <v>38500</v>
      </c>
      <c r="F128" s="1"/>
      <c r="G128" s="4"/>
      <c r="H128" s="1"/>
      <c r="I128" s="5">
        <f>IFERROR(__xludf.DUMMYFUNCTION("""COMPUTED_VALUE"""),38500.0)</f>
        <v>38500</v>
      </c>
      <c r="J128" s="1" t="str">
        <f>IFERROR(__xludf.DUMMYFUNCTION("""COMPUTED_VALUE"""),"Оплатили")</f>
        <v>Оплатили</v>
      </c>
      <c r="K128" s="1"/>
      <c r="L128" s="1">
        <f>IFERROR(__xludf.DUMMYFUNCTION("""COMPUTED_VALUE"""),7.71487450668E11)</f>
        <v>771487450668</v>
      </c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>
        <f>IFERROR(__xludf.DUMMYFUNCTION("""COMPUTED_VALUE"""),2025.0)</f>
        <v>2025</v>
      </c>
      <c r="B129" s="1" t="str">
        <f>IFERROR(__xludf.DUMMYFUNCTION("""COMPUTED_VALUE"""),"06.11-15.11")</f>
        <v>06.11-15.11</v>
      </c>
      <c r="C129" s="2" t="str">
        <f>IFERROR(__xludf.DUMMYFUNCTION("""COMPUTED_VALUE"""),"Мажитова Диляфруз Юлдашевна")</f>
        <v>Мажитова Диляфруз Юлдашевна</v>
      </c>
      <c r="D129" s="1" t="str">
        <f>IFERROR(__xludf.DUMMYFUNCTION("""COMPUTED_VALUE"""),"79031479284")</f>
        <v>79031479284</v>
      </c>
      <c r="E129" s="3">
        <f>IFERROR(__xludf.DUMMYFUNCTION("""COMPUTED_VALUE"""),34000.0)</f>
        <v>34000</v>
      </c>
      <c r="F129" s="1"/>
      <c r="G129" s="4"/>
      <c r="H129" s="1"/>
      <c r="I129" s="5">
        <f>IFERROR(__xludf.DUMMYFUNCTION("""COMPUTED_VALUE"""),34000.0)</f>
        <v>34000</v>
      </c>
      <c r="J129" s="1" t="str">
        <f>IFERROR(__xludf.DUMMYFUNCTION("""COMPUTED_VALUE"""),"Оплатили")</f>
        <v>Оплатили</v>
      </c>
      <c r="K129" s="1"/>
      <c r="L129" s="1">
        <f>IFERROR(__xludf.DUMMYFUNCTION("""COMPUTED_VALUE"""),5.02776500895E11)</f>
        <v>502776500895</v>
      </c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>
        <f>IFERROR(__xludf.DUMMYFUNCTION("""COMPUTED_VALUE"""),2025.0)</f>
        <v>2025</v>
      </c>
      <c r="B130" s="1" t="str">
        <f>IFERROR(__xludf.DUMMYFUNCTION("""COMPUTED_VALUE"""),"06.11-15.11")</f>
        <v>06.11-15.11</v>
      </c>
      <c r="C130" s="2" t="str">
        <f>IFERROR(__xludf.DUMMYFUNCTION("""COMPUTED_VALUE"""),"Мамадалиев Шамшод")</f>
        <v>Мамадалиев Шамшод</v>
      </c>
      <c r="D130" s="1" t="str">
        <f>IFERROR(__xludf.DUMMYFUNCTION("""COMPUTED_VALUE"""),"79309907663")</f>
        <v>79309907663</v>
      </c>
      <c r="E130" s="3">
        <f>IFERROR(__xludf.DUMMYFUNCTION("""COMPUTED_VALUE"""),20000.0)</f>
        <v>20000</v>
      </c>
      <c r="F130" s="1"/>
      <c r="G130" s="4"/>
      <c r="H130" s="1"/>
      <c r="I130" s="5">
        <f>IFERROR(__xludf.DUMMYFUNCTION("""COMPUTED_VALUE"""),20000.0)</f>
        <v>20000</v>
      </c>
      <c r="J130" s="1" t="str">
        <f>IFERROR(__xludf.DUMMYFUNCTION("""COMPUTED_VALUE"""),"Оплатили")</f>
        <v>Оплатили</v>
      </c>
      <c r="K130" s="1"/>
      <c r="L130" s="1">
        <f>IFERROR(__xludf.DUMMYFUNCTION("""COMPUTED_VALUE"""),7.75163599087E11)</f>
        <v>775163599087</v>
      </c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>
        <f>IFERROR(__xludf.DUMMYFUNCTION("""COMPUTED_VALUE"""),2025.0)</f>
        <v>2025</v>
      </c>
      <c r="B131" s="1" t="str">
        <f>IFERROR(__xludf.DUMMYFUNCTION("""COMPUTED_VALUE"""),"06.11-15.11")</f>
        <v>06.11-15.11</v>
      </c>
      <c r="C131" s="2" t="str">
        <f>IFERROR(__xludf.DUMMYFUNCTION("""COMPUTED_VALUE"""),"Маматова Хуршедахон Исроиловна")</f>
        <v>Маматова Хуршедахон Исроиловна</v>
      </c>
      <c r="D131" s="1" t="str">
        <f>IFERROR(__xludf.DUMMYFUNCTION("""COMPUTED_VALUE"""),"79288542471")</f>
        <v>79288542471</v>
      </c>
      <c r="E131" s="3">
        <f>IFERROR(__xludf.DUMMYFUNCTION("""COMPUTED_VALUE"""),23367.0)</f>
        <v>23367</v>
      </c>
      <c r="F131" s="1"/>
      <c r="G131" s="4"/>
      <c r="H131" s="1"/>
      <c r="I131" s="5">
        <f>IFERROR(__xludf.DUMMYFUNCTION("""COMPUTED_VALUE"""),23367.0)</f>
        <v>23367</v>
      </c>
      <c r="J131" s="1" t="str">
        <f>IFERROR(__xludf.DUMMYFUNCTION("""COMPUTED_VALUE"""),"Оплатили")</f>
        <v>Оплатили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>
        <f>IFERROR(__xludf.DUMMYFUNCTION("""COMPUTED_VALUE"""),2025.0)</f>
        <v>2025</v>
      </c>
      <c r="B132" s="1" t="str">
        <f>IFERROR(__xludf.DUMMYFUNCTION("""COMPUTED_VALUE"""),"06.11-15.11")</f>
        <v>06.11-15.11</v>
      </c>
      <c r="C132" s="2" t="str">
        <f>IFERROR(__xludf.DUMMYFUNCTION("""COMPUTED_VALUE"""),"Маматханов Дилмурод")</f>
        <v>Маматханов Дилмурод</v>
      </c>
      <c r="D132" s="1" t="str">
        <f>IFERROR(__xludf.DUMMYFUNCTION("""COMPUTED_VALUE"""),"79997168584")</f>
        <v>79997168584</v>
      </c>
      <c r="E132" s="3">
        <f>IFERROR(__xludf.DUMMYFUNCTION("""COMPUTED_VALUE"""),49970.0)</f>
        <v>49970</v>
      </c>
      <c r="F132" s="1"/>
      <c r="G132" s="4"/>
      <c r="H132" s="1"/>
      <c r="I132" s="5">
        <f>IFERROR(__xludf.DUMMYFUNCTION("""COMPUTED_VALUE"""),49970.0)</f>
        <v>49970</v>
      </c>
      <c r="J132" s="1" t="str">
        <f>IFERROR(__xludf.DUMMYFUNCTION("""COMPUTED_VALUE"""),"Оплатили")</f>
        <v>Оплатили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>
        <f>IFERROR(__xludf.DUMMYFUNCTION("""COMPUTED_VALUE"""),2025.0)</f>
        <v>2025</v>
      </c>
      <c r="B133" s="1" t="str">
        <f>IFERROR(__xludf.DUMMYFUNCTION("""COMPUTED_VALUE"""),"06.11-15.11")</f>
        <v>06.11-15.11</v>
      </c>
      <c r="C133" s="2" t="str">
        <f>IFERROR(__xludf.DUMMYFUNCTION("""COMPUTED_VALUE"""),"Махаматов Бекзод")</f>
        <v>Махаматов Бекзод</v>
      </c>
      <c r="D133" s="1" t="str">
        <f>IFERROR(__xludf.DUMMYFUNCTION("""COMPUTED_VALUE"""),"79998290697")</f>
        <v>79998290697</v>
      </c>
      <c r="E133" s="3">
        <f>IFERROR(__xludf.DUMMYFUNCTION("""COMPUTED_VALUE"""),38700.0)</f>
        <v>38700</v>
      </c>
      <c r="F133" s="1"/>
      <c r="G133" s="4"/>
      <c r="H133" s="1"/>
      <c r="I133" s="5">
        <f>IFERROR(__xludf.DUMMYFUNCTION("""COMPUTED_VALUE"""),38700.0)</f>
        <v>38700</v>
      </c>
      <c r="J133" s="1" t="str">
        <f>IFERROR(__xludf.DUMMYFUNCTION("""COMPUTED_VALUE"""),"Оплатили")</f>
        <v>Оплатили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>
        <f>IFERROR(__xludf.DUMMYFUNCTION("""COMPUTED_VALUE"""),2025.0)</f>
        <v>2025</v>
      </c>
      <c r="B134" s="1" t="str">
        <f>IFERROR(__xludf.DUMMYFUNCTION("""COMPUTED_VALUE"""),"06.11-15.11")</f>
        <v>06.11-15.11</v>
      </c>
      <c r="C134" s="2" t="str">
        <f>IFERROR(__xludf.DUMMYFUNCTION("""COMPUTED_VALUE"""),"Мусаева Мавтуна")</f>
        <v>Мусаева Мавтуна</v>
      </c>
      <c r="D134" s="1" t="str">
        <f>IFERROR(__xludf.DUMMYFUNCTION("""COMPUTED_VALUE"""),"79057784048")</f>
        <v>79057784048</v>
      </c>
      <c r="E134" s="3">
        <f>IFERROR(__xludf.DUMMYFUNCTION("""COMPUTED_VALUE"""),35200.0)</f>
        <v>35200</v>
      </c>
      <c r="F134" s="1"/>
      <c r="G134" s="4"/>
      <c r="H134" s="1"/>
      <c r="I134" s="5">
        <f>IFERROR(__xludf.DUMMYFUNCTION("""COMPUTED_VALUE"""),35200.0)</f>
        <v>35200</v>
      </c>
      <c r="J134" s="1" t="str">
        <f>IFERROR(__xludf.DUMMYFUNCTION("""COMPUTED_VALUE"""),"Оплатили")</f>
        <v>Оплатили</v>
      </c>
      <c r="K134" s="1"/>
      <c r="L134" s="1">
        <f>IFERROR(__xludf.DUMMYFUNCTION("""COMPUTED_VALUE"""),5.00726635205E11)</f>
        <v>500726635205</v>
      </c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>
        <f>IFERROR(__xludf.DUMMYFUNCTION("""COMPUTED_VALUE"""),2025.0)</f>
        <v>2025</v>
      </c>
      <c r="B135" s="1" t="str">
        <f>IFERROR(__xludf.DUMMYFUNCTION("""COMPUTED_VALUE"""),"06.11-15.11")</f>
        <v>06.11-15.11</v>
      </c>
      <c r="C135" s="2" t="str">
        <f>IFERROR(__xludf.DUMMYFUNCTION("""COMPUTED_VALUE"""),"Мухаммаджонов Акмалджон Аюбович")</f>
        <v>Мухаммаджонов Акмалджон Аюбович</v>
      </c>
      <c r="D135" s="1" t="str">
        <f>IFERROR(__xludf.DUMMYFUNCTION("""COMPUTED_VALUE"""),"79955553419")</f>
        <v>79955553419</v>
      </c>
      <c r="E135" s="3">
        <f>IFERROR(__xludf.DUMMYFUNCTION("""COMPUTED_VALUE"""),29450.0)</f>
        <v>29450</v>
      </c>
      <c r="F135" s="1"/>
      <c r="G135" s="4"/>
      <c r="H135" s="1"/>
      <c r="I135" s="5">
        <f>IFERROR(__xludf.DUMMYFUNCTION("""COMPUTED_VALUE"""),29450.0)</f>
        <v>29450</v>
      </c>
      <c r="J135" s="1" t="str">
        <f>IFERROR(__xludf.DUMMYFUNCTION("""COMPUTED_VALUE"""),"Оплатили")</f>
        <v>Оплатили</v>
      </c>
      <c r="K135" s="1"/>
      <c r="L135" s="1">
        <f>IFERROR(__xludf.DUMMYFUNCTION("""COMPUTED_VALUE"""),9.7151845056E11)</f>
        <v>971518450560</v>
      </c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>
        <f>IFERROR(__xludf.DUMMYFUNCTION("""COMPUTED_VALUE"""),2025.0)</f>
        <v>2025</v>
      </c>
      <c r="B136" s="1" t="str">
        <f>IFERROR(__xludf.DUMMYFUNCTION("""COMPUTED_VALUE"""),"06.11-15.11")</f>
        <v>06.11-15.11</v>
      </c>
      <c r="C136" s="2" t="str">
        <f>IFERROR(__xludf.DUMMYFUNCTION("""COMPUTED_VALUE"""),"Мухидинова Ирода")</f>
        <v>Мухидинова Ирода</v>
      </c>
      <c r="D136" s="1" t="str">
        <f>IFERROR(__xludf.DUMMYFUNCTION("""COMPUTED_VALUE"""),"79055847717")</f>
        <v>79055847717</v>
      </c>
      <c r="E136" s="3">
        <f>IFERROR(__xludf.DUMMYFUNCTION("""COMPUTED_VALUE"""),36000.0)</f>
        <v>36000</v>
      </c>
      <c r="F136" s="1"/>
      <c r="G136" s="4"/>
      <c r="H136" s="1"/>
      <c r="I136" s="5">
        <f>IFERROR(__xludf.DUMMYFUNCTION("""COMPUTED_VALUE"""),36000.0)</f>
        <v>36000</v>
      </c>
      <c r="J136" s="1" t="str">
        <f>IFERROR(__xludf.DUMMYFUNCTION("""COMPUTED_VALUE"""),"Оплатили")</f>
        <v>Оплатили</v>
      </c>
      <c r="K136" s="1"/>
      <c r="L136" s="1">
        <f>IFERROR(__xludf.DUMMYFUNCTION("""COMPUTED_VALUE"""),7.7242950104E11)</f>
        <v>772429501040</v>
      </c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>
        <f>IFERROR(__xludf.DUMMYFUNCTION("""COMPUTED_VALUE"""),2025.0)</f>
        <v>2025</v>
      </c>
      <c r="B137" s="1" t="str">
        <f>IFERROR(__xludf.DUMMYFUNCTION("""COMPUTED_VALUE"""),"06.11-15.11")</f>
        <v>06.11-15.11</v>
      </c>
      <c r="C137" s="2" t="str">
        <f>IFERROR(__xludf.DUMMYFUNCTION("""COMPUTED_VALUE"""),"Мухммадиев Аббосджон Хуснидин Угли")</f>
        <v>Мухммадиев Аббосджон Хуснидин Угли</v>
      </c>
      <c r="D137" s="1" t="str">
        <f>IFERROR(__xludf.DUMMYFUNCTION("""COMPUTED_VALUE"""),"79255971906")</f>
        <v>79255971906</v>
      </c>
      <c r="E137" s="3">
        <f>IFERROR(__xludf.DUMMYFUNCTION("""COMPUTED_VALUE"""),39200.0)</f>
        <v>39200</v>
      </c>
      <c r="F137" s="1"/>
      <c r="G137" s="4"/>
      <c r="H137" s="1"/>
      <c r="I137" s="5">
        <f>IFERROR(__xludf.DUMMYFUNCTION("""COMPUTED_VALUE"""),39200.0)</f>
        <v>39200</v>
      </c>
      <c r="J137" s="1" t="str">
        <f>IFERROR(__xludf.DUMMYFUNCTION("""COMPUTED_VALUE"""),"Оплатили")</f>
        <v>Оплатили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>
        <f>IFERROR(__xludf.DUMMYFUNCTION("""COMPUTED_VALUE"""),2025.0)</f>
        <v>2025</v>
      </c>
      <c r="B138" s="1" t="str">
        <f>IFERROR(__xludf.DUMMYFUNCTION("""COMPUTED_VALUE"""),"06.11-15.11")</f>
        <v>06.11-15.11</v>
      </c>
      <c r="C138" s="2" t="str">
        <f>IFERROR(__xludf.DUMMYFUNCTION("""COMPUTED_VALUE"""),"Мухмудов Ботиржон")</f>
        <v>Мухмудов Ботиржон</v>
      </c>
      <c r="D138" s="1" t="str">
        <f>IFERROR(__xludf.DUMMYFUNCTION("""COMPUTED_VALUE"""),"79688236466")</f>
        <v>79688236466</v>
      </c>
      <c r="E138" s="3">
        <f>IFERROR(__xludf.DUMMYFUNCTION("""COMPUTED_VALUE"""),45000.0)</f>
        <v>45000</v>
      </c>
      <c r="F138" s="1"/>
      <c r="G138" s="4"/>
      <c r="H138" s="1"/>
      <c r="I138" s="5">
        <f>IFERROR(__xludf.DUMMYFUNCTION("""COMPUTED_VALUE"""),45000.0)</f>
        <v>45000</v>
      </c>
      <c r="J138" s="1" t="str">
        <f>IFERROR(__xludf.DUMMYFUNCTION("""COMPUTED_VALUE"""),"Оплатили")</f>
        <v>Оплатили</v>
      </c>
      <c r="K138" s="1"/>
      <c r="L138" s="1">
        <f>IFERROR(__xludf.DUMMYFUNCTION("""COMPUTED_VALUE"""),5.02776294258E11)</f>
        <v>502776294258</v>
      </c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>
        <f>IFERROR(__xludf.DUMMYFUNCTION("""COMPUTED_VALUE"""),2025.0)</f>
        <v>2025</v>
      </c>
      <c r="B139" s="1" t="str">
        <f>IFERROR(__xludf.DUMMYFUNCTION("""COMPUTED_VALUE"""),"06.11-15.11")</f>
        <v>06.11-15.11</v>
      </c>
      <c r="C139" s="2" t="str">
        <f>IFERROR(__xludf.DUMMYFUNCTION("""COMPUTED_VALUE"""),"Назаров Тухтасин Мухаммади Угли")</f>
        <v>Назаров Тухтасин Мухаммади Угли</v>
      </c>
      <c r="D139" s="1" t="str">
        <f>IFERROR(__xludf.DUMMYFUNCTION("""COMPUTED_VALUE"""),"79264200393")</f>
        <v>79264200393</v>
      </c>
      <c r="E139" s="3">
        <f>IFERROR(__xludf.DUMMYFUNCTION("""COMPUTED_VALUE"""),40533.0)</f>
        <v>40533</v>
      </c>
      <c r="F139" s="1"/>
      <c r="G139" s="4"/>
      <c r="H139" s="1"/>
      <c r="I139" s="5">
        <f>IFERROR(__xludf.DUMMYFUNCTION("""COMPUTED_VALUE"""),40533.0)</f>
        <v>40533</v>
      </c>
      <c r="J139" s="1" t="str">
        <f>IFERROR(__xludf.DUMMYFUNCTION("""COMPUTED_VALUE"""),"Оплатили")</f>
        <v>Оплатили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>
        <f>IFERROR(__xludf.DUMMYFUNCTION("""COMPUTED_VALUE"""),2025.0)</f>
        <v>2025</v>
      </c>
      <c r="B140" s="1" t="str">
        <f>IFERROR(__xludf.DUMMYFUNCTION("""COMPUTED_VALUE"""),"06.11-15.11")</f>
        <v>06.11-15.11</v>
      </c>
      <c r="C140" s="2" t="str">
        <f>IFERROR(__xludf.DUMMYFUNCTION("""COMPUTED_VALUE"""),"Нематов Мухаммад")</f>
        <v>Нематов Мухаммад</v>
      </c>
      <c r="D140" s="1" t="str">
        <f>IFERROR(__xludf.DUMMYFUNCTION("""COMPUTED_VALUE"""),"79932625819")</f>
        <v>79932625819</v>
      </c>
      <c r="E140" s="3">
        <f>IFERROR(__xludf.DUMMYFUNCTION("""COMPUTED_VALUE"""),37700.0)</f>
        <v>37700</v>
      </c>
      <c r="F140" s="1"/>
      <c r="G140" s="4"/>
      <c r="H140" s="1"/>
      <c r="I140" s="5">
        <f>IFERROR(__xludf.DUMMYFUNCTION("""COMPUTED_VALUE"""),37700.0)</f>
        <v>37700</v>
      </c>
      <c r="J140" s="1" t="str">
        <f>IFERROR(__xludf.DUMMYFUNCTION("""COMPUTED_VALUE"""),"Оплатили")</f>
        <v>Оплатили</v>
      </c>
      <c r="K140" s="1"/>
      <c r="L140" s="1">
        <f>IFERROR(__xludf.DUMMYFUNCTION("""COMPUTED_VALUE"""),7.75147436504E11)</f>
        <v>775147436504</v>
      </c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>
        <f>IFERROR(__xludf.DUMMYFUNCTION("""COMPUTED_VALUE"""),2025.0)</f>
        <v>2025</v>
      </c>
      <c r="B141" s="1" t="str">
        <f>IFERROR(__xludf.DUMMYFUNCTION("""COMPUTED_VALUE"""),"06.11-15.11")</f>
        <v>06.11-15.11</v>
      </c>
      <c r="C141" s="2" t="str">
        <f>IFERROR(__xludf.DUMMYFUNCTION("""COMPUTED_VALUE"""),"Нематов Рузимухаммад")</f>
        <v>Нематов Рузимухаммад</v>
      </c>
      <c r="D141" s="1" t="str">
        <f>IFERROR(__xludf.DUMMYFUNCTION("""COMPUTED_VALUE"""),"79891066937")</f>
        <v>79891066937</v>
      </c>
      <c r="E141" s="3">
        <f>IFERROR(__xludf.DUMMYFUNCTION("""COMPUTED_VALUE"""),25700.0)</f>
        <v>25700</v>
      </c>
      <c r="F141" s="1"/>
      <c r="G141" s="4"/>
      <c r="H141" s="1"/>
      <c r="I141" s="5">
        <f>IFERROR(__xludf.DUMMYFUNCTION("""COMPUTED_VALUE"""),25700.0)</f>
        <v>25700</v>
      </c>
      <c r="J141" s="1" t="str">
        <f>IFERROR(__xludf.DUMMYFUNCTION("""COMPUTED_VALUE"""),"Оплатили")</f>
        <v>Оплатили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>
        <f>IFERROR(__xludf.DUMMYFUNCTION("""COMPUTED_VALUE"""),2025.0)</f>
        <v>2025</v>
      </c>
      <c r="B142" s="1" t="str">
        <f>IFERROR(__xludf.DUMMYFUNCTION("""COMPUTED_VALUE"""),"06.11-15.11")</f>
        <v>06.11-15.11</v>
      </c>
      <c r="C142" s="2" t="str">
        <f>IFERROR(__xludf.DUMMYFUNCTION("""COMPUTED_VALUE"""),"Нематова Мархабо")</f>
        <v>Нематова Мархабо</v>
      </c>
      <c r="D142" s="1" t="str">
        <f>IFERROR(__xludf.DUMMYFUNCTION("""COMPUTED_VALUE"""),"79955575643")</f>
        <v>79955575643</v>
      </c>
      <c r="E142" s="3">
        <f>IFERROR(__xludf.DUMMYFUNCTION("""COMPUTED_VALUE"""),28267.0)</f>
        <v>28267</v>
      </c>
      <c r="F142" s="1"/>
      <c r="G142" s="4"/>
      <c r="H142" s="1"/>
      <c r="I142" s="5">
        <f>IFERROR(__xludf.DUMMYFUNCTION("""COMPUTED_VALUE"""),28267.0)</f>
        <v>28267</v>
      </c>
      <c r="J142" s="1" t="str">
        <f>IFERROR(__xludf.DUMMYFUNCTION("""COMPUTED_VALUE"""),"Оплатили")</f>
        <v>Оплатили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>
        <f>IFERROR(__xludf.DUMMYFUNCTION("""COMPUTED_VALUE"""),2025.0)</f>
        <v>2025</v>
      </c>
      <c r="B143" s="1" t="str">
        <f>IFERROR(__xludf.DUMMYFUNCTION("""COMPUTED_VALUE"""),"06.11-15.11")</f>
        <v>06.11-15.11</v>
      </c>
      <c r="C143" s="2" t="str">
        <f>IFERROR(__xludf.DUMMYFUNCTION("""COMPUTED_VALUE"""),"Нурбаева Умеда")</f>
        <v>Нурбаева Умеда</v>
      </c>
      <c r="D143" s="1" t="str">
        <f>IFERROR(__xludf.DUMMYFUNCTION("""COMPUTED_VALUE"""),"79250388417")</f>
        <v>79250388417</v>
      </c>
      <c r="E143" s="3">
        <f>IFERROR(__xludf.DUMMYFUNCTION("""COMPUTED_VALUE"""),38000.0)</f>
        <v>38000</v>
      </c>
      <c r="F143" s="1"/>
      <c r="G143" s="4"/>
      <c r="H143" s="1"/>
      <c r="I143" s="5">
        <f>IFERROR(__xludf.DUMMYFUNCTION("""COMPUTED_VALUE"""),38000.0)</f>
        <v>38000</v>
      </c>
      <c r="J143" s="1" t="str">
        <f>IFERROR(__xludf.DUMMYFUNCTION("""COMPUTED_VALUE"""),"Оплатили")</f>
        <v>Оплатили</v>
      </c>
      <c r="K143" s="1"/>
      <c r="L143" s="1">
        <f>IFERROR(__xludf.DUMMYFUNCTION("""COMPUTED_VALUE"""),9.71521363276E11)</f>
        <v>971521363276</v>
      </c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>
        <f>IFERROR(__xludf.DUMMYFUNCTION("""COMPUTED_VALUE"""),2025.0)</f>
        <v>2025</v>
      </c>
      <c r="B144" s="1" t="str">
        <f>IFERROR(__xludf.DUMMYFUNCTION("""COMPUTED_VALUE"""),"06.11-15.11")</f>
        <v>06.11-15.11</v>
      </c>
      <c r="C144" s="2" t="str">
        <f>IFERROR(__xludf.DUMMYFUNCTION("""COMPUTED_VALUE"""),"Оторбаев Бектурган")</f>
        <v>Оторбаев Бектурган</v>
      </c>
      <c r="D144" s="1" t="str">
        <f>IFERROR(__xludf.DUMMYFUNCTION("""COMPUTED_VALUE"""),"79777540107")</f>
        <v>79777540107</v>
      </c>
      <c r="E144" s="3">
        <f>IFERROR(__xludf.DUMMYFUNCTION("""COMPUTED_VALUE"""),39467.0)</f>
        <v>39467</v>
      </c>
      <c r="F144" s="1"/>
      <c r="G144" s="4"/>
      <c r="H144" s="1"/>
      <c r="I144" s="5">
        <f>IFERROR(__xludf.DUMMYFUNCTION("""COMPUTED_VALUE"""),39467.0)</f>
        <v>39467</v>
      </c>
      <c r="J144" s="1" t="str">
        <f>IFERROR(__xludf.DUMMYFUNCTION("""COMPUTED_VALUE"""),"Оплатили")</f>
        <v>Оплатили</v>
      </c>
      <c r="K144" s="1"/>
      <c r="L144" s="1">
        <f>IFERROR(__xludf.DUMMYFUNCTION("""COMPUTED_VALUE"""),5.01220476256E11)</f>
        <v>501220476256</v>
      </c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>
        <f>IFERROR(__xludf.DUMMYFUNCTION("""COMPUTED_VALUE"""),2025.0)</f>
        <v>2025</v>
      </c>
      <c r="B145" s="1" t="str">
        <f>IFERROR(__xludf.DUMMYFUNCTION("""COMPUTED_VALUE"""),"06.11-15.11")</f>
        <v>06.11-15.11</v>
      </c>
      <c r="C145" s="2" t="str">
        <f>IFERROR(__xludf.DUMMYFUNCTION("""COMPUTED_VALUE"""),"Примова Нилюфер")</f>
        <v>Примова Нилюфер</v>
      </c>
      <c r="D145" s="1" t="str">
        <f>IFERROR(__xludf.DUMMYFUNCTION("""COMPUTED_VALUE"""),"79775621896")</f>
        <v>79775621896</v>
      </c>
      <c r="E145" s="3">
        <f>IFERROR(__xludf.DUMMYFUNCTION("""COMPUTED_VALUE"""),43730.0)</f>
        <v>43730</v>
      </c>
      <c r="F145" s="1"/>
      <c r="G145" s="4"/>
      <c r="H145" s="1"/>
      <c r="I145" s="5">
        <f>IFERROR(__xludf.DUMMYFUNCTION("""COMPUTED_VALUE"""),43730.0)</f>
        <v>43730</v>
      </c>
      <c r="J145" s="1" t="str">
        <f>IFERROR(__xludf.DUMMYFUNCTION("""COMPUTED_VALUE"""),"Оплатили")</f>
        <v>Оплатили</v>
      </c>
      <c r="K145" s="1"/>
      <c r="L145" s="1">
        <f>IFERROR(__xludf.DUMMYFUNCTION("""COMPUTED_VALUE"""),7.72312047604E11)</f>
        <v>772312047604</v>
      </c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>
        <f>IFERROR(__xludf.DUMMYFUNCTION("""COMPUTED_VALUE"""),2025.0)</f>
        <v>2025</v>
      </c>
      <c r="B146" s="1" t="str">
        <f>IFERROR(__xludf.DUMMYFUNCTION("""COMPUTED_VALUE"""),"06.11-15.11")</f>
        <v>06.11-15.11</v>
      </c>
      <c r="C146" s="2" t="str">
        <f>IFERROR(__xludf.DUMMYFUNCTION("""COMPUTED_VALUE"""),"Пулатов Фарид")</f>
        <v>Пулатов Фарид</v>
      </c>
      <c r="D146" s="1" t="str">
        <f>IFERROR(__xludf.DUMMYFUNCTION("""COMPUTED_VALUE"""),"79694688670")</f>
        <v>79694688670</v>
      </c>
      <c r="E146" s="3">
        <f>IFERROR(__xludf.DUMMYFUNCTION("""COMPUTED_VALUE"""),48000.0)</f>
        <v>48000</v>
      </c>
      <c r="F146" s="1"/>
      <c r="G146" s="4"/>
      <c r="H146" s="1"/>
      <c r="I146" s="5">
        <f>IFERROR(__xludf.DUMMYFUNCTION("""COMPUTED_VALUE"""),48000.0)</f>
        <v>48000</v>
      </c>
      <c r="J146" s="1" t="str">
        <f>IFERROR(__xludf.DUMMYFUNCTION("""COMPUTED_VALUE"""),"Оплатили")</f>
        <v>Оплатили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>
        <f>IFERROR(__xludf.DUMMYFUNCTION("""COMPUTED_VALUE"""),2025.0)</f>
        <v>2025</v>
      </c>
      <c r="B147" s="1" t="str">
        <f>IFERROR(__xludf.DUMMYFUNCTION("""COMPUTED_VALUE"""),"06.11-15.11")</f>
        <v>06.11-15.11</v>
      </c>
      <c r="C147" s="2" t="str">
        <f>IFERROR(__xludf.DUMMYFUNCTION("""COMPUTED_VALUE"""),"Расулова Махфуза Зайниддиновна")</f>
        <v>Расулова Махфуза Зайниддиновна</v>
      </c>
      <c r="D147" s="1" t="str">
        <f>IFERROR(__xludf.DUMMYFUNCTION("""COMPUTED_VALUE"""),"79854583155")</f>
        <v>79854583155</v>
      </c>
      <c r="E147" s="3">
        <f>IFERROR(__xludf.DUMMYFUNCTION("""COMPUTED_VALUE"""),41000.0)</f>
        <v>41000</v>
      </c>
      <c r="F147" s="1"/>
      <c r="G147" s="4"/>
      <c r="H147" s="1"/>
      <c r="I147" s="5">
        <f>IFERROR(__xludf.DUMMYFUNCTION("""COMPUTED_VALUE"""),41000.0)</f>
        <v>41000</v>
      </c>
      <c r="J147" s="1" t="str">
        <f>IFERROR(__xludf.DUMMYFUNCTION("""COMPUTED_VALUE"""),"Оплатили")</f>
        <v>Оплатили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>
        <f>IFERROR(__xludf.DUMMYFUNCTION("""COMPUTED_VALUE"""),2025.0)</f>
        <v>2025</v>
      </c>
      <c r="B148" s="1" t="str">
        <f>IFERROR(__xludf.DUMMYFUNCTION("""COMPUTED_VALUE"""),"06.11-15.11")</f>
        <v>06.11-15.11</v>
      </c>
      <c r="C148" s="2" t="str">
        <f>IFERROR(__xludf.DUMMYFUNCTION("""COMPUTED_VALUE"""),"Рахимов Некбахт")</f>
        <v>Рахимов Некбахт</v>
      </c>
      <c r="D148" s="1" t="str">
        <f>IFERROR(__xludf.DUMMYFUNCTION("""COMPUTED_VALUE"""),"79890499153")</f>
        <v>79890499153</v>
      </c>
      <c r="E148" s="3">
        <f>IFERROR(__xludf.DUMMYFUNCTION("""COMPUTED_VALUE"""),34408.0)</f>
        <v>34408</v>
      </c>
      <c r="F148" s="1"/>
      <c r="G148" s="4"/>
      <c r="H148" s="1"/>
      <c r="I148" s="5">
        <f>IFERROR(__xludf.DUMMYFUNCTION("""COMPUTED_VALUE"""),34408.0)</f>
        <v>34408</v>
      </c>
      <c r="J148" s="1" t="str">
        <f>IFERROR(__xludf.DUMMYFUNCTION("""COMPUTED_VALUE"""),"Оплатили")</f>
        <v>Оплатили</v>
      </c>
      <c r="K148" s="1"/>
      <c r="L148" s="1">
        <f>IFERROR(__xludf.DUMMYFUNCTION("""COMPUTED_VALUE"""),7.72281929709E11)</f>
        <v>772281929709</v>
      </c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>
        <f>IFERROR(__xludf.DUMMYFUNCTION("""COMPUTED_VALUE"""),2025.0)</f>
        <v>2025</v>
      </c>
      <c r="B149" s="1" t="str">
        <f>IFERROR(__xludf.DUMMYFUNCTION("""COMPUTED_VALUE"""),"06.11-15.11")</f>
        <v>06.11-15.11</v>
      </c>
      <c r="C149" s="2" t="str">
        <f>IFERROR(__xludf.DUMMYFUNCTION("""COMPUTED_VALUE"""),"Рахимов Сафарали")</f>
        <v>Рахимов Сафарали</v>
      </c>
      <c r="D149" s="1" t="str">
        <f>IFERROR(__xludf.DUMMYFUNCTION("""COMPUTED_VALUE"""),"79776437403")</f>
        <v>79776437403</v>
      </c>
      <c r="E149" s="3">
        <f>IFERROR(__xludf.DUMMYFUNCTION("""COMPUTED_VALUE"""),40000.0)</f>
        <v>40000</v>
      </c>
      <c r="F149" s="1"/>
      <c r="G149" s="4"/>
      <c r="H149" s="1"/>
      <c r="I149" s="5">
        <f>IFERROR(__xludf.DUMMYFUNCTION("""COMPUTED_VALUE"""),40000.0)</f>
        <v>40000</v>
      </c>
      <c r="J149" s="1" t="str">
        <f>IFERROR(__xludf.DUMMYFUNCTION("""COMPUTED_VALUE"""),"Оплатили")</f>
        <v>Оплатили</v>
      </c>
      <c r="K149" s="1"/>
      <c r="L149" s="1">
        <f>IFERROR(__xludf.DUMMYFUNCTION("""COMPUTED_VALUE"""),7.70979908855E11)</f>
        <v>770979908855</v>
      </c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>
        <f>IFERROR(__xludf.DUMMYFUNCTION("""COMPUTED_VALUE"""),2025.0)</f>
        <v>2025</v>
      </c>
      <c r="B150" s="1" t="str">
        <f>IFERROR(__xludf.DUMMYFUNCTION("""COMPUTED_VALUE"""),"06.11-15.11")</f>
        <v>06.11-15.11</v>
      </c>
      <c r="C150" s="2" t="str">
        <f>IFERROR(__xludf.DUMMYFUNCTION("""COMPUTED_VALUE"""),"Рахимова Нигора")</f>
        <v>Рахимова Нигора</v>
      </c>
      <c r="D150" s="1" t="str">
        <f>IFERROR(__xludf.DUMMYFUNCTION("""COMPUTED_VALUE"""),"79032802321")</f>
        <v>79032802321</v>
      </c>
      <c r="E150" s="3">
        <f>IFERROR(__xludf.DUMMYFUNCTION("""COMPUTED_VALUE"""),26400.0)</f>
        <v>26400</v>
      </c>
      <c r="F150" s="1"/>
      <c r="G150" s="4"/>
      <c r="H150" s="1"/>
      <c r="I150" s="5">
        <f>IFERROR(__xludf.DUMMYFUNCTION("""COMPUTED_VALUE"""),26400.0)</f>
        <v>26400</v>
      </c>
      <c r="J150" s="1" t="str">
        <f>IFERROR(__xludf.DUMMYFUNCTION("""COMPUTED_VALUE"""),"Оплатили")</f>
        <v>Оплатили</v>
      </c>
      <c r="K150" s="1"/>
      <c r="L150" s="1">
        <f>IFERROR(__xludf.DUMMYFUNCTION("""COMPUTED_VALUE"""),7.7515166163E11)</f>
        <v>775151661630</v>
      </c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>
        <f>IFERROR(__xludf.DUMMYFUNCTION("""COMPUTED_VALUE"""),2025.0)</f>
        <v>2025</v>
      </c>
      <c r="B151" s="1" t="str">
        <f>IFERROR(__xludf.DUMMYFUNCTION("""COMPUTED_VALUE"""),"06.11-15.11")</f>
        <v>06.11-15.11</v>
      </c>
      <c r="C151" s="2" t="str">
        <f>IFERROR(__xludf.DUMMYFUNCTION("""COMPUTED_VALUE"""),"Рахматуллаев Мухаммад")</f>
        <v>Рахматуллаев Мухаммад</v>
      </c>
      <c r="D151" s="1" t="str">
        <f>IFERROR(__xludf.DUMMYFUNCTION("""COMPUTED_VALUE"""),"79662669660")</f>
        <v>79662669660</v>
      </c>
      <c r="E151" s="3">
        <f>IFERROR(__xludf.DUMMYFUNCTION("""COMPUTED_VALUE"""),38000.0)</f>
        <v>38000</v>
      </c>
      <c r="F151" s="1"/>
      <c r="G151" s="4"/>
      <c r="H151" s="1"/>
      <c r="I151" s="5">
        <f>IFERROR(__xludf.DUMMYFUNCTION("""COMPUTED_VALUE"""),38000.0)</f>
        <v>38000</v>
      </c>
      <c r="J151" s="1" t="str">
        <f>IFERROR(__xludf.DUMMYFUNCTION("""COMPUTED_VALUE"""),"Оплатили")</f>
        <v>Оплатили</v>
      </c>
      <c r="K151" s="1"/>
      <c r="L151" s="1">
        <f>IFERROR(__xludf.DUMMYFUNCTION("""COMPUTED_VALUE"""),7.75175953769E11)</f>
        <v>775175953769</v>
      </c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>
        <f>IFERROR(__xludf.DUMMYFUNCTION("""COMPUTED_VALUE"""),2025.0)</f>
        <v>2025</v>
      </c>
      <c r="B152" s="1" t="str">
        <f>IFERROR(__xludf.DUMMYFUNCTION("""COMPUTED_VALUE"""),"06.11-15.11")</f>
        <v>06.11-15.11</v>
      </c>
      <c r="C152" s="2" t="str">
        <f>IFERROR(__xludf.DUMMYFUNCTION("""COMPUTED_VALUE"""),"Рахмонов Сухроб")</f>
        <v>Рахмонов Сухроб</v>
      </c>
      <c r="D152" s="1" t="str">
        <f>IFERROR(__xludf.DUMMYFUNCTION("""COMPUTED_VALUE"""),"79336934364")</f>
        <v>79336934364</v>
      </c>
      <c r="E152" s="3">
        <f>IFERROR(__xludf.DUMMYFUNCTION("""COMPUTED_VALUE"""),48250.0)</f>
        <v>48250</v>
      </c>
      <c r="F152" s="1"/>
      <c r="G152" s="4"/>
      <c r="H152" s="1"/>
      <c r="I152" s="5">
        <f>IFERROR(__xludf.DUMMYFUNCTION("""COMPUTED_VALUE"""),48250.0)</f>
        <v>48250</v>
      </c>
      <c r="J152" s="1" t="str">
        <f>IFERROR(__xludf.DUMMYFUNCTION("""COMPUTED_VALUE"""),"Оплатили")</f>
        <v>Оплатили</v>
      </c>
      <c r="K152" s="1"/>
      <c r="L152" s="1">
        <f>IFERROR(__xludf.DUMMYFUNCTION("""COMPUTED_VALUE"""),7.75185498484E11)</f>
        <v>775185498484</v>
      </c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>
        <f>IFERROR(__xludf.DUMMYFUNCTION("""COMPUTED_VALUE"""),2025.0)</f>
        <v>2025</v>
      </c>
      <c r="B153" s="1" t="str">
        <f>IFERROR(__xludf.DUMMYFUNCTION("""COMPUTED_VALUE"""),"06.11-15.11")</f>
        <v>06.11-15.11</v>
      </c>
      <c r="C153" s="2" t="str">
        <f>IFERROR(__xludf.DUMMYFUNCTION("""COMPUTED_VALUE"""),"Рустамов Дониёр Абдукахорович")</f>
        <v>Рустамов Дониёр Абдукахорович</v>
      </c>
      <c r="D153" s="1" t="str">
        <f>IFERROR(__xludf.DUMMYFUNCTION("""COMPUTED_VALUE"""),"79776800074")</f>
        <v>79776800074</v>
      </c>
      <c r="E153" s="3">
        <f>IFERROR(__xludf.DUMMYFUNCTION("""COMPUTED_VALUE"""),41075.0)</f>
        <v>41075</v>
      </c>
      <c r="F153" s="1"/>
      <c r="G153" s="4"/>
      <c r="H153" s="1"/>
      <c r="I153" s="5">
        <f>IFERROR(__xludf.DUMMYFUNCTION("""COMPUTED_VALUE"""),41075.0)</f>
        <v>41075</v>
      </c>
      <c r="J153" s="1" t="str">
        <f>IFERROR(__xludf.DUMMYFUNCTION("""COMPUTED_VALUE"""),"Оплатили")</f>
        <v>Оплатили</v>
      </c>
      <c r="K153" s="1"/>
      <c r="L153" s="1">
        <f>IFERROR(__xludf.DUMMYFUNCTION("""COMPUTED_VALUE"""),9.7180693062E11)</f>
        <v>971806930620</v>
      </c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>
        <f>IFERROR(__xludf.DUMMYFUNCTION("""COMPUTED_VALUE"""),2025.0)</f>
        <v>2025</v>
      </c>
      <c r="B154" s="1" t="str">
        <f>IFERROR(__xludf.DUMMYFUNCTION("""COMPUTED_VALUE"""),"06.11-15.11")</f>
        <v>06.11-15.11</v>
      </c>
      <c r="C154" s="2" t="str">
        <f>IFERROR(__xludf.DUMMYFUNCTION("""COMPUTED_VALUE"""),"Сайдалиев Салмон")</f>
        <v>Сайдалиев Салмон</v>
      </c>
      <c r="D154" s="1" t="str">
        <f>IFERROR(__xludf.DUMMYFUNCTION("""COMPUTED_VALUE"""),"79309826676")</f>
        <v>79309826676</v>
      </c>
      <c r="E154" s="3">
        <f>IFERROR(__xludf.DUMMYFUNCTION("""COMPUTED_VALUE"""),53950.0)</f>
        <v>53950</v>
      </c>
      <c r="F154" s="1"/>
      <c r="G154" s="4"/>
      <c r="H154" s="1"/>
      <c r="I154" s="5">
        <f>IFERROR(__xludf.DUMMYFUNCTION("""COMPUTED_VALUE"""),53950.0)</f>
        <v>53950</v>
      </c>
      <c r="J154" s="1" t="str">
        <f>IFERROR(__xludf.DUMMYFUNCTION("""COMPUTED_VALUE"""),"Оплатили")</f>
        <v>Оплатили</v>
      </c>
      <c r="K154" s="1"/>
      <c r="L154" s="1">
        <f>IFERROR(__xludf.DUMMYFUNCTION("""COMPUTED_VALUE"""),5.00924497331E11)</f>
        <v>500924497331</v>
      </c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>
        <f>IFERROR(__xludf.DUMMYFUNCTION("""COMPUTED_VALUE"""),2025.0)</f>
        <v>2025</v>
      </c>
      <c r="B155" s="1" t="str">
        <f>IFERROR(__xludf.DUMMYFUNCTION("""COMPUTED_VALUE"""),"06.11-15.11")</f>
        <v>06.11-15.11</v>
      </c>
      <c r="C155" s="2" t="str">
        <f>IFERROR(__xludf.DUMMYFUNCTION("""COMPUTED_VALUE"""),"Сайдуллаев Музаффар")</f>
        <v>Сайдуллаев Музаффар</v>
      </c>
      <c r="D155" s="1" t="str">
        <f>IFERROR(__xludf.DUMMYFUNCTION("""COMPUTED_VALUE"""),"79997977857")</f>
        <v>79997977857</v>
      </c>
      <c r="E155" s="3">
        <f>IFERROR(__xludf.DUMMYFUNCTION("""COMPUTED_VALUE"""),36392.0)</f>
        <v>36392</v>
      </c>
      <c r="F155" s="1"/>
      <c r="G155" s="4"/>
      <c r="H155" s="1"/>
      <c r="I155" s="5">
        <f>IFERROR(__xludf.DUMMYFUNCTION("""COMPUTED_VALUE"""),36392.0)</f>
        <v>36392</v>
      </c>
      <c r="J155" s="1" t="str">
        <f>IFERROR(__xludf.DUMMYFUNCTION("""COMPUTED_VALUE"""),"Оплатили")</f>
        <v>Оплатили</v>
      </c>
      <c r="K155" s="1"/>
      <c r="L155" s="1">
        <f>IFERROR(__xludf.DUMMYFUNCTION("""COMPUTED_VALUE"""),7.75123675454E11)</f>
        <v>775123675454</v>
      </c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>
        <f>IFERROR(__xludf.DUMMYFUNCTION("""COMPUTED_VALUE"""),2025.0)</f>
        <v>2025</v>
      </c>
      <c r="B156" s="1" t="str">
        <f>IFERROR(__xludf.DUMMYFUNCTION("""COMPUTED_VALUE"""),"06.11-15.11")</f>
        <v>06.11-15.11</v>
      </c>
      <c r="C156" s="2" t="str">
        <f>IFERROR(__xludf.DUMMYFUNCTION("""COMPUTED_VALUE"""),"Сатаров Адхам")</f>
        <v>Сатаров Адхам</v>
      </c>
      <c r="D156" s="1" t="str">
        <f>IFERROR(__xludf.DUMMYFUNCTION("""COMPUTED_VALUE"""),"79957088596")</f>
        <v>79957088596</v>
      </c>
      <c r="E156" s="3">
        <f>IFERROR(__xludf.DUMMYFUNCTION("""COMPUTED_VALUE"""),43070.0)</f>
        <v>43070</v>
      </c>
      <c r="F156" s="1"/>
      <c r="G156" s="4"/>
      <c r="H156" s="1"/>
      <c r="I156" s="5">
        <f>IFERROR(__xludf.DUMMYFUNCTION("""COMPUTED_VALUE"""),43070.0)</f>
        <v>43070</v>
      </c>
      <c r="J156" s="1" t="str">
        <f>IFERROR(__xludf.DUMMYFUNCTION("""COMPUTED_VALUE"""),"Оплатили")</f>
        <v>Оплатили</v>
      </c>
      <c r="K156" s="1"/>
      <c r="L156" s="1">
        <f>IFERROR(__xludf.DUMMYFUNCTION("""COMPUTED_VALUE"""),7.75117173632E11)</f>
        <v>775117173632</v>
      </c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>
        <f>IFERROR(__xludf.DUMMYFUNCTION("""COMPUTED_VALUE"""),2025.0)</f>
        <v>2025</v>
      </c>
      <c r="B157" s="1" t="str">
        <f>IFERROR(__xludf.DUMMYFUNCTION("""COMPUTED_VALUE"""),"06.11-15.11")</f>
        <v>06.11-15.11</v>
      </c>
      <c r="C157" s="2" t="str">
        <f>IFERROR(__xludf.DUMMYFUNCTION("""COMPUTED_VALUE"""),"Совиров Отажон")</f>
        <v>Совиров Отажон</v>
      </c>
      <c r="D157" s="1" t="str">
        <f>IFERROR(__xludf.DUMMYFUNCTION("""COMPUTED_VALUE"""),"79067312124")</f>
        <v>79067312124</v>
      </c>
      <c r="E157" s="3">
        <f>IFERROR(__xludf.DUMMYFUNCTION("""COMPUTED_VALUE"""),45000.0)</f>
        <v>45000</v>
      </c>
      <c r="F157" s="1"/>
      <c r="G157" s="4"/>
      <c r="H157" s="1"/>
      <c r="I157" s="5">
        <f>IFERROR(__xludf.DUMMYFUNCTION("""COMPUTED_VALUE"""),45000.0)</f>
        <v>45000</v>
      </c>
      <c r="J157" s="1" t="str">
        <f>IFERROR(__xludf.DUMMYFUNCTION("""COMPUTED_VALUE"""),"Оплатили")</f>
        <v>Оплатили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>
        <f>IFERROR(__xludf.DUMMYFUNCTION("""COMPUTED_VALUE"""),2025.0)</f>
        <v>2025</v>
      </c>
      <c r="B158" s="1" t="str">
        <f>IFERROR(__xludf.DUMMYFUNCTION("""COMPUTED_VALUE"""),"06.11-15.11")</f>
        <v>06.11-15.11</v>
      </c>
      <c r="C158" s="2" t="str">
        <f>IFERROR(__xludf.DUMMYFUNCTION("""COMPUTED_VALUE"""),"Солиев Алимардон Акбаралиевич")</f>
        <v>Солиев Алимардон Акбаралиевич</v>
      </c>
      <c r="D158" s="1" t="str">
        <f>IFERROR(__xludf.DUMMYFUNCTION("""COMPUTED_VALUE"""),"79161154264")</f>
        <v>79161154264</v>
      </c>
      <c r="E158" s="3">
        <f>IFERROR(__xludf.DUMMYFUNCTION("""COMPUTED_VALUE"""),45000.0)</f>
        <v>45000</v>
      </c>
      <c r="F158" s="1"/>
      <c r="G158" s="4"/>
      <c r="H158" s="1"/>
      <c r="I158" s="5">
        <f>IFERROR(__xludf.DUMMYFUNCTION("""COMPUTED_VALUE"""),45000.0)</f>
        <v>45000</v>
      </c>
      <c r="J158" s="1" t="str">
        <f>IFERROR(__xludf.DUMMYFUNCTION("""COMPUTED_VALUE"""),"Оплатили")</f>
        <v>Оплатили</v>
      </c>
      <c r="K158" s="1"/>
      <c r="L158" s="1">
        <f>IFERROR(__xludf.DUMMYFUNCTION("""COMPUTED_VALUE"""),4.02818158835E11)</f>
        <v>402818158835</v>
      </c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>
        <f>IFERROR(__xludf.DUMMYFUNCTION("""COMPUTED_VALUE"""),2025.0)</f>
        <v>2025</v>
      </c>
      <c r="B159" s="1" t="str">
        <f>IFERROR(__xludf.DUMMYFUNCTION("""COMPUTED_VALUE"""),"06.11-15.11")</f>
        <v>06.11-15.11</v>
      </c>
      <c r="C159" s="2" t="str">
        <f>IFERROR(__xludf.DUMMYFUNCTION("""COMPUTED_VALUE"""),"Сулейманов Санжар")</f>
        <v>Сулейманов Санжар</v>
      </c>
      <c r="D159" s="1" t="str">
        <f>IFERROR(__xludf.DUMMYFUNCTION("""COMPUTED_VALUE"""),"79313709033")</f>
        <v>79313709033</v>
      </c>
      <c r="E159" s="3">
        <f>IFERROR(__xludf.DUMMYFUNCTION("""COMPUTED_VALUE"""),79775.0)</f>
        <v>79775</v>
      </c>
      <c r="F159" s="1"/>
      <c r="G159" s="4"/>
      <c r="H159" s="1"/>
      <c r="I159" s="5">
        <f>IFERROR(__xludf.DUMMYFUNCTION("""COMPUTED_VALUE"""),79775.0)</f>
        <v>79775</v>
      </c>
      <c r="J159" s="1" t="str">
        <f>IFERROR(__xludf.DUMMYFUNCTION("""COMPUTED_VALUE"""),"Оплатили")</f>
        <v>Оплатили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>
        <f>IFERROR(__xludf.DUMMYFUNCTION("""COMPUTED_VALUE"""),2025.0)</f>
        <v>2025</v>
      </c>
      <c r="B160" s="1" t="str">
        <f>IFERROR(__xludf.DUMMYFUNCTION("""COMPUTED_VALUE"""),"06.11-15.11")</f>
        <v>06.11-15.11</v>
      </c>
      <c r="C160" s="2" t="str">
        <f>IFERROR(__xludf.DUMMYFUNCTION("""COMPUTED_VALUE"""),"Султонзода Нодира")</f>
        <v>Султонзода Нодира</v>
      </c>
      <c r="D160" s="1" t="str">
        <f>IFERROR(__xludf.DUMMYFUNCTION("""COMPUTED_VALUE"""),"79891031216")</f>
        <v>79891031216</v>
      </c>
      <c r="E160" s="3">
        <f>IFERROR(__xludf.DUMMYFUNCTION("""COMPUTED_VALUE"""),41285.0)</f>
        <v>41285</v>
      </c>
      <c r="F160" s="1"/>
      <c r="G160" s="4"/>
      <c r="H160" s="1"/>
      <c r="I160" s="5">
        <f>IFERROR(__xludf.DUMMYFUNCTION("""COMPUTED_VALUE"""),41285.0)</f>
        <v>41285</v>
      </c>
      <c r="J160" s="1" t="str">
        <f>IFERROR(__xludf.DUMMYFUNCTION("""COMPUTED_VALUE"""),"Оплатили")</f>
        <v>Оплатили</v>
      </c>
      <c r="K160" s="1"/>
      <c r="L160" s="1">
        <f>IFERROR(__xludf.DUMMYFUNCTION("""COMPUTED_VALUE"""),7.75184127705E11)</f>
        <v>775184127705</v>
      </c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>
        <f>IFERROR(__xludf.DUMMYFUNCTION("""COMPUTED_VALUE"""),2025.0)</f>
        <v>2025</v>
      </c>
      <c r="B161" s="1" t="str">
        <f>IFERROR(__xludf.DUMMYFUNCTION("""COMPUTED_VALUE"""),"06.11-15.11")</f>
        <v>06.11-15.11</v>
      </c>
      <c r="C161" s="2" t="str">
        <f>IFERROR(__xludf.DUMMYFUNCTION("""COMPUTED_VALUE"""),"Тагайлиева Гульбарчын Абдырахмоновна")</f>
        <v>Тагайлиева Гульбарчын Абдырахмоновна</v>
      </c>
      <c r="D161" s="1" t="str">
        <f>IFERROR(__xludf.DUMMYFUNCTION("""COMPUTED_VALUE"""),"79999895773")</f>
        <v>79999895773</v>
      </c>
      <c r="E161" s="3">
        <f>IFERROR(__xludf.DUMMYFUNCTION("""COMPUTED_VALUE"""),31625.0)</f>
        <v>31625</v>
      </c>
      <c r="F161" s="1"/>
      <c r="G161" s="4"/>
      <c r="H161" s="1"/>
      <c r="I161" s="5">
        <f>IFERROR(__xludf.DUMMYFUNCTION("""COMPUTED_VALUE"""),31625.0)</f>
        <v>31625</v>
      </c>
      <c r="J161" s="1" t="str">
        <f>IFERROR(__xludf.DUMMYFUNCTION("""COMPUTED_VALUE"""),"Оплатили")</f>
        <v>Оплатили</v>
      </c>
      <c r="K161" s="1"/>
      <c r="L161" s="1">
        <f>IFERROR(__xludf.DUMMYFUNCTION("""COMPUTED_VALUE"""),7.75162962212E11)</f>
        <v>775162962212</v>
      </c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>
        <f>IFERROR(__xludf.DUMMYFUNCTION("""COMPUTED_VALUE"""),2025.0)</f>
        <v>2025</v>
      </c>
      <c r="B162" s="1" t="str">
        <f>IFERROR(__xludf.DUMMYFUNCTION("""COMPUTED_VALUE"""),"06.11-15.11")</f>
        <v>06.11-15.11</v>
      </c>
      <c r="C162" s="2" t="str">
        <f>IFERROR(__xludf.DUMMYFUNCTION("""COMPUTED_VALUE"""),"Тешабоев Расулжон")</f>
        <v>Тешабоев Расулжон</v>
      </c>
      <c r="D162" s="1" t="str">
        <f>IFERROR(__xludf.DUMMYFUNCTION("""COMPUTED_VALUE"""),"79777013390")</f>
        <v>79777013390</v>
      </c>
      <c r="E162" s="3">
        <f>IFERROR(__xludf.DUMMYFUNCTION("""COMPUTED_VALUE"""),33300.0)</f>
        <v>33300</v>
      </c>
      <c r="F162" s="1"/>
      <c r="G162" s="4"/>
      <c r="H162" s="1"/>
      <c r="I162" s="5">
        <f>IFERROR(__xludf.DUMMYFUNCTION("""COMPUTED_VALUE"""),33300.0)</f>
        <v>33300</v>
      </c>
      <c r="J162" s="1" t="str">
        <f>IFERROR(__xludf.DUMMYFUNCTION("""COMPUTED_VALUE"""),"Оплатили")</f>
        <v>Оплатили</v>
      </c>
      <c r="K162" s="1"/>
      <c r="L162" s="1">
        <f>IFERROR(__xludf.DUMMYFUNCTION("""COMPUTED_VALUE"""),7.75171178607E11)</f>
        <v>775171178607</v>
      </c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>
        <f>IFERROR(__xludf.DUMMYFUNCTION("""COMPUTED_VALUE"""),2025.0)</f>
        <v>2025</v>
      </c>
      <c r="B163" s="1" t="str">
        <f>IFERROR(__xludf.DUMMYFUNCTION("""COMPUTED_VALUE"""),"06.11-15.11")</f>
        <v>06.11-15.11</v>
      </c>
      <c r="C163" s="2" t="str">
        <f>IFERROR(__xludf.DUMMYFUNCTION("""COMPUTED_VALUE"""),"Тожиева Наргиза Аминова")</f>
        <v>Тожиева Наргиза Аминова</v>
      </c>
      <c r="D163" s="1" t="str">
        <f>IFERROR(__xludf.DUMMYFUNCTION("""COMPUTED_VALUE"""),"79856292007")</f>
        <v>79856292007</v>
      </c>
      <c r="E163" s="3">
        <f>IFERROR(__xludf.DUMMYFUNCTION("""COMPUTED_VALUE"""),34000.0)</f>
        <v>34000</v>
      </c>
      <c r="F163" s="1"/>
      <c r="G163" s="4"/>
      <c r="H163" s="1"/>
      <c r="I163" s="5">
        <f>IFERROR(__xludf.DUMMYFUNCTION("""COMPUTED_VALUE"""),34000.0)</f>
        <v>34000</v>
      </c>
      <c r="J163" s="1" t="str">
        <f>IFERROR(__xludf.DUMMYFUNCTION("""COMPUTED_VALUE"""),"Оплатили")</f>
        <v>Оплатили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>
        <f>IFERROR(__xludf.DUMMYFUNCTION("""COMPUTED_VALUE"""),2025.0)</f>
        <v>2025</v>
      </c>
      <c r="B164" s="1" t="str">
        <f>IFERROR(__xludf.DUMMYFUNCTION("""COMPUTED_VALUE"""),"06.11-15.11")</f>
        <v>06.11-15.11</v>
      </c>
      <c r="C164" s="2" t="str">
        <f>IFERROR(__xludf.DUMMYFUNCTION("""COMPUTED_VALUE"""),"Тураева Райхон")</f>
        <v>Тураева Райхон</v>
      </c>
      <c r="D164" s="1" t="str">
        <f>IFERROR(__xludf.DUMMYFUNCTION("""COMPUTED_VALUE"""),"79776109620")</f>
        <v>79776109620</v>
      </c>
      <c r="E164" s="3">
        <f>IFERROR(__xludf.DUMMYFUNCTION("""COMPUTED_VALUE"""),38317.0)</f>
        <v>38317</v>
      </c>
      <c r="F164" s="1"/>
      <c r="G164" s="4"/>
      <c r="H164" s="1"/>
      <c r="I164" s="5">
        <f>IFERROR(__xludf.DUMMYFUNCTION("""COMPUTED_VALUE"""),38317.0)</f>
        <v>38317</v>
      </c>
      <c r="J164" s="1" t="str">
        <f>IFERROR(__xludf.DUMMYFUNCTION("""COMPUTED_VALUE"""),"Оплатили")</f>
        <v>Оплатили</v>
      </c>
      <c r="K164" s="1"/>
      <c r="L164" s="1">
        <f>IFERROR(__xludf.DUMMYFUNCTION("""COMPUTED_VALUE"""),5.0072713242E11)</f>
        <v>500727132420</v>
      </c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>
        <f>IFERROR(__xludf.DUMMYFUNCTION("""COMPUTED_VALUE"""),2025.0)</f>
        <v>2025</v>
      </c>
      <c r="B165" s="1" t="str">
        <f>IFERROR(__xludf.DUMMYFUNCTION("""COMPUTED_VALUE"""),"06.11-15.11")</f>
        <v>06.11-15.11</v>
      </c>
      <c r="C165" s="2" t="str">
        <f>IFERROR(__xludf.DUMMYFUNCTION("""COMPUTED_VALUE"""),"Турдибекова Мухайё Уктамовна")</f>
        <v>Турдибекова Мухайё Уктамовна</v>
      </c>
      <c r="D165" s="1" t="str">
        <f>IFERROR(__xludf.DUMMYFUNCTION("""COMPUTED_VALUE"""),"79966796423")</f>
        <v>79966796423</v>
      </c>
      <c r="E165" s="3">
        <f>IFERROR(__xludf.DUMMYFUNCTION("""COMPUTED_VALUE"""),37617.0)</f>
        <v>37617</v>
      </c>
      <c r="F165" s="1"/>
      <c r="G165" s="4"/>
      <c r="H165" s="1"/>
      <c r="I165" s="5">
        <f>IFERROR(__xludf.DUMMYFUNCTION("""COMPUTED_VALUE"""),37617.0)</f>
        <v>37617</v>
      </c>
      <c r="J165" s="1" t="str">
        <f>IFERROR(__xludf.DUMMYFUNCTION("""COMPUTED_VALUE"""),"Оплатили")</f>
        <v>Оплатили</v>
      </c>
      <c r="K165" s="1"/>
      <c r="L165" s="1">
        <f>IFERROR(__xludf.DUMMYFUNCTION("""COMPUTED_VALUE"""),5.02777123914E11)</f>
        <v>502777123914</v>
      </c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>
        <f>IFERROR(__xludf.DUMMYFUNCTION("""COMPUTED_VALUE"""),2025.0)</f>
        <v>2025</v>
      </c>
      <c r="B166" s="1" t="str">
        <f>IFERROR(__xludf.DUMMYFUNCTION("""COMPUTED_VALUE"""),"06.11-15.11")</f>
        <v>06.11-15.11</v>
      </c>
      <c r="C166" s="2" t="str">
        <f>IFERROR(__xludf.DUMMYFUNCTION("""COMPUTED_VALUE"""),"Турдубаева Саткынай")</f>
        <v>Турдубаева Саткынай</v>
      </c>
      <c r="D166" s="1" t="str">
        <f>IFERROR(__xludf.DUMMYFUNCTION("""COMPUTED_VALUE"""),"79253866063")</f>
        <v>79253866063</v>
      </c>
      <c r="E166" s="3">
        <f>IFERROR(__xludf.DUMMYFUNCTION("""COMPUTED_VALUE"""),30235.0)</f>
        <v>30235</v>
      </c>
      <c r="F166" s="1"/>
      <c r="G166" s="4"/>
      <c r="H166" s="1"/>
      <c r="I166" s="5">
        <f>IFERROR(__xludf.DUMMYFUNCTION("""COMPUTED_VALUE"""),30235.0)</f>
        <v>30235</v>
      </c>
      <c r="J166" s="1" t="str">
        <f>IFERROR(__xludf.DUMMYFUNCTION("""COMPUTED_VALUE"""),"Оплатили")</f>
        <v>Оплатили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>
        <f>IFERROR(__xludf.DUMMYFUNCTION("""COMPUTED_VALUE"""),2025.0)</f>
        <v>2025</v>
      </c>
      <c r="B167" s="1" t="str">
        <f>IFERROR(__xludf.DUMMYFUNCTION("""COMPUTED_VALUE"""),"06.11-15.11")</f>
        <v>06.11-15.11</v>
      </c>
      <c r="C167" s="2" t="str">
        <f>IFERROR(__xludf.DUMMYFUNCTION("""COMPUTED_VALUE"""),"Усманов Ислом")</f>
        <v>Усманов Ислом</v>
      </c>
      <c r="D167" s="1" t="str">
        <f>IFERROR(__xludf.DUMMYFUNCTION("""COMPUTED_VALUE"""),"79067107159")</f>
        <v>79067107159</v>
      </c>
      <c r="E167" s="3">
        <f>IFERROR(__xludf.DUMMYFUNCTION("""COMPUTED_VALUE"""),49500.0)</f>
        <v>49500</v>
      </c>
      <c r="F167" s="1"/>
      <c r="G167" s="4"/>
      <c r="H167" s="1"/>
      <c r="I167" s="5">
        <f>IFERROR(__xludf.DUMMYFUNCTION("""COMPUTED_VALUE"""),49500.0)</f>
        <v>49500</v>
      </c>
      <c r="J167" s="1" t="str">
        <f>IFERROR(__xludf.DUMMYFUNCTION("""COMPUTED_VALUE"""),"Оплатили")</f>
        <v>Оплатили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>
        <f>IFERROR(__xludf.DUMMYFUNCTION("""COMPUTED_VALUE"""),2025.0)</f>
        <v>2025</v>
      </c>
      <c r="B168" s="1" t="str">
        <f>IFERROR(__xludf.DUMMYFUNCTION("""COMPUTED_VALUE"""),"06.11-15.11")</f>
        <v>06.11-15.11</v>
      </c>
      <c r="C168" s="2" t="str">
        <f>IFERROR(__xludf.DUMMYFUNCTION("""COMPUTED_VALUE"""),"Усманов Нодир")</f>
        <v>Усманов Нодир</v>
      </c>
      <c r="D168" s="1" t="str">
        <f>IFERROR(__xludf.DUMMYFUNCTION("""COMPUTED_VALUE"""),"79800015369")</f>
        <v>79800015369</v>
      </c>
      <c r="E168" s="3">
        <f>IFERROR(__xludf.DUMMYFUNCTION("""COMPUTED_VALUE"""),40000.0)</f>
        <v>40000</v>
      </c>
      <c r="F168" s="1"/>
      <c r="G168" s="4"/>
      <c r="H168" s="1"/>
      <c r="I168" s="5">
        <f>IFERROR(__xludf.DUMMYFUNCTION("""COMPUTED_VALUE"""),40000.0)</f>
        <v>40000</v>
      </c>
      <c r="J168" s="1" t="str">
        <f>IFERROR(__xludf.DUMMYFUNCTION("""COMPUTED_VALUE"""),"Оплатили")</f>
        <v>Оплатили</v>
      </c>
      <c r="K168" s="1"/>
      <c r="L168" s="1">
        <f>IFERROR(__xludf.DUMMYFUNCTION("""COMPUTED_VALUE"""),7.75155901184E11)</f>
        <v>775155901184</v>
      </c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>
        <f>IFERROR(__xludf.DUMMYFUNCTION("""COMPUTED_VALUE"""),2025.0)</f>
        <v>2025</v>
      </c>
      <c r="B169" s="1" t="str">
        <f>IFERROR(__xludf.DUMMYFUNCTION("""COMPUTED_VALUE"""),"06.11-15.11")</f>
        <v>06.11-15.11</v>
      </c>
      <c r="C169" s="2" t="str">
        <f>IFERROR(__xludf.DUMMYFUNCTION("""COMPUTED_VALUE"""),"Хаитова Лайло Норбоевна")</f>
        <v>Хаитова Лайло Норбоевна</v>
      </c>
      <c r="D169" s="1" t="str">
        <f>IFERROR(__xludf.DUMMYFUNCTION("""COMPUTED_VALUE"""),"79694748125")</f>
        <v>79694748125</v>
      </c>
      <c r="E169" s="3">
        <f>IFERROR(__xludf.DUMMYFUNCTION("""COMPUTED_VALUE"""),36000.0)</f>
        <v>36000</v>
      </c>
      <c r="F169" s="1"/>
      <c r="G169" s="4"/>
      <c r="H169" s="1"/>
      <c r="I169" s="5">
        <f>IFERROR(__xludf.DUMMYFUNCTION("""COMPUTED_VALUE"""),36000.0)</f>
        <v>36000</v>
      </c>
      <c r="J169" s="1" t="str">
        <f>IFERROR(__xludf.DUMMYFUNCTION("""COMPUTED_VALUE"""),"Оплатили")</f>
        <v>Оплатили</v>
      </c>
      <c r="K169" s="1"/>
      <c r="L169" s="1">
        <f>IFERROR(__xludf.DUMMYFUNCTION("""COMPUTED_VALUE"""),7.71778280523E11)</f>
        <v>771778280523</v>
      </c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>
        <f>IFERROR(__xludf.DUMMYFUNCTION("""COMPUTED_VALUE"""),2025.0)</f>
        <v>2025</v>
      </c>
      <c r="B170" s="1" t="str">
        <f>IFERROR(__xludf.DUMMYFUNCTION("""COMPUTED_VALUE"""),"06.11-15.11")</f>
        <v>06.11-15.11</v>
      </c>
      <c r="C170" s="2" t="str">
        <f>IFERROR(__xludf.DUMMYFUNCTION("""COMPUTED_VALUE"""),"Хакимханов Мухаммадхон")</f>
        <v>Хакимханов Мухаммадхон</v>
      </c>
      <c r="D170" s="1" t="str">
        <f>IFERROR(__xludf.DUMMYFUNCTION("""COMPUTED_VALUE"""),"79955063157")</f>
        <v>79955063157</v>
      </c>
      <c r="E170" s="3">
        <f>IFERROR(__xludf.DUMMYFUNCTION("""COMPUTED_VALUE"""),42230.0)</f>
        <v>42230</v>
      </c>
      <c r="F170" s="1"/>
      <c r="G170" s="4"/>
      <c r="H170" s="1"/>
      <c r="I170" s="5">
        <f>IFERROR(__xludf.DUMMYFUNCTION("""COMPUTED_VALUE"""),42230.0)</f>
        <v>42230</v>
      </c>
      <c r="J170" s="1" t="str">
        <f>IFERROR(__xludf.DUMMYFUNCTION("""COMPUTED_VALUE"""),"Оплатили")</f>
        <v>Оплатили</v>
      </c>
      <c r="K170" s="1"/>
      <c r="L170" s="1">
        <f>IFERROR(__xludf.DUMMYFUNCTION("""COMPUTED_VALUE"""),7.72323442638E11)</f>
        <v>772323442638</v>
      </c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>
        <f>IFERROR(__xludf.DUMMYFUNCTION("""COMPUTED_VALUE"""),2025.0)</f>
        <v>2025</v>
      </c>
      <c r="B171" s="1" t="str">
        <f>IFERROR(__xludf.DUMMYFUNCTION("""COMPUTED_VALUE"""),"06.11-15.11")</f>
        <v>06.11-15.11</v>
      </c>
      <c r="C171" s="2" t="str">
        <f>IFERROR(__xludf.DUMMYFUNCTION("""COMPUTED_VALUE"""),"Хамзаева Холида")</f>
        <v>Хамзаева Холида</v>
      </c>
      <c r="D171" s="1" t="str">
        <f>IFERROR(__xludf.DUMMYFUNCTION("""COMPUTED_VALUE"""),"79055367294")</f>
        <v>79055367294</v>
      </c>
      <c r="E171" s="3">
        <f>IFERROR(__xludf.DUMMYFUNCTION("""COMPUTED_VALUE"""),32485.0)</f>
        <v>32485</v>
      </c>
      <c r="F171" s="1"/>
      <c r="G171" s="4"/>
      <c r="H171" s="1"/>
      <c r="I171" s="5">
        <f>IFERROR(__xludf.DUMMYFUNCTION("""COMPUTED_VALUE"""),32485.0)</f>
        <v>32485</v>
      </c>
      <c r="J171" s="1" t="str">
        <f>IFERROR(__xludf.DUMMYFUNCTION("""COMPUTED_VALUE"""),"Оплатили")</f>
        <v>Оплатили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>
        <f>IFERROR(__xludf.DUMMYFUNCTION("""COMPUTED_VALUE"""),2025.0)</f>
        <v>2025</v>
      </c>
      <c r="B172" s="1" t="str">
        <f>IFERROR(__xludf.DUMMYFUNCTION("""COMPUTED_VALUE"""),"06.11-15.11")</f>
        <v>06.11-15.11</v>
      </c>
      <c r="C172" s="2" t="str">
        <f>IFERROR(__xludf.DUMMYFUNCTION("""COMPUTED_VALUE"""),"Хамракулов Ойбек Хурсанович")</f>
        <v>Хамракулов Ойбек Хурсанович</v>
      </c>
      <c r="D172" s="1" t="str">
        <f>IFERROR(__xludf.DUMMYFUNCTION("""COMPUTED_VALUE"""),"79779593169")</f>
        <v>79779593169</v>
      </c>
      <c r="E172" s="3">
        <f>IFERROR(__xludf.DUMMYFUNCTION("""COMPUTED_VALUE"""),43000.0)</f>
        <v>43000</v>
      </c>
      <c r="F172" s="1"/>
      <c r="G172" s="4"/>
      <c r="H172" s="1"/>
      <c r="I172" s="5">
        <f>IFERROR(__xludf.DUMMYFUNCTION("""COMPUTED_VALUE"""),43000.0)</f>
        <v>43000</v>
      </c>
      <c r="J172" s="1" t="str">
        <f>IFERROR(__xludf.DUMMYFUNCTION("""COMPUTED_VALUE"""),"Оплатили")</f>
        <v>Оплатили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>
        <f>IFERROR(__xludf.DUMMYFUNCTION("""COMPUTED_VALUE"""),2025.0)</f>
        <v>2025</v>
      </c>
      <c r="B173" s="1" t="str">
        <f>IFERROR(__xludf.DUMMYFUNCTION("""COMPUTED_VALUE"""),"06.11-15.11")</f>
        <v>06.11-15.11</v>
      </c>
      <c r="C173" s="2" t="str">
        <f>IFERROR(__xludf.DUMMYFUNCTION("""COMPUTED_VALUE"""),"Ходжаев Мухаммад")</f>
        <v>Ходжаев Мухаммад</v>
      </c>
      <c r="D173" s="1" t="str">
        <f>IFERROR(__xludf.DUMMYFUNCTION("""COMPUTED_VALUE"""),"79851400399")</f>
        <v>79851400399</v>
      </c>
      <c r="E173" s="3">
        <f>IFERROR(__xludf.DUMMYFUNCTION("""COMPUTED_VALUE"""),28417.0)</f>
        <v>28417</v>
      </c>
      <c r="F173" s="1"/>
      <c r="G173" s="4"/>
      <c r="H173" s="1"/>
      <c r="I173" s="5">
        <f>IFERROR(__xludf.DUMMYFUNCTION("""COMPUTED_VALUE"""),28417.0)</f>
        <v>28417</v>
      </c>
      <c r="J173" s="1" t="str">
        <f>IFERROR(__xludf.DUMMYFUNCTION("""COMPUTED_VALUE"""),"Оплатили")</f>
        <v>Оплатили</v>
      </c>
      <c r="K173" s="1"/>
      <c r="L173" s="1">
        <f>IFERROR(__xludf.DUMMYFUNCTION("""COMPUTED_VALUE"""),7.7515935605E11)</f>
        <v>775159356050</v>
      </c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>
        <f>IFERROR(__xludf.DUMMYFUNCTION("""COMPUTED_VALUE"""),2025.0)</f>
        <v>2025</v>
      </c>
      <c r="B174" s="1" t="str">
        <f>IFERROR(__xludf.DUMMYFUNCTION("""COMPUTED_VALUE"""),"06.11-15.11")</f>
        <v>06.11-15.11</v>
      </c>
      <c r="C174" s="2" t="str">
        <f>IFERROR(__xludf.DUMMYFUNCTION("""COMPUTED_VALUE"""),"Холбаева Феруза")</f>
        <v>Холбаева Феруза</v>
      </c>
      <c r="D174" s="1" t="str">
        <f>IFERROR(__xludf.DUMMYFUNCTION("""COMPUTED_VALUE"""),"79694901782")</f>
        <v>79694901782</v>
      </c>
      <c r="E174" s="3">
        <f>IFERROR(__xludf.DUMMYFUNCTION("""COMPUTED_VALUE"""),36467.0)</f>
        <v>36467</v>
      </c>
      <c r="F174" s="1"/>
      <c r="G174" s="4"/>
      <c r="H174" s="1"/>
      <c r="I174" s="5">
        <f>IFERROR(__xludf.DUMMYFUNCTION("""COMPUTED_VALUE"""),36467.0)</f>
        <v>36467</v>
      </c>
      <c r="J174" s="1" t="str">
        <f>IFERROR(__xludf.DUMMYFUNCTION("""COMPUTED_VALUE"""),"Оплатили")</f>
        <v>Оплатили</v>
      </c>
      <c r="K174" s="1"/>
      <c r="L174" s="1">
        <f>IFERROR(__xludf.DUMMYFUNCTION("""COMPUTED_VALUE"""),7.81724641498E11)</f>
        <v>781724641498</v>
      </c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>
        <f>IFERROR(__xludf.DUMMYFUNCTION("""COMPUTED_VALUE"""),2025.0)</f>
        <v>2025</v>
      </c>
      <c r="B175" s="1" t="str">
        <f>IFERROR(__xludf.DUMMYFUNCTION("""COMPUTED_VALUE"""),"06.11-15.11")</f>
        <v>06.11-15.11</v>
      </c>
      <c r="C175" s="2" t="str">
        <f>IFERROR(__xludf.DUMMYFUNCTION("""COMPUTED_VALUE"""),"Холдошбаева Айсулуу")</f>
        <v>Холдошбаева Айсулуу</v>
      </c>
      <c r="D175" s="1" t="str">
        <f>IFERROR(__xludf.DUMMYFUNCTION("""COMPUTED_VALUE"""),"79778938220")</f>
        <v>79778938220</v>
      </c>
      <c r="E175" s="3">
        <f>IFERROR(__xludf.DUMMYFUNCTION("""COMPUTED_VALUE"""),23650.0)</f>
        <v>23650</v>
      </c>
      <c r="F175" s="1"/>
      <c r="G175" s="4"/>
      <c r="H175" s="1"/>
      <c r="I175" s="5">
        <f>IFERROR(__xludf.DUMMYFUNCTION("""COMPUTED_VALUE"""),23650.0)</f>
        <v>23650</v>
      </c>
      <c r="J175" s="1" t="str">
        <f>IFERROR(__xludf.DUMMYFUNCTION("""COMPUTED_VALUE"""),"Оплатили")</f>
        <v>Оплатили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>
        <f>IFERROR(__xludf.DUMMYFUNCTION("""COMPUTED_VALUE"""),2025.0)</f>
        <v>2025</v>
      </c>
      <c r="B176" s="1" t="str">
        <f>IFERROR(__xludf.DUMMYFUNCTION("""COMPUTED_VALUE"""),"06.11-15.11")</f>
        <v>06.11-15.11</v>
      </c>
      <c r="C176" s="2" t="str">
        <f>IFERROR(__xludf.DUMMYFUNCTION("""COMPUTED_VALUE"""),"Холмирзаев Сахиб")</f>
        <v>Холмирзаев Сахиб</v>
      </c>
      <c r="D176" s="1" t="str">
        <f>IFERROR(__xludf.DUMMYFUNCTION("""COMPUTED_VALUE"""),"79969750701")</f>
        <v>79969750701</v>
      </c>
      <c r="E176" s="3">
        <f>IFERROR(__xludf.DUMMYFUNCTION("""COMPUTED_VALUE"""),40000.0)</f>
        <v>40000</v>
      </c>
      <c r="F176" s="1"/>
      <c r="G176" s="4"/>
      <c r="H176" s="1"/>
      <c r="I176" s="5">
        <f>IFERROR(__xludf.DUMMYFUNCTION("""COMPUTED_VALUE"""),40000.0)</f>
        <v>40000</v>
      </c>
      <c r="J176" s="1" t="str">
        <f>IFERROR(__xludf.DUMMYFUNCTION("""COMPUTED_VALUE"""),"Оплатили")</f>
        <v>Оплатили</v>
      </c>
      <c r="K176" s="1"/>
      <c r="L176" s="1">
        <f>IFERROR(__xludf.DUMMYFUNCTION("""COMPUTED_VALUE"""),7.84210910349E11)</f>
        <v>784210910349</v>
      </c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>
        <f>IFERROR(__xludf.DUMMYFUNCTION("""COMPUTED_VALUE"""),2025.0)</f>
        <v>2025</v>
      </c>
      <c r="B177" s="1" t="str">
        <f>IFERROR(__xludf.DUMMYFUNCTION("""COMPUTED_VALUE"""),"06.11-15.11")</f>
        <v>06.11-15.11</v>
      </c>
      <c r="C177" s="2" t="str">
        <f>IFERROR(__xludf.DUMMYFUNCTION("""COMPUTED_VALUE"""),"Шерназаров Зариф Акбарали Угли")</f>
        <v>Шерназаров Зариф Акбарали Угли</v>
      </c>
      <c r="D177" s="1" t="str">
        <f>IFERROR(__xludf.DUMMYFUNCTION("""COMPUTED_VALUE"""),"79336677836")</f>
        <v>79336677836</v>
      </c>
      <c r="E177" s="3">
        <f>IFERROR(__xludf.DUMMYFUNCTION("""COMPUTED_VALUE"""),40000.0)</f>
        <v>40000</v>
      </c>
      <c r="F177" s="1"/>
      <c r="G177" s="4"/>
      <c r="H177" s="1"/>
      <c r="I177" s="5">
        <f>IFERROR(__xludf.DUMMYFUNCTION("""COMPUTED_VALUE"""),40000.0)</f>
        <v>40000</v>
      </c>
      <c r="J177" s="1" t="str">
        <f>IFERROR(__xludf.DUMMYFUNCTION("""COMPUTED_VALUE"""),"Оплатили")</f>
        <v>Оплатили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>
        <f>IFERROR(__xludf.DUMMYFUNCTION("""COMPUTED_VALUE"""),2025.0)</f>
        <v>2025</v>
      </c>
      <c r="B178" s="1" t="str">
        <f>IFERROR(__xludf.DUMMYFUNCTION("""COMPUTED_VALUE"""),"06.11-15.11")</f>
        <v>06.11-15.11</v>
      </c>
      <c r="C178" s="2" t="str">
        <f>IFERROR(__xludf.DUMMYFUNCTION("""COMPUTED_VALUE"""),"Эшонкулов Шердил Асроркулович")</f>
        <v>Эшонкулов Шердил Асроркулович</v>
      </c>
      <c r="D178" s="1" t="str">
        <f>IFERROR(__xludf.DUMMYFUNCTION("""COMPUTED_VALUE"""),"79683257111")</f>
        <v>79683257111</v>
      </c>
      <c r="E178" s="3">
        <f>IFERROR(__xludf.DUMMYFUNCTION("""COMPUTED_VALUE"""),36000.0)</f>
        <v>36000</v>
      </c>
      <c r="F178" s="1"/>
      <c r="G178" s="4"/>
      <c r="H178" s="1"/>
      <c r="I178" s="5">
        <f>IFERROR(__xludf.DUMMYFUNCTION("""COMPUTED_VALUE"""),36000.0)</f>
        <v>36000</v>
      </c>
      <c r="J178" s="1" t="str">
        <f>IFERROR(__xludf.DUMMYFUNCTION("""COMPUTED_VALUE"""),"Оплатили")</f>
        <v>Оплатили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>
        <f>IFERROR(__xludf.DUMMYFUNCTION("""COMPUTED_VALUE"""),2025.0)</f>
        <v>2025</v>
      </c>
      <c r="B179" s="1" t="str">
        <f>IFERROR(__xludf.DUMMYFUNCTION("""COMPUTED_VALUE"""),"06.11-15.11")</f>
        <v>06.11-15.11</v>
      </c>
      <c r="C179" s="2" t="str">
        <f>IFERROR(__xludf.DUMMYFUNCTION("""COMPUTED_VALUE"""),"Юлдашева Нигора")</f>
        <v>Юлдашева Нигора</v>
      </c>
      <c r="D179" s="1" t="str">
        <f>IFERROR(__xludf.DUMMYFUNCTION("""COMPUTED_VALUE"""),"79963682991")</f>
        <v>79963682991</v>
      </c>
      <c r="E179" s="3">
        <f>IFERROR(__xludf.DUMMYFUNCTION("""COMPUTED_VALUE"""),29400.0)</f>
        <v>29400</v>
      </c>
      <c r="F179" s="1"/>
      <c r="G179" s="4"/>
      <c r="H179" s="1"/>
      <c r="I179" s="5">
        <f>IFERROR(__xludf.DUMMYFUNCTION("""COMPUTED_VALUE"""),29400.0)</f>
        <v>29400</v>
      </c>
      <c r="J179" s="1" t="str">
        <f>IFERROR(__xludf.DUMMYFUNCTION("""COMPUTED_VALUE"""),"Оплатили")</f>
        <v>Оплатили</v>
      </c>
      <c r="K179" s="1"/>
      <c r="L179" s="1">
        <f>IFERROR(__xludf.DUMMYFUNCTION("""COMPUTED_VALUE"""),7.7512017364E11)</f>
        <v>775120173640</v>
      </c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>
        <f>IFERROR(__xludf.DUMMYFUNCTION("""COMPUTED_VALUE"""),2025.0)</f>
        <v>2025</v>
      </c>
      <c r="B180" s="1" t="str">
        <f>IFERROR(__xludf.DUMMYFUNCTION("""COMPUTED_VALUE"""),"06.11-15.11")</f>
        <v>06.11-15.11</v>
      </c>
      <c r="C180" s="2" t="str">
        <f>IFERROR(__xludf.DUMMYFUNCTION("""COMPUTED_VALUE"""),"Юсупов Илхомидин Гозиевич")</f>
        <v>Юсупов Илхомидин Гозиевич</v>
      </c>
      <c r="D180" s="1" t="str">
        <f>IFERROR(__xludf.DUMMYFUNCTION("""COMPUTED_VALUE"""),"79162515030")</f>
        <v>79162515030</v>
      </c>
      <c r="E180" s="3">
        <f>IFERROR(__xludf.DUMMYFUNCTION("""COMPUTED_VALUE"""),43000.0)</f>
        <v>43000</v>
      </c>
      <c r="F180" s="1"/>
      <c r="G180" s="4"/>
      <c r="H180" s="1"/>
      <c r="I180" s="5">
        <f>IFERROR(__xludf.DUMMYFUNCTION("""COMPUTED_VALUE"""),43000.0)</f>
        <v>43000</v>
      </c>
      <c r="J180" s="1" t="str">
        <f>IFERROR(__xludf.DUMMYFUNCTION("""COMPUTED_VALUE"""),"Оплатили")</f>
        <v>Оплатили</v>
      </c>
      <c r="K180" s="1"/>
      <c r="L180" s="1">
        <f>IFERROR(__xludf.DUMMYFUNCTION("""COMPUTED_VALUE"""),7.72418658586E11)</f>
        <v>772418658586</v>
      </c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>
        <f>IFERROR(__xludf.DUMMYFUNCTION("""COMPUTED_VALUE"""),2025.0)</f>
        <v>2025</v>
      </c>
      <c r="B181" s="1" t="str">
        <f>IFERROR(__xludf.DUMMYFUNCTION("""COMPUTED_VALUE"""),"16.11-30.11")</f>
        <v>16.11-30.11</v>
      </c>
      <c r="C181" s="2" t="str">
        <f>IFERROR(__xludf.DUMMYFUNCTION("""COMPUTED_VALUE"""),"Дониерзода Сурайе")</f>
        <v>Дониерзода Сурайе</v>
      </c>
      <c r="D181" s="1" t="str">
        <f>IFERROR(__xludf.DUMMYFUNCTION("""COMPUTED_VALUE"""),"79377648587")</f>
        <v>79377648587</v>
      </c>
      <c r="E181" s="3">
        <f>IFERROR(__xludf.DUMMYFUNCTION("""COMPUTED_VALUE"""),57000.0)</f>
        <v>57000</v>
      </c>
      <c r="F181" s="1"/>
      <c r="G181" s="4"/>
      <c r="H181" s="1"/>
      <c r="I181" s="5">
        <f>IFERROR(__xludf.DUMMYFUNCTION("""COMPUTED_VALUE"""),57000.0)</f>
        <v>57000</v>
      </c>
      <c r="J181" s="1" t="str">
        <f>IFERROR(__xludf.DUMMYFUNCTION("""COMPUTED_VALUE"""),"Оплатили")</f>
        <v>Оплатили</v>
      </c>
      <c r="K181" s="1"/>
      <c r="L181" s="1">
        <f>IFERROR(__xludf.DUMMYFUNCTION("""COMPUTED_VALUE"""),7.71487989675E11)</f>
        <v>771487989675</v>
      </c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>
        <f>IFERROR(__xludf.DUMMYFUNCTION("""COMPUTED_VALUE"""),2025.0)</f>
        <v>2025</v>
      </c>
      <c r="B182" s="1" t="str">
        <f>IFERROR(__xludf.DUMMYFUNCTION("""COMPUTED_VALUE"""),"16.11-30.11")</f>
        <v>16.11-30.11</v>
      </c>
      <c r="C182" s="2" t="str">
        <f>IFERROR(__xludf.DUMMYFUNCTION("""COMPUTED_VALUE"""),"Нематов Мухаммад")</f>
        <v>Нематов Мухаммад</v>
      </c>
      <c r="D182" s="1" t="str">
        <f>IFERROR(__xludf.DUMMYFUNCTION("""COMPUTED_VALUE"""),"79932625819")</f>
        <v>79932625819</v>
      </c>
      <c r="E182" s="3">
        <f>IFERROR(__xludf.DUMMYFUNCTION("""COMPUTED_VALUE"""),49400.0)</f>
        <v>49400</v>
      </c>
      <c r="F182" s="1"/>
      <c r="G182" s="4"/>
      <c r="H182" s="1"/>
      <c r="I182" s="5">
        <f>IFERROR(__xludf.DUMMYFUNCTION("""COMPUTED_VALUE"""),49400.0)</f>
        <v>49400</v>
      </c>
      <c r="J182" s="1" t="str">
        <f>IFERROR(__xludf.DUMMYFUNCTION("""COMPUTED_VALUE"""),"Оплатили")</f>
        <v>Оплатили</v>
      </c>
      <c r="K182" s="1"/>
      <c r="L182" s="1">
        <f>IFERROR(__xludf.DUMMYFUNCTION("""COMPUTED_VALUE"""),7.75147436504E11)</f>
        <v>775147436504</v>
      </c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>
        <f>IFERROR(__xludf.DUMMYFUNCTION("""COMPUTED_VALUE"""),2025.0)</f>
        <v>2025</v>
      </c>
      <c r="B183" s="1" t="str">
        <f>IFERROR(__xludf.DUMMYFUNCTION("""COMPUTED_VALUE"""),"16.11-30.11")</f>
        <v>16.11-30.11</v>
      </c>
      <c r="C183" s="2" t="str">
        <f>IFERROR(__xludf.DUMMYFUNCTION("""COMPUTED_VALUE"""),"Нурланбеков Омурлан")</f>
        <v>Нурланбеков Омурлан</v>
      </c>
      <c r="D183" s="1" t="str">
        <f>IFERROR(__xludf.DUMMYFUNCTION("""COMPUTED_VALUE"""),"79299185427")</f>
        <v>79299185427</v>
      </c>
      <c r="E183" s="3">
        <f>IFERROR(__xludf.DUMMYFUNCTION("""COMPUTED_VALUE"""),44400.0)</f>
        <v>44400</v>
      </c>
      <c r="F183" s="1"/>
      <c r="G183" s="4"/>
      <c r="H183" s="1"/>
      <c r="I183" s="5">
        <f>IFERROR(__xludf.DUMMYFUNCTION("""COMPUTED_VALUE"""),44400.0)</f>
        <v>44400</v>
      </c>
      <c r="J183" s="1" t="str">
        <f>IFERROR(__xludf.DUMMYFUNCTION("""COMPUTED_VALUE"""),"Оплатили")</f>
        <v>Оплатили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>
        <f>IFERROR(__xludf.DUMMYFUNCTION("""COMPUTED_VALUE"""),2025.0)</f>
        <v>2025</v>
      </c>
      <c r="B184" s="1" t="str">
        <f>IFERROR(__xludf.DUMMYFUNCTION("""COMPUTED_VALUE"""),"16.11-30.11")</f>
        <v>16.11-30.11</v>
      </c>
      <c r="C184" s="2" t="str">
        <f>IFERROR(__xludf.DUMMYFUNCTION("""COMPUTED_VALUE"""),"Нематов Рузимухаммад")</f>
        <v>Нематов Рузимухаммад</v>
      </c>
      <c r="D184" s="1" t="str">
        <f>IFERROR(__xludf.DUMMYFUNCTION("""COMPUTED_VALUE"""),"79891066937")</f>
        <v>79891066937</v>
      </c>
      <c r="E184" s="3">
        <f>IFERROR(__xludf.DUMMYFUNCTION("""COMPUTED_VALUE"""),43200.0)</f>
        <v>43200</v>
      </c>
      <c r="F184" s="1"/>
      <c r="G184" s="4"/>
      <c r="H184" s="1"/>
      <c r="I184" s="5">
        <f>IFERROR(__xludf.DUMMYFUNCTION("""COMPUTED_VALUE"""),43200.0)</f>
        <v>43200</v>
      </c>
      <c r="J184" s="1" t="str">
        <f>IFERROR(__xludf.DUMMYFUNCTION("""COMPUTED_VALUE"""),"Оплатили")</f>
        <v>Оплатили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>
        <f>IFERROR(__xludf.DUMMYFUNCTION("""COMPUTED_VALUE"""),2025.0)</f>
        <v>2025</v>
      </c>
      <c r="B185" s="1" t="str">
        <f>IFERROR(__xludf.DUMMYFUNCTION("""COMPUTED_VALUE"""),"16.11-30.11")</f>
        <v>16.11-30.11</v>
      </c>
      <c r="C185" s="2" t="str">
        <f>IFERROR(__xludf.DUMMYFUNCTION("""COMPUTED_VALUE"""),"Султонзода Нодира")</f>
        <v>Султонзода Нодира</v>
      </c>
      <c r="D185" s="1" t="str">
        <f>IFERROR(__xludf.DUMMYFUNCTION("""COMPUTED_VALUE"""),"79891031216")</f>
        <v>79891031216</v>
      </c>
      <c r="E185" s="3">
        <f>IFERROR(__xludf.DUMMYFUNCTION("""COMPUTED_VALUE"""),53200.0)</f>
        <v>53200</v>
      </c>
      <c r="F185" s="1"/>
      <c r="G185" s="4"/>
      <c r="H185" s="1"/>
      <c r="I185" s="5">
        <f>IFERROR(__xludf.DUMMYFUNCTION("""COMPUTED_VALUE"""),53200.0)</f>
        <v>53200</v>
      </c>
      <c r="J185" s="1" t="str">
        <f>IFERROR(__xludf.DUMMYFUNCTION("""COMPUTED_VALUE"""),"Оплатили")</f>
        <v>Оплатили</v>
      </c>
      <c r="K185" s="1"/>
      <c r="L185" s="1">
        <f>IFERROR(__xludf.DUMMYFUNCTION("""COMPUTED_VALUE"""),7.75184127705E11)</f>
        <v>775184127705</v>
      </c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>
        <f>IFERROR(__xludf.DUMMYFUNCTION("""COMPUTED_VALUE"""),2025.0)</f>
        <v>2025</v>
      </c>
      <c r="B186" s="1" t="str">
        <f>IFERROR(__xludf.DUMMYFUNCTION("""COMPUTED_VALUE"""),"16.11-30.11")</f>
        <v>16.11-30.11</v>
      </c>
      <c r="C186" s="2" t="str">
        <f>IFERROR(__xludf.DUMMYFUNCTION("""COMPUTED_VALUE"""),"Исманов Мухаммадкодир")</f>
        <v>Исманов Мухаммадкодир</v>
      </c>
      <c r="D186" s="1" t="str">
        <f>IFERROR(__xludf.DUMMYFUNCTION("""COMPUTED_VALUE"""),"79255086393")</f>
        <v>79255086393</v>
      </c>
      <c r="E186" s="3">
        <f>IFERROR(__xludf.DUMMYFUNCTION("""COMPUTED_VALUE"""),60000.0)</f>
        <v>60000</v>
      </c>
      <c r="F186" s="1"/>
      <c r="G186" s="4"/>
      <c r="H186" s="1"/>
      <c r="I186" s="5">
        <f>IFERROR(__xludf.DUMMYFUNCTION("""COMPUTED_VALUE"""),60000.0)</f>
        <v>60000</v>
      </c>
      <c r="J186" s="1" t="str">
        <f>IFERROR(__xludf.DUMMYFUNCTION("""COMPUTED_VALUE"""),"Оплатили")</f>
        <v>Оплатили</v>
      </c>
      <c r="K186" s="1"/>
      <c r="L186" s="1">
        <f>IFERROR(__xludf.DUMMYFUNCTION("""COMPUTED_VALUE"""),5.0024439455E10)</f>
        <v>50024439455</v>
      </c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>
        <f>IFERROR(__xludf.DUMMYFUNCTION("""COMPUTED_VALUE"""),2025.0)</f>
        <v>2025</v>
      </c>
      <c r="B187" s="1" t="str">
        <f>IFERROR(__xludf.DUMMYFUNCTION("""COMPUTED_VALUE"""),"16.11-30.11")</f>
        <v>16.11-30.11</v>
      </c>
      <c r="C187" s="2" t="str">
        <f>IFERROR(__xludf.DUMMYFUNCTION("""COMPUTED_VALUE"""),"Пулатов Фарид")</f>
        <v>Пулатов Фарид</v>
      </c>
      <c r="D187" s="1" t="str">
        <f>IFERROR(__xludf.DUMMYFUNCTION("""COMPUTED_VALUE"""),"79694688670")</f>
        <v>79694688670</v>
      </c>
      <c r="E187" s="3">
        <f>IFERROR(__xludf.DUMMYFUNCTION("""COMPUTED_VALUE"""),76800.0)</f>
        <v>76800</v>
      </c>
      <c r="F187" s="1"/>
      <c r="G187" s="4"/>
      <c r="H187" s="1"/>
      <c r="I187" s="5">
        <f>IFERROR(__xludf.DUMMYFUNCTION("""COMPUTED_VALUE"""),76800.0)</f>
        <v>76800</v>
      </c>
      <c r="J187" s="1" t="str">
        <f>IFERROR(__xludf.DUMMYFUNCTION("""COMPUTED_VALUE"""),"Оплатили")</f>
        <v>Оплатили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>
        <f>IFERROR(__xludf.DUMMYFUNCTION("""COMPUTED_VALUE"""),2025.0)</f>
        <v>2025</v>
      </c>
      <c r="B188" s="1" t="str">
        <f>IFERROR(__xludf.DUMMYFUNCTION("""COMPUTED_VALUE"""),"16.11-30.11")</f>
        <v>16.11-30.11</v>
      </c>
      <c r="C188" s="2" t="str">
        <f>IFERROR(__xludf.DUMMYFUNCTION("""COMPUTED_VALUE"""),"Усманов Нодир")</f>
        <v>Усманов Нодир</v>
      </c>
      <c r="D188" s="1" t="str">
        <f>IFERROR(__xludf.DUMMYFUNCTION("""COMPUTED_VALUE"""),"79800015369")</f>
        <v>79800015369</v>
      </c>
      <c r="E188" s="3">
        <f>IFERROR(__xludf.DUMMYFUNCTION("""COMPUTED_VALUE"""),60000.0)</f>
        <v>60000</v>
      </c>
      <c r="F188" s="1"/>
      <c r="G188" s="4"/>
      <c r="H188" s="1"/>
      <c r="I188" s="5">
        <f>IFERROR(__xludf.DUMMYFUNCTION("""COMPUTED_VALUE"""),60000.0)</f>
        <v>60000</v>
      </c>
      <c r="J188" s="1" t="str">
        <f>IFERROR(__xludf.DUMMYFUNCTION("""COMPUTED_VALUE"""),"Оплатили")</f>
        <v>Оплатили</v>
      </c>
      <c r="K188" s="1"/>
      <c r="L188" s="1">
        <f>IFERROR(__xludf.DUMMYFUNCTION("""COMPUTED_VALUE"""),7.75155901184E11)</f>
        <v>775155901184</v>
      </c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>
        <f>IFERROR(__xludf.DUMMYFUNCTION("""COMPUTED_VALUE"""),2025.0)</f>
        <v>2025</v>
      </c>
      <c r="B189" s="1" t="str">
        <f>IFERROR(__xludf.DUMMYFUNCTION("""COMPUTED_VALUE"""),"16.11-30.11")</f>
        <v>16.11-30.11</v>
      </c>
      <c r="C189" s="2" t="str">
        <f>IFERROR(__xludf.DUMMYFUNCTION("""COMPUTED_VALUE"""),"Усманов Ислом")</f>
        <v>Усманов Ислом</v>
      </c>
      <c r="D189" s="1" t="str">
        <f>IFERROR(__xludf.DUMMYFUNCTION("""COMPUTED_VALUE"""),"79067107159")</f>
        <v>79067107159</v>
      </c>
      <c r="E189" s="3">
        <f>IFERROR(__xludf.DUMMYFUNCTION("""COMPUTED_VALUE"""),62850.0)</f>
        <v>62850</v>
      </c>
      <c r="F189" s="1"/>
      <c r="G189" s="4"/>
      <c r="H189" s="1"/>
      <c r="I189" s="5">
        <f>IFERROR(__xludf.DUMMYFUNCTION("""COMPUTED_VALUE"""),62850.0)</f>
        <v>62850</v>
      </c>
      <c r="J189" s="1" t="str">
        <f>IFERROR(__xludf.DUMMYFUNCTION("""COMPUTED_VALUE"""),"Оплатили")</f>
        <v>Оплатили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>
        <f>IFERROR(__xludf.DUMMYFUNCTION("""COMPUTED_VALUE"""),2025.0)</f>
        <v>2025</v>
      </c>
      <c r="B190" s="1" t="str">
        <f>IFERROR(__xludf.DUMMYFUNCTION("""COMPUTED_VALUE"""),"16.11-30.11")</f>
        <v>16.11-30.11</v>
      </c>
      <c r="C190" s="2" t="str">
        <f>IFERROR(__xludf.DUMMYFUNCTION("""COMPUTED_VALUE"""),"Примова Нилюфер")</f>
        <v>Примова Нилюфер</v>
      </c>
      <c r="D190" s="1" t="str">
        <f>IFERROR(__xludf.DUMMYFUNCTION("""COMPUTED_VALUE"""),"79775621896")</f>
        <v>79775621896</v>
      </c>
      <c r="E190" s="3">
        <f>IFERROR(__xludf.DUMMYFUNCTION("""COMPUTED_VALUE"""),62250.0)</f>
        <v>62250</v>
      </c>
      <c r="F190" s="1"/>
      <c r="G190" s="4"/>
      <c r="H190" s="1"/>
      <c r="I190" s="5">
        <f>IFERROR(__xludf.DUMMYFUNCTION("""COMPUTED_VALUE"""),62250.0)</f>
        <v>62250</v>
      </c>
      <c r="J190" s="1" t="str">
        <f>IFERROR(__xludf.DUMMYFUNCTION("""COMPUTED_VALUE"""),"Оплатили")</f>
        <v>Оплатили</v>
      </c>
      <c r="K190" s="1"/>
      <c r="L190" s="1">
        <f>IFERROR(__xludf.DUMMYFUNCTION("""COMPUTED_VALUE"""),7.72312047604E11)</f>
        <v>772312047604</v>
      </c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>
        <f>IFERROR(__xludf.DUMMYFUNCTION("""COMPUTED_VALUE"""),2025.0)</f>
        <v>2025</v>
      </c>
      <c r="B191" s="1" t="str">
        <f>IFERROR(__xludf.DUMMYFUNCTION("""COMPUTED_VALUE"""),"16.11-30.11")</f>
        <v>16.11-30.11</v>
      </c>
      <c r="C191" s="2" t="str">
        <f>IFERROR(__xludf.DUMMYFUNCTION("""COMPUTED_VALUE"""),"Тешабоев Расулжон")</f>
        <v>Тешабоев Расулжон</v>
      </c>
      <c r="D191" s="1" t="str">
        <f>IFERROR(__xludf.DUMMYFUNCTION("""COMPUTED_VALUE"""),"79777013390")</f>
        <v>79777013390</v>
      </c>
      <c r="E191" s="3">
        <f>IFERROR(__xludf.DUMMYFUNCTION("""COMPUTED_VALUE"""),51800.0)</f>
        <v>51800</v>
      </c>
      <c r="F191" s="1"/>
      <c r="G191" s="4"/>
      <c r="H191" s="1"/>
      <c r="I191" s="5">
        <f>IFERROR(__xludf.DUMMYFUNCTION("""COMPUTED_VALUE"""),51800.0)</f>
        <v>51800</v>
      </c>
      <c r="J191" s="1" t="str">
        <f>IFERROR(__xludf.DUMMYFUNCTION("""COMPUTED_VALUE"""),"Оплатили")</f>
        <v>Оплатили</v>
      </c>
      <c r="K191" s="1"/>
      <c r="L191" s="1">
        <f>IFERROR(__xludf.DUMMYFUNCTION("""COMPUTED_VALUE"""),7.75171178607E11)</f>
        <v>775171178607</v>
      </c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>
        <f>IFERROR(__xludf.DUMMYFUNCTION("""COMPUTED_VALUE"""),2025.0)</f>
        <v>2025</v>
      </c>
      <c r="B192" s="1" t="str">
        <f>IFERROR(__xludf.DUMMYFUNCTION("""COMPUTED_VALUE"""),"16.11-30.11")</f>
        <v>16.11-30.11</v>
      </c>
      <c r="C192" s="2" t="str">
        <f>IFERROR(__xludf.DUMMYFUNCTION("""COMPUTED_VALUE"""),"Абдулаева Зухра Базарбаева")</f>
        <v>Абдулаева Зухра Базарбаева</v>
      </c>
      <c r="D192" s="1" t="str">
        <f>IFERROR(__xludf.DUMMYFUNCTION("""COMPUTED_VALUE"""),"79337001721")</f>
        <v>79337001721</v>
      </c>
      <c r="E192" s="3">
        <f>IFERROR(__xludf.DUMMYFUNCTION("""COMPUTED_VALUE"""),58500.0)</f>
        <v>58500</v>
      </c>
      <c r="F192" s="1"/>
      <c r="G192" s="4"/>
      <c r="H192" s="1"/>
      <c r="I192" s="5">
        <f>IFERROR(__xludf.DUMMYFUNCTION("""COMPUTED_VALUE"""),58500.0)</f>
        <v>58500</v>
      </c>
      <c r="J192" s="1" t="str">
        <f>IFERROR(__xludf.DUMMYFUNCTION("""COMPUTED_VALUE"""),"Оплатили")</f>
        <v>Оплатили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>
        <f>IFERROR(__xludf.DUMMYFUNCTION("""COMPUTED_VALUE"""),2025.0)</f>
        <v>2025</v>
      </c>
      <c r="B193" s="1" t="str">
        <f>IFERROR(__xludf.DUMMYFUNCTION("""COMPUTED_VALUE"""),"16.11-30.11")</f>
        <v>16.11-30.11</v>
      </c>
      <c r="C193" s="2" t="str">
        <f>IFERROR(__xludf.DUMMYFUNCTION("""COMPUTED_VALUE"""),"Рахмонов Сухроб")</f>
        <v>Рахмонов Сухроб</v>
      </c>
      <c r="D193" s="1" t="str">
        <f>IFERROR(__xludf.DUMMYFUNCTION("""COMPUTED_VALUE"""),"79336934364")</f>
        <v>79336934364</v>
      </c>
      <c r="E193" s="3">
        <f>IFERROR(__xludf.DUMMYFUNCTION("""COMPUTED_VALUE"""),60433.0)</f>
        <v>60433</v>
      </c>
      <c r="F193" s="1"/>
      <c r="G193" s="4"/>
      <c r="H193" s="1"/>
      <c r="I193" s="5">
        <f>IFERROR(__xludf.DUMMYFUNCTION("""COMPUTED_VALUE"""),60433.0)</f>
        <v>60433</v>
      </c>
      <c r="J193" s="1" t="str">
        <f>IFERROR(__xludf.DUMMYFUNCTION("""COMPUTED_VALUE"""),"Оплатили")</f>
        <v>Оплатили</v>
      </c>
      <c r="K193" s="1"/>
      <c r="L193" s="1">
        <f>IFERROR(__xludf.DUMMYFUNCTION("""COMPUTED_VALUE"""),7.75185498484E11)</f>
        <v>775185498484</v>
      </c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>
        <f>IFERROR(__xludf.DUMMYFUNCTION("""COMPUTED_VALUE"""),2025.0)</f>
        <v>2025</v>
      </c>
      <c r="B194" s="1" t="str">
        <f>IFERROR(__xludf.DUMMYFUNCTION("""COMPUTED_VALUE"""),"16.11-30.11")</f>
        <v>16.11-30.11</v>
      </c>
      <c r="C194" s="2" t="str">
        <f>IFERROR(__xludf.DUMMYFUNCTION("""COMPUTED_VALUE"""),"Аюбова Мухайе")</f>
        <v>Аюбова Мухайе</v>
      </c>
      <c r="D194" s="1" t="str">
        <f>IFERROR(__xludf.DUMMYFUNCTION("""COMPUTED_VALUE"""),"79969645979")</f>
        <v>79969645979</v>
      </c>
      <c r="E194" s="3">
        <f>IFERROR(__xludf.DUMMYFUNCTION("""COMPUTED_VALUE"""),47600.0)</f>
        <v>47600</v>
      </c>
      <c r="F194" s="1"/>
      <c r="G194" s="4"/>
      <c r="H194" s="1"/>
      <c r="I194" s="5">
        <f>IFERROR(__xludf.DUMMYFUNCTION("""COMPUTED_VALUE"""),47600.0)</f>
        <v>47600</v>
      </c>
      <c r="J194" s="1" t="str">
        <f>IFERROR(__xludf.DUMMYFUNCTION("""COMPUTED_VALUE"""),"Оплатили")</f>
        <v>Оплатили</v>
      </c>
      <c r="K194" s="1"/>
      <c r="L194" s="1">
        <f>IFERROR(__xludf.DUMMYFUNCTION("""COMPUTED_VALUE"""),6.67803019045E11)</f>
        <v>667803019045</v>
      </c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>
        <f>IFERROR(__xludf.DUMMYFUNCTION("""COMPUTED_VALUE"""),2025.0)</f>
        <v>2025</v>
      </c>
      <c r="B195" s="1" t="str">
        <f>IFERROR(__xludf.DUMMYFUNCTION("""COMPUTED_VALUE"""),"16.11-30.11")</f>
        <v>16.11-30.11</v>
      </c>
      <c r="C195" s="2" t="str">
        <f>IFERROR(__xludf.DUMMYFUNCTION("""COMPUTED_VALUE"""),"Мусаева Мавтуна")</f>
        <v>Мусаева Мавтуна</v>
      </c>
      <c r="D195" s="1" t="str">
        <f>IFERROR(__xludf.DUMMYFUNCTION("""COMPUTED_VALUE"""),"79057784048")</f>
        <v>79057784048</v>
      </c>
      <c r="E195" s="3">
        <f>IFERROR(__xludf.DUMMYFUNCTION("""COMPUTED_VALUE"""),48000.0)</f>
        <v>48000</v>
      </c>
      <c r="F195" s="1"/>
      <c r="G195" s="4"/>
      <c r="H195" s="1"/>
      <c r="I195" s="5">
        <f>IFERROR(__xludf.DUMMYFUNCTION("""COMPUTED_VALUE"""),48000.0)</f>
        <v>48000</v>
      </c>
      <c r="J195" s="1" t="str">
        <f>IFERROR(__xludf.DUMMYFUNCTION("""COMPUTED_VALUE"""),"Оплатили")</f>
        <v>Оплатили</v>
      </c>
      <c r="K195" s="1"/>
      <c r="L195" s="1">
        <f>IFERROR(__xludf.DUMMYFUNCTION("""COMPUTED_VALUE"""),5.00726635205E11)</f>
        <v>500726635205</v>
      </c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>
        <f>IFERROR(__xludf.DUMMYFUNCTION("""COMPUTED_VALUE"""),2025.0)</f>
        <v>2025</v>
      </c>
      <c r="B196" s="1" t="str">
        <f>IFERROR(__xludf.DUMMYFUNCTION("""COMPUTED_VALUE"""),"16.11-30.11")</f>
        <v>16.11-30.11</v>
      </c>
      <c r="C196" s="2" t="str">
        <f>IFERROR(__xludf.DUMMYFUNCTION("""COMPUTED_VALUE"""),"Джовлиева Дильфруз")</f>
        <v>Джовлиева Дильфруз</v>
      </c>
      <c r="D196" s="1" t="str">
        <f>IFERROR(__xludf.DUMMYFUNCTION("""COMPUTED_VALUE"""),"79031409201")</f>
        <v>79031409201</v>
      </c>
      <c r="E196" s="3">
        <f>IFERROR(__xludf.DUMMYFUNCTION("""COMPUTED_VALUE"""),49500.0)</f>
        <v>49500</v>
      </c>
      <c r="F196" s="1"/>
      <c r="G196" s="4"/>
      <c r="H196" s="1"/>
      <c r="I196" s="5">
        <f>IFERROR(__xludf.DUMMYFUNCTION("""COMPUTED_VALUE"""),49500.0)</f>
        <v>49500</v>
      </c>
      <c r="J196" s="1" t="str">
        <f>IFERROR(__xludf.DUMMYFUNCTION("""COMPUTED_VALUE"""),"Оплатили")</f>
        <v>Оплатили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>
        <f>IFERROR(__xludf.DUMMYFUNCTION("""COMPUTED_VALUE"""),2025.0)</f>
        <v>2025</v>
      </c>
      <c r="B197" s="1" t="str">
        <f>IFERROR(__xludf.DUMMYFUNCTION("""COMPUTED_VALUE"""),"16.11-30.11")</f>
        <v>16.11-30.11</v>
      </c>
      <c r="C197" s="2" t="str">
        <f>IFERROR(__xludf.DUMMYFUNCTION("""COMPUTED_VALUE"""),"Куватова Холбека Зокировна")</f>
        <v>Куватова Холбека Зокировна</v>
      </c>
      <c r="D197" s="1" t="str">
        <f>IFERROR(__xludf.DUMMYFUNCTION("""COMPUTED_VALUE"""),"79060885518")</f>
        <v>79060885518</v>
      </c>
      <c r="E197" s="3">
        <f>IFERROR(__xludf.DUMMYFUNCTION("""COMPUTED_VALUE"""),52500.0)</f>
        <v>52500</v>
      </c>
      <c r="F197" s="1"/>
      <c r="G197" s="4"/>
      <c r="H197" s="1"/>
      <c r="I197" s="5">
        <f>IFERROR(__xludf.DUMMYFUNCTION("""COMPUTED_VALUE"""),52500.0)</f>
        <v>52500</v>
      </c>
      <c r="J197" s="1" t="str">
        <f>IFERROR(__xludf.DUMMYFUNCTION("""COMPUTED_VALUE"""),"Оплатили")</f>
        <v>Оплатили</v>
      </c>
      <c r="K197" s="1"/>
      <c r="L197" s="1">
        <f>IFERROR(__xludf.DUMMYFUNCTION("""COMPUTED_VALUE"""),7.74354320506E11)</f>
        <v>774354320506</v>
      </c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>
        <f>IFERROR(__xludf.DUMMYFUNCTION("""COMPUTED_VALUE"""),2025.0)</f>
        <v>2025</v>
      </c>
      <c r="B198" s="1" t="str">
        <f>IFERROR(__xludf.DUMMYFUNCTION("""COMPUTED_VALUE"""),"16.11-30.11")</f>
        <v>16.11-30.11</v>
      </c>
      <c r="C198" s="2" t="str">
        <f>IFERROR(__xludf.DUMMYFUNCTION("""COMPUTED_VALUE"""),"Джовлиева Чаман")</f>
        <v>Джовлиева Чаман</v>
      </c>
      <c r="D198" s="1" t="str">
        <f>IFERROR(__xludf.DUMMYFUNCTION("""COMPUTED_VALUE"""),"79099908237")</f>
        <v>79099908237</v>
      </c>
      <c r="E198" s="3">
        <f>IFERROR(__xludf.DUMMYFUNCTION("""COMPUTED_VALUE"""),9600.0)</f>
        <v>9600</v>
      </c>
      <c r="F198" s="1"/>
      <c r="G198" s="4"/>
      <c r="H198" s="1"/>
      <c r="I198" s="5">
        <f>IFERROR(__xludf.DUMMYFUNCTION("""COMPUTED_VALUE"""),9600.0)</f>
        <v>9600</v>
      </c>
      <c r="J198" s="1" t="str">
        <f>IFERROR(__xludf.DUMMYFUNCTION("""COMPUTED_VALUE"""),"Оплатили")</f>
        <v>Оплатили</v>
      </c>
      <c r="K198" s="1"/>
      <c r="L198" s="1">
        <f>IFERROR(__xludf.DUMMYFUNCTION("""COMPUTED_VALUE"""),7.71392768519E11)</f>
        <v>771392768519</v>
      </c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>
        <f>IFERROR(__xludf.DUMMYFUNCTION("""COMPUTED_VALUE"""),2025.0)</f>
        <v>2025</v>
      </c>
      <c r="B199" s="1" t="str">
        <f>IFERROR(__xludf.DUMMYFUNCTION("""COMPUTED_VALUE"""),"16.11-30.11")</f>
        <v>16.11-30.11</v>
      </c>
      <c r="C199" s="2" t="str">
        <f>IFERROR(__xludf.DUMMYFUNCTION("""COMPUTED_VALUE"""),"Зулунов Акбарали Шухратбек угли")</f>
        <v>Зулунов Акбарали Шухратбек угли</v>
      </c>
      <c r="D199" s="1" t="str">
        <f>IFERROR(__xludf.DUMMYFUNCTION("""COMPUTED_VALUE"""),"79684325555")</f>
        <v>79684325555</v>
      </c>
      <c r="E199" s="3">
        <f>IFERROR(__xludf.DUMMYFUNCTION("""COMPUTED_VALUE"""),43480.0)</f>
        <v>43480</v>
      </c>
      <c r="F199" s="1"/>
      <c r="G199" s="4"/>
      <c r="H199" s="1"/>
      <c r="I199" s="5">
        <f>IFERROR(__xludf.DUMMYFUNCTION("""COMPUTED_VALUE"""),43480.0)</f>
        <v>43480</v>
      </c>
      <c r="J199" s="1" t="str">
        <f>IFERROR(__xludf.DUMMYFUNCTION("""COMPUTED_VALUE"""),"Оплатили")</f>
        <v>Оплатили</v>
      </c>
      <c r="K199" s="1"/>
      <c r="L199" s="1">
        <f>IFERROR(__xludf.DUMMYFUNCTION("""COMPUTED_VALUE"""),5.02765439695E11)</f>
        <v>502765439695</v>
      </c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>
        <f>IFERROR(__xludf.DUMMYFUNCTION("""COMPUTED_VALUE"""),2025.0)</f>
        <v>2025</v>
      </c>
      <c r="B200" s="1" t="str">
        <f>IFERROR(__xludf.DUMMYFUNCTION("""COMPUTED_VALUE"""),"16.11-30.11")</f>
        <v>16.11-30.11</v>
      </c>
      <c r="C200" s="2" t="str">
        <f>IFERROR(__xludf.DUMMYFUNCTION("""COMPUTED_VALUE"""),"Рустамов Дониёр Абдукахорович")</f>
        <v>Рустамов Дониёр Абдукахорович</v>
      </c>
      <c r="D200" s="1" t="str">
        <f>IFERROR(__xludf.DUMMYFUNCTION("""COMPUTED_VALUE"""),"79776800074")</f>
        <v>79776800074</v>
      </c>
      <c r="E200" s="3">
        <f>IFERROR(__xludf.DUMMYFUNCTION("""COMPUTED_VALUE"""),53850.0)</f>
        <v>53850</v>
      </c>
      <c r="F200" s="1"/>
      <c r="G200" s="4"/>
      <c r="H200" s="1"/>
      <c r="I200" s="5">
        <f>IFERROR(__xludf.DUMMYFUNCTION("""COMPUTED_VALUE"""),53850.0)</f>
        <v>53850</v>
      </c>
      <c r="J200" s="1" t="str">
        <f>IFERROR(__xludf.DUMMYFUNCTION("""COMPUTED_VALUE"""),"Оплатили")</f>
        <v>Оплатили</v>
      </c>
      <c r="K200" s="1"/>
      <c r="L200" s="1">
        <f>IFERROR(__xludf.DUMMYFUNCTION("""COMPUTED_VALUE"""),9.7180693062E11)</f>
        <v>971806930620</v>
      </c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>
        <f>IFERROR(__xludf.DUMMYFUNCTION("""COMPUTED_VALUE"""),2025.0)</f>
        <v>2025</v>
      </c>
      <c r="B201" s="1" t="str">
        <f>IFERROR(__xludf.DUMMYFUNCTION("""COMPUTED_VALUE"""),"16.11-30.11")</f>
        <v>16.11-30.11</v>
      </c>
      <c r="C201" s="2" t="str">
        <f>IFERROR(__xludf.DUMMYFUNCTION("""COMPUTED_VALUE"""),"Юсупов Илхомидин Гозиевич")</f>
        <v>Юсупов Илхомидин Гозиевич</v>
      </c>
      <c r="D201" s="1" t="str">
        <f>IFERROR(__xludf.DUMMYFUNCTION("""COMPUTED_VALUE"""),"79162515030")</f>
        <v>79162515030</v>
      </c>
      <c r="E201" s="3">
        <f>IFERROR(__xludf.DUMMYFUNCTION("""COMPUTED_VALUE"""),62228.0)</f>
        <v>62228</v>
      </c>
      <c r="F201" s="1"/>
      <c r="G201" s="4"/>
      <c r="H201" s="1"/>
      <c r="I201" s="5">
        <f>IFERROR(__xludf.DUMMYFUNCTION("""COMPUTED_VALUE"""),62228.0)</f>
        <v>62228</v>
      </c>
      <c r="J201" s="1" t="str">
        <f>IFERROR(__xludf.DUMMYFUNCTION("""COMPUTED_VALUE"""),"Оплатили")</f>
        <v>Оплатили</v>
      </c>
      <c r="K201" s="1"/>
      <c r="L201" s="1">
        <f>IFERROR(__xludf.DUMMYFUNCTION("""COMPUTED_VALUE"""),7.72418658586E11)</f>
        <v>772418658586</v>
      </c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>
        <f>IFERROR(__xludf.DUMMYFUNCTION("""COMPUTED_VALUE"""),2025.0)</f>
        <v>2025</v>
      </c>
      <c r="B202" s="1" t="str">
        <f>IFERROR(__xludf.DUMMYFUNCTION("""COMPUTED_VALUE"""),"16.11-30.11")</f>
        <v>16.11-30.11</v>
      </c>
      <c r="C202" s="2" t="str">
        <f>IFERROR(__xludf.DUMMYFUNCTION("""COMPUTED_VALUE"""),"Иброхимзода Юсуф")</f>
        <v>Иброхимзода Юсуф</v>
      </c>
      <c r="D202" s="1" t="str">
        <f>IFERROR(__xludf.DUMMYFUNCTION("""COMPUTED_VALUE"""),"79694795092")</f>
        <v>79694795092</v>
      </c>
      <c r="E202" s="3">
        <f>IFERROR(__xludf.DUMMYFUNCTION("""COMPUTED_VALUE"""),62088.0)</f>
        <v>62088</v>
      </c>
      <c r="F202" s="1"/>
      <c r="G202" s="4"/>
      <c r="H202" s="1"/>
      <c r="I202" s="5">
        <f>IFERROR(__xludf.DUMMYFUNCTION("""COMPUTED_VALUE"""),62088.0)</f>
        <v>62088</v>
      </c>
      <c r="J202" s="1" t="str">
        <f>IFERROR(__xludf.DUMMYFUNCTION("""COMPUTED_VALUE"""),"Оплатили")</f>
        <v>Оплатили</v>
      </c>
      <c r="K202" s="1"/>
      <c r="L202" s="1">
        <f>IFERROR(__xludf.DUMMYFUNCTION("""COMPUTED_VALUE"""),7.72321986304E11)</f>
        <v>772321986304</v>
      </c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>
        <f>IFERROR(__xludf.DUMMYFUNCTION("""COMPUTED_VALUE"""),2025.0)</f>
        <v>2025</v>
      </c>
      <c r="B203" s="1" t="str">
        <f>IFERROR(__xludf.DUMMYFUNCTION("""COMPUTED_VALUE"""),"16.11-30.11")</f>
        <v>16.11-30.11</v>
      </c>
      <c r="C203" s="2" t="str">
        <f>IFERROR(__xludf.DUMMYFUNCTION("""COMPUTED_VALUE"""),"Хаитова Лайло Норбоевна")</f>
        <v>Хаитова Лайло Норбоевна</v>
      </c>
      <c r="D203" s="1" t="str">
        <f>IFERROR(__xludf.DUMMYFUNCTION("""COMPUTED_VALUE"""),"79694748125")</f>
        <v>79694748125</v>
      </c>
      <c r="E203" s="3">
        <f>IFERROR(__xludf.DUMMYFUNCTION("""COMPUTED_VALUE"""),51000.0)</f>
        <v>51000</v>
      </c>
      <c r="F203" s="1"/>
      <c r="G203" s="4"/>
      <c r="H203" s="1"/>
      <c r="I203" s="5">
        <f>IFERROR(__xludf.DUMMYFUNCTION("""COMPUTED_VALUE"""),51000.0)</f>
        <v>51000</v>
      </c>
      <c r="J203" s="1" t="str">
        <f>IFERROR(__xludf.DUMMYFUNCTION("""COMPUTED_VALUE"""),"Оплатили")</f>
        <v>Оплатили</v>
      </c>
      <c r="K203" s="1"/>
      <c r="L203" s="1">
        <f>IFERROR(__xludf.DUMMYFUNCTION("""COMPUTED_VALUE"""),7.71778280523E11)</f>
        <v>771778280523</v>
      </c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>
        <f>IFERROR(__xludf.DUMMYFUNCTION("""COMPUTED_VALUE"""),2025.0)</f>
        <v>2025</v>
      </c>
      <c r="B204" s="1" t="str">
        <f>IFERROR(__xludf.DUMMYFUNCTION("""COMPUTED_VALUE"""),"16.11-30.11")</f>
        <v>16.11-30.11</v>
      </c>
      <c r="C204" s="2" t="str">
        <f>IFERROR(__xludf.DUMMYFUNCTION("""COMPUTED_VALUE"""),"Турдубаева Саткынай")</f>
        <v>Турдубаева Саткынай</v>
      </c>
      <c r="D204" s="1" t="str">
        <f>IFERROR(__xludf.DUMMYFUNCTION("""COMPUTED_VALUE"""),"79253866063")</f>
        <v>79253866063</v>
      </c>
      <c r="E204" s="3">
        <f>IFERROR(__xludf.DUMMYFUNCTION("""COMPUTED_VALUE"""),38950.0)</f>
        <v>38950</v>
      </c>
      <c r="F204" s="1"/>
      <c r="G204" s="4"/>
      <c r="H204" s="1"/>
      <c r="I204" s="5">
        <f>IFERROR(__xludf.DUMMYFUNCTION("""COMPUTED_VALUE"""),38950.0)</f>
        <v>38950</v>
      </c>
      <c r="J204" s="1" t="str">
        <f>IFERROR(__xludf.DUMMYFUNCTION("""COMPUTED_VALUE"""),"Оплатили")</f>
        <v>Оплатили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>
        <f>IFERROR(__xludf.DUMMYFUNCTION("""COMPUTED_VALUE"""),2025.0)</f>
        <v>2025</v>
      </c>
      <c r="B205" s="1" t="str">
        <f>IFERROR(__xludf.DUMMYFUNCTION("""COMPUTED_VALUE"""),"16.11-30.11")</f>
        <v>16.11-30.11</v>
      </c>
      <c r="C205" s="2" t="str">
        <f>IFERROR(__xludf.DUMMYFUNCTION("""COMPUTED_VALUE"""),"Солиев Алимардон Акбаралиевич")</f>
        <v>Солиев Алимардон Акбаралиевич</v>
      </c>
      <c r="D205" s="1" t="str">
        <f>IFERROR(__xludf.DUMMYFUNCTION("""COMPUTED_VALUE"""),"79161154264")</f>
        <v>79161154264</v>
      </c>
      <c r="E205" s="3">
        <f>IFERROR(__xludf.DUMMYFUNCTION("""COMPUTED_VALUE"""),69000.0)</f>
        <v>69000</v>
      </c>
      <c r="F205" s="1"/>
      <c r="G205" s="4"/>
      <c r="H205" s="1"/>
      <c r="I205" s="5">
        <f>IFERROR(__xludf.DUMMYFUNCTION("""COMPUTED_VALUE"""),69000.0)</f>
        <v>69000</v>
      </c>
      <c r="J205" s="1" t="str">
        <f>IFERROR(__xludf.DUMMYFUNCTION("""COMPUTED_VALUE"""),"Оплатили")</f>
        <v>Оплатили</v>
      </c>
      <c r="K205" s="1"/>
      <c r="L205" s="1">
        <f>IFERROR(__xludf.DUMMYFUNCTION("""COMPUTED_VALUE"""),4.02818158835E11)</f>
        <v>402818158835</v>
      </c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>
        <f>IFERROR(__xludf.DUMMYFUNCTION("""COMPUTED_VALUE"""),2025.0)</f>
        <v>2025</v>
      </c>
      <c r="B206" s="1" t="str">
        <f>IFERROR(__xludf.DUMMYFUNCTION("""COMPUTED_VALUE"""),"16.11-30.11")</f>
        <v>16.11-30.11</v>
      </c>
      <c r="C206" s="2" t="str">
        <f>IFERROR(__xludf.DUMMYFUNCTION("""COMPUTED_VALUE"""),"Жураев Бахриддин Фахриддинович")</f>
        <v>Жураев Бахриддин Фахриддинович</v>
      </c>
      <c r="D206" s="1" t="str">
        <f>IFERROR(__xludf.DUMMYFUNCTION("""COMPUTED_VALUE"""),"79260684763")</f>
        <v>79260684763</v>
      </c>
      <c r="E206" s="3">
        <f>IFERROR(__xludf.DUMMYFUNCTION("""COMPUTED_VALUE"""),50430.0)</f>
        <v>50430</v>
      </c>
      <c r="F206" s="1"/>
      <c r="G206" s="4"/>
      <c r="H206" s="1"/>
      <c r="I206" s="5">
        <f>IFERROR(__xludf.DUMMYFUNCTION("""COMPUTED_VALUE"""),50430.0)</f>
        <v>50430</v>
      </c>
      <c r="J206" s="1" t="str">
        <f>IFERROR(__xludf.DUMMYFUNCTION("""COMPUTED_VALUE"""),"Оплатили")</f>
        <v>Оплатили</v>
      </c>
      <c r="K206" s="1"/>
      <c r="L206" s="1">
        <f>IFERROR(__xludf.DUMMYFUNCTION("""COMPUTED_VALUE"""),7.75182197834E11)</f>
        <v>775182197834</v>
      </c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>
        <f>IFERROR(__xludf.DUMMYFUNCTION("""COMPUTED_VALUE"""),2025.0)</f>
        <v>2025</v>
      </c>
      <c r="B207" s="1" t="str">
        <f>IFERROR(__xludf.DUMMYFUNCTION("""COMPUTED_VALUE"""),"16.11-30.11")</f>
        <v>16.11-30.11</v>
      </c>
      <c r="C207" s="2" t="str">
        <f>IFERROR(__xludf.DUMMYFUNCTION("""COMPUTED_VALUE"""),"Мажитова Диляфруз Юлдашевна")</f>
        <v>Мажитова Диляфруз Юлдашевна</v>
      </c>
      <c r="D207" s="1" t="str">
        <f>IFERROR(__xludf.DUMMYFUNCTION("""COMPUTED_VALUE"""),"79031479284")</f>
        <v>79031479284</v>
      </c>
      <c r="E207" s="3">
        <f>IFERROR(__xludf.DUMMYFUNCTION("""COMPUTED_VALUE"""),54400.0)</f>
        <v>54400</v>
      </c>
      <c r="F207" s="1"/>
      <c r="G207" s="4"/>
      <c r="H207" s="1"/>
      <c r="I207" s="5">
        <f>IFERROR(__xludf.DUMMYFUNCTION("""COMPUTED_VALUE"""),54400.0)</f>
        <v>54400</v>
      </c>
      <c r="J207" s="1" t="str">
        <f>IFERROR(__xludf.DUMMYFUNCTION("""COMPUTED_VALUE"""),"Оплатили")</f>
        <v>Оплатили</v>
      </c>
      <c r="K207" s="1"/>
      <c r="L207" s="1">
        <f>IFERROR(__xludf.DUMMYFUNCTION("""COMPUTED_VALUE"""),5.02776500895E11)</f>
        <v>502776500895</v>
      </c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>
        <f>IFERROR(__xludf.DUMMYFUNCTION("""COMPUTED_VALUE"""),2025.0)</f>
        <v>2025</v>
      </c>
      <c r="B208" s="1" t="str">
        <f>IFERROR(__xludf.DUMMYFUNCTION("""COMPUTED_VALUE"""),"16.11-30.11")</f>
        <v>16.11-30.11</v>
      </c>
      <c r="C208" s="2" t="str">
        <f>IFERROR(__xludf.DUMMYFUNCTION("""COMPUTED_VALUE"""),"Тожиева Наргиза Аминова")</f>
        <v>Тожиева Наргиза Аминова</v>
      </c>
      <c r="D208" s="1" t="str">
        <f>IFERROR(__xludf.DUMMYFUNCTION("""COMPUTED_VALUE"""),"79856292007")</f>
        <v>79856292007</v>
      </c>
      <c r="E208" s="3">
        <f>IFERROR(__xludf.DUMMYFUNCTION("""COMPUTED_VALUE"""),47600.0)</f>
        <v>47600</v>
      </c>
      <c r="F208" s="1"/>
      <c r="G208" s="4"/>
      <c r="H208" s="1"/>
      <c r="I208" s="5">
        <f>IFERROR(__xludf.DUMMYFUNCTION("""COMPUTED_VALUE"""),47600.0)</f>
        <v>47600</v>
      </c>
      <c r="J208" s="1" t="str">
        <f>IFERROR(__xludf.DUMMYFUNCTION("""COMPUTED_VALUE"""),"Оплатили")</f>
        <v>Оплатили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>
        <f>IFERROR(__xludf.DUMMYFUNCTION("""COMPUTED_VALUE"""),2025.0)</f>
        <v>2025</v>
      </c>
      <c r="B209" s="1" t="str">
        <f>IFERROR(__xludf.DUMMYFUNCTION("""COMPUTED_VALUE"""),"16.11-30.11")</f>
        <v>16.11-30.11</v>
      </c>
      <c r="C209" s="2" t="str">
        <f>IFERROR(__xludf.DUMMYFUNCTION("""COMPUTED_VALUE"""),"Курбонова Гулжахон Абдуразоковна")</f>
        <v>Курбонова Гулжахон Абдуразоковна</v>
      </c>
      <c r="D209" s="1" t="str">
        <f>IFERROR(__xludf.DUMMYFUNCTION("""COMPUTED_VALUE"""),"79255103455")</f>
        <v>79255103455</v>
      </c>
      <c r="E209" s="3">
        <f>IFERROR(__xludf.DUMMYFUNCTION("""COMPUTED_VALUE"""),60000.0)</f>
        <v>60000</v>
      </c>
      <c r="F209" s="1"/>
      <c r="G209" s="4"/>
      <c r="H209" s="1"/>
      <c r="I209" s="5">
        <f>IFERROR(__xludf.DUMMYFUNCTION("""COMPUTED_VALUE"""),60000.0)</f>
        <v>60000</v>
      </c>
      <c r="J209" s="1" t="str">
        <f>IFERROR(__xludf.DUMMYFUNCTION("""COMPUTED_VALUE"""),"Оплатили")</f>
        <v>Оплатили</v>
      </c>
      <c r="K209" s="1"/>
      <c r="L209" s="1">
        <f>IFERROR(__xludf.DUMMYFUNCTION("""COMPUTED_VALUE"""),7.75151914986E11)</f>
        <v>775151914986</v>
      </c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>
        <f>IFERROR(__xludf.DUMMYFUNCTION("""COMPUTED_VALUE"""),2025.0)</f>
        <v>2025</v>
      </c>
      <c r="B210" s="1" t="str">
        <f>IFERROR(__xludf.DUMMYFUNCTION("""COMPUTED_VALUE"""),"16.11-30.11")</f>
        <v>16.11-30.11</v>
      </c>
      <c r="C210" s="2" t="str">
        <f>IFERROR(__xludf.DUMMYFUNCTION("""COMPUTED_VALUE"""),"Вахобов Мехроджиддин Махмадович")</f>
        <v>Вахобов Мехроджиддин Махмадович</v>
      </c>
      <c r="D210" s="1" t="str">
        <f>IFERROR(__xludf.DUMMYFUNCTION("""COMPUTED_VALUE"""),"79969262030")</f>
        <v>79969262030</v>
      </c>
      <c r="E210" s="3">
        <f>IFERROR(__xludf.DUMMYFUNCTION("""COMPUTED_VALUE"""),70800.0)</f>
        <v>70800</v>
      </c>
      <c r="F210" s="1"/>
      <c r="G210" s="4"/>
      <c r="H210" s="1"/>
      <c r="I210" s="5">
        <f>IFERROR(__xludf.DUMMYFUNCTION("""COMPUTED_VALUE"""),70800.0)</f>
        <v>70800</v>
      </c>
      <c r="J210" s="1" t="str">
        <f>IFERROR(__xludf.DUMMYFUNCTION("""COMPUTED_VALUE"""),"Оплатили")</f>
        <v>Оплатили</v>
      </c>
      <c r="K210" s="1"/>
      <c r="L210" s="1">
        <f>IFERROR(__xludf.DUMMYFUNCTION("""COMPUTED_VALUE"""),7.60419142561E11)</f>
        <v>760419142561</v>
      </c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>
        <f>IFERROR(__xludf.DUMMYFUNCTION("""COMPUTED_VALUE"""),2025.0)</f>
        <v>2025</v>
      </c>
      <c r="B211" s="1" t="str">
        <f>IFERROR(__xludf.DUMMYFUNCTION("""COMPUTED_VALUE"""),"16.11-30.11")</f>
        <v>16.11-30.11</v>
      </c>
      <c r="C211" s="2" t="str">
        <f>IFERROR(__xludf.DUMMYFUNCTION("""COMPUTED_VALUE"""),"Назаров Тухтасин Мухаммади Угли")</f>
        <v>Назаров Тухтасин Мухаммади Угли</v>
      </c>
      <c r="D211" s="1" t="str">
        <f>IFERROR(__xludf.DUMMYFUNCTION("""COMPUTED_VALUE"""),"79264200393")</f>
        <v>79264200393</v>
      </c>
      <c r="E211" s="3">
        <f>IFERROR(__xludf.DUMMYFUNCTION("""COMPUTED_VALUE"""),57000.0)</f>
        <v>57000</v>
      </c>
      <c r="F211" s="1"/>
      <c r="G211" s="4"/>
      <c r="H211" s="1"/>
      <c r="I211" s="5">
        <f>IFERROR(__xludf.DUMMYFUNCTION("""COMPUTED_VALUE"""),57000.0)</f>
        <v>57000</v>
      </c>
      <c r="J211" s="1" t="str">
        <f>IFERROR(__xludf.DUMMYFUNCTION("""COMPUTED_VALUE"""),"Оплатили")</f>
        <v>Оплатили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>
        <f>IFERROR(__xludf.DUMMYFUNCTION("""COMPUTED_VALUE"""),2025.0)</f>
        <v>2025</v>
      </c>
      <c r="B212" s="1" t="str">
        <f>IFERROR(__xludf.DUMMYFUNCTION("""COMPUTED_VALUE"""),"16.11-30.11")</f>
        <v>16.11-30.11</v>
      </c>
      <c r="C212" s="2" t="str">
        <f>IFERROR(__xludf.DUMMYFUNCTION("""COMPUTED_VALUE"""),"Мухаммаджонов Акмалджон Аюбович")</f>
        <v>Мухаммаджонов Акмалджон Аюбович</v>
      </c>
      <c r="D212" s="1" t="str">
        <f>IFERROR(__xludf.DUMMYFUNCTION("""COMPUTED_VALUE"""),"79955553419")</f>
        <v>79955553419</v>
      </c>
      <c r="E212" s="3">
        <f>IFERROR(__xludf.DUMMYFUNCTION("""COMPUTED_VALUE"""),52900.0)</f>
        <v>52900</v>
      </c>
      <c r="F212" s="1"/>
      <c r="G212" s="4"/>
      <c r="H212" s="1"/>
      <c r="I212" s="5">
        <f>IFERROR(__xludf.DUMMYFUNCTION("""COMPUTED_VALUE"""),52900.0)</f>
        <v>52900</v>
      </c>
      <c r="J212" s="1" t="str">
        <f>IFERROR(__xludf.DUMMYFUNCTION("""COMPUTED_VALUE"""),"Оплатили")</f>
        <v>Оплатили</v>
      </c>
      <c r="K212" s="1"/>
      <c r="L212" s="1">
        <f>IFERROR(__xludf.DUMMYFUNCTION("""COMPUTED_VALUE"""),9.7151845056E11)</f>
        <v>971518450560</v>
      </c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>
        <f>IFERROR(__xludf.DUMMYFUNCTION("""COMPUTED_VALUE"""),2025.0)</f>
        <v>2025</v>
      </c>
      <c r="B213" s="1" t="str">
        <f>IFERROR(__xludf.DUMMYFUNCTION("""COMPUTED_VALUE"""),"16.11-30.11")</f>
        <v>16.11-30.11</v>
      </c>
      <c r="C213" s="2" t="str">
        <f>IFERROR(__xludf.DUMMYFUNCTION("""COMPUTED_VALUE"""),"Турдибекова Мухайё Уктамовна")</f>
        <v>Турдибекова Мухайё Уктамовна</v>
      </c>
      <c r="D213" s="1" t="str">
        <f>IFERROR(__xludf.DUMMYFUNCTION("""COMPUTED_VALUE"""),"79966796423")</f>
        <v>79966796423</v>
      </c>
      <c r="E213" s="3">
        <f>IFERROR(__xludf.DUMMYFUNCTION("""COMPUTED_VALUE"""),55500.0)</f>
        <v>55500</v>
      </c>
      <c r="F213" s="1"/>
      <c r="G213" s="4"/>
      <c r="H213" s="1"/>
      <c r="I213" s="5">
        <f>IFERROR(__xludf.DUMMYFUNCTION("""COMPUTED_VALUE"""),55500.0)</f>
        <v>55500</v>
      </c>
      <c r="J213" s="1" t="str">
        <f>IFERROR(__xludf.DUMMYFUNCTION("""COMPUTED_VALUE"""),"Оплатили")</f>
        <v>Оплатили</v>
      </c>
      <c r="K213" s="1"/>
      <c r="L213" s="1">
        <f>IFERROR(__xludf.DUMMYFUNCTION("""COMPUTED_VALUE"""),5.02777123914E11)</f>
        <v>502777123914</v>
      </c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>
        <f>IFERROR(__xludf.DUMMYFUNCTION("""COMPUTED_VALUE"""),2025.0)</f>
        <v>2025</v>
      </c>
      <c r="B214" s="1" t="str">
        <f>IFERROR(__xludf.DUMMYFUNCTION("""COMPUTED_VALUE"""),"16.11-30.11")</f>
        <v>16.11-30.11</v>
      </c>
      <c r="C214" s="2" t="str">
        <f>IFERROR(__xludf.DUMMYFUNCTION("""COMPUTED_VALUE"""),"Шерназаров Зариф Акбарали Угли")</f>
        <v>Шерназаров Зариф Акбарали Угли</v>
      </c>
      <c r="D214" s="1" t="str">
        <f>IFERROR(__xludf.DUMMYFUNCTION("""COMPUTED_VALUE"""),"79336677836")</f>
        <v>79336677836</v>
      </c>
      <c r="E214" s="3">
        <f>IFERROR(__xludf.DUMMYFUNCTION("""COMPUTED_VALUE"""),59700.0)</f>
        <v>59700</v>
      </c>
      <c r="F214" s="1"/>
      <c r="G214" s="4"/>
      <c r="H214" s="1"/>
      <c r="I214" s="5">
        <f>IFERROR(__xludf.DUMMYFUNCTION("""COMPUTED_VALUE"""),59700.0)</f>
        <v>59700</v>
      </c>
      <c r="J214" s="1" t="str">
        <f>IFERROR(__xludf.DUMMYFUNCTION("""COMPUTED_VALUE"""),"Оплатили")</f>
        <v>Оплатили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>
        <f>IFERROR(__xludf.DUMMYFUNCTION("""COMPUTED_VALUE"""),2025.0)</f>
        <v>2025</v>
      </c>
      <c r="B215" s="1" t="str">
        <f>IFERROR(__xludf.DUMMYFUNCTION("""COMPUTED_VALUE"""),"16.11-30.11")</f>
        <v>16.11-30.11</v>
      </c>
      <c r="C215" s="2" t="str">
        <f>IFERROR(__xludf.DUMMYFUNCTION("""COMPUTED_VALUE"""),"Дусматов Равшан Алишерович")</f>
        <v>Дусматов Равшан Алишерович</v>
      </c>
      <c r="D215" s="1" t="str">
        <f>IFERROR(__xludf.DUMMYFUNCTION("""COMPUTED_VALUE"""),"79254088185")</f>
        <v>79254088185</v>
      </c>
      <c r="E215" s="3">
        <f>IFERROR(__xludf.DUMMYFUNCTION("""COMPUTED_VALUE"""),58500.0)</f>
        <v>58500</v>
      </c>
      <c r="F215" s="1"/>
      <c r="G215" s="4"/>
      <c r="H215" s="1"/>
      <c r="I215" s="5">
        <f>IFERROR(__xludf.DUMMYFUNCTION("""COMPUTED_VALUE"""),58500.0)</f>
        <v>58500</v>
      </c>
      <c r="J215" s="1" t="str">
        <f>IFERROR(__xludf.DUMMYFUNCTION("""COMPUTED_VALUE"""),"Оплатили")</f>
        <v>Оплатили</v>
      </c>
      <c r="K215" s="1"/>
      <c r="L215" s="1">
        <f>IFERROR(__xludf.DUMMYFUNCTION("""COMPUTED_VALUE"""),7.71689013702E11)</f>
        <v>771689013702</v>
      </c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>
        <f>IFERROR(__xludf.DUMMYFUNCTION("""COMPUTED_VALUE"""),2025.0)</f>
        <v>2025</v>
      </c>
      <c r="B216" s="1" t="str">
        <f>IFERROR(__xludf.DUMMYFUNCTION("""COMPUTED_VALUE"""),"16.11-30.11")</f>
        <v>16.11-30.11</v>
      </c>
      <c r="C216" s="2" t="str">
        <f>IFERROR(__xludf.DUMMYFUNCTION("""COMPUTED_VALUE"""),"Дусматова Зулола Агзамовна")</f>
        <v>Дусматова Зулола Агзамовна</v>
      </c>
      <c r="D216" s="1" t="str">
        <f>IFERROR(__xludf.DUMMYFUNCTION("""COMPUTED_VALUE"""),"79997675838")</f>
        <v>79997675838</v>
      </c>
      <c r="E216" s="3">
        <f>IFERROR(__xludf.DUMMYFUNCTION("""COMPUTED_VALUE"""),54600.0)</f>
        <v>54600</v>
      </c>
      <c r="F216" s="1"/>
      <c r="G216" s="4"/>
      <c r="H216" s="1"/>
      <c r="I216" s="5">
        <f>IFERROR(__xludf.DUMMYFUNCTION("""COMPUTED_VALUE"""),54600.0)</f>
        <v>54600</v>
      </c>
      <c r="J216" s="1" t="str">
        <f>IFERROR(__xludf.DUMMYFUNCTION("""COMPUTED_VALUE"""),"Оплатили")</f>
        <v>Оплатили</v>
      </c>
      <c r="K216" s="1"/>
      <c r="L216" s="1">
        <f>IFERROR(__xludf.DUMMYFUNCTION("""COMPUTED_VALUE"""),7.7148705793E11)</f>
        <v>771487057930</v>
      </c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>
        <f>IFERROR(__xludf.DUMMYFUNCTION("""COMPUTED_VALUE"""),2025.0)</f>
        <v>2025</v>
      </c>
      <c r="B217" s="1" t="str">
        <f>IFERROR(__xludf.DUMMYFUNCTION("""COMPUTED_VALUE"""),"16.11-30.11")</f>
        <v>16.11-30.11</v>
      </c>
      <c r="C217" s="2" t="str">
        <f>IFERROR(__xludf.DUMMYFUNCTION("""COMPUTED_VALUE"""),"Анорбоев Шахзод Тулгин Угли")</f>
        <v>Анорбоев Шахзод Тулгин Угли</v>
      </c>
      <c r="D217" s="1" t="str">
        <f>IFERROR(__xludf.DUMMYFUNCTION("""COMPUTED_VALUE"""),"79777470317")</f>
        <v>79777470317</v>
      </c>
      <c r="E217" s="3">
        <f>IFERROR(__xludf.DUMMYFUNCTION("""COMPUTED_VALUE"""),57400.0)</f>
        <v>57400</v>
      </c>
      <c r="F217" s="1"/>
      <c r="G217" s="4"/>
      <c r="H217" s="1"/>
      <c r="I217" s="5">
        <f>IFERROR(__xludf.DUMMYFUNCTION("""COMPUTED_VALUE"""),57400.0)</f>
        <v>57400</v>
      </c>
      <c r="J217" s="1" t="str">
        <f>IFERROR(__xludf.DUMMYFUNCTION("""COMPUTED_VALUE"""),"Оплатили")</f>
        <v>Оплатили</v>
      </c>
      <c r="K217" s="1"/>
      <c r="L217" s="1">
        <f>IFERROR(__xludf.DUMMYFUNCTION("""COMPUTED_VALUE"""),3.43537688905E11)</f>
        <v>343537688905</v>
      </c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>
        <f>IFERROR(__xludf.DUMMYFUNCTION("""COMPUTED_VALUE"""),2025.0)</f>
        <v>2025</v>
      </c>
      <c r="B218" s="1" t="str">
        <f>IFERROR(__xludf.DUMMYFUNCTION("""COMPUTED_VALUE"""),"16.11-30.11")</f>
        <v>16.11-30.11</v>
      </c>
      <c r="C218" s="2" t="str">
        <f>IFERROR(__xludf.DUMMYFUNCTION("""COMPUTED_VALUE"""),"Хамракулов Ойбек Хурсанович")</f>
        <v>Хамракулов Ойбек Хурсанович</v>
      </c>
      <c r="D218" s="1" t="str">
        <f>IFERROR(__xludf.DUMMYFUNCTION("""COMPUTED_VALUE"""),"79779593169")</f>
        <v>79779593169</v>
      </c>
      <c r="E218" s="3">
        <f>IFERROR(__xludf.DUMMYFUNCTION("""COMPUTED_VALUE"""),64500.0)</f>
        <v>64500</v>
      </c>
      <c r="F218" s="1"/>
      <c r="G218" s="4"/>
      <c r="H218" s="1"/>
      <c r="I218" s="5">
        <f>IFERROR(__xludf.DUMMYFUNCTION("""COMPUTED_VALUE"""),64500.0)</f>
        <v>64500</v>
      </c>
      <c r="J218" s="1" t="str">
        <f>IFERROR(__xludf.DUMMYFUNCTION("""COMPUTED_VALUE"""),"Оплатили")</f>
        <v>Оплатили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>
        <f>IFERROR(__xludf.DUMMYFUNCTION("""COMPUTED_VALUE"""),2025.0)</f>
        <v>2025</v>
      </c>
      <c r="B219" s="1" t="str">
        <f>IFERROR(__xludf.DUMMYFUNCTION("""COMPUTED_VALUE"""),"16.11-30.11")</f>
        <v>16.11-30.11</v>
      </c>
      <c r="C219" s="2" t="str">
        <f>IFERROR(__xludf.DUMMYFUNCTION("""COMPUTED_VALUE"""),"Тагайлиева Гульбарчын Абдырахмоновна")</f>
        <v>Тагайлиева Гульбарчын Абдырахмоновна</v>
      </c>
      <c r="D219" s="1" t="str">
        <f>IFERROR(__xludf.DUMMYFUNCTION("""COMPUTED_VALUE"""),"79999895773")</f>
        <v>79999895773</v>
      </c>
      <c r="E219" s="3">
        <f>IFERROR(__xludf.DUMMYFUNCTION("""COMPUTED_VALUE"""),49225.0)</f>
        <v>49225</v>
      </c>
      <c r="F219" s="1"/>
      <c r="G219" s="4"/>
      <c r="H219" s="1"/>
      <c r="I219" s="5">
        <f>IFERROR(__xludf.DUMMYFUNCTION("""COMPUTED_VALUE"""),49225.0)</f>
        <v>49225</v>
      </c>
      <c r="J219" s="1" t="str">
        <f>IFERROR(__xludf.DUMMYFUNCTION("""COMPUTED_VALUE"""),"Оплатили")</f>
        <v>Оплатили</v>
      </c>
      <c r="K219" s="1"/>
      <c r="L219" s="1">
        <f>IFERROR(__xludf.DUMMYFUNCTION("""COMPUTED_VALUE"""),7.75162962212E11)</f>
        <v>775162962212</v>
      </c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>
        <f>IFERROR(__xludf.DUMMYFUNCTION("""COMPUTED_VALUE"""),2025.0)</f>
        <v>2025</v>
      </c>
      <c r="B220" s="1" t="str">
        <f>IFERROR(__xludf.DUMMYFUNCTION("""COMPUTED_VALUE"""),"16.11-30.11")</f>
        <v>16.11-30.11</v>
      </c>
      <c r="C220" s="2" t="str">
        <f>IFERROR(__xludf.DUMMYFUNCTION("""COMPUTED_VALUE"""),"Курбанова Саломат Амиркуловна")</f>
        <v>Курбанова Саломат Амиркуловна</v>
      </c>
      <c r="D220" s="1" t="str">
        <f>IFERROR(__xludf.DUMMYFUNCTION("""COMPUTED_VALUE"""),"79252580102")</f>
        <v>79252580102</v>
      </c>
      <c r="E220" s="3">
        <f>IFERROR(__xludf.DUMMYFUNCTION("""COMPUTED_VALUE"""),55500.0)</f>
        <v>55500</v>
      </c>
      <c r="F220" s="1"/>
      <c r="G220" s="4"/>
      <c r="H220" s="1"/>
      <c r="I220" s="5">
        <f>IFERROR(__xludf.DUMMYFUNCTION("""COMPUTED_VALUE"""),55500.0)</f>
        <v>55500</v>
      </c>
      <c r="J220" s="1" t="str">
        <f>IFERROR(__xludf.DUMMYFUNCTION("""COMPUTED_VALUE"""),"Оплатили")</f>
        <v>Оплатили</v>
      </c>
      <c r="K220" s="1"/>
      <c r="L220" s="1">
        <f>IFERROR(__xludf.DUMMYFUNCTION("""COMPUTED_VALUE"""),7.743424938E11)</f>
        <v>774342493800</v>
      </c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>
        <f>IFERROR(__xludf.DUMMYFUNCTION("""COMPUTED_VALUE"""),2025.0)</f>
        <v>2025</v>
      </c>
      <c r="B221" s="1" t="str">
        <f>IFERROR(__xludf.DUMMYFUNCTION("""COMPUTED_VALUE"""),"16.11-30.11")</f>
        <v>16.11-30.11</v>
      </c>
      <c r="C221" s="2" t="str">
        <f>IFERROR(__xludf.DUMMYFUNCTION("""COMPUTED_VALUE"""),"Маматова Хуршедахон Исроиловна")</f>
        <v>Маматова Хуршедахон Исроиловна</v>
      </c>
      <c r="D221" s="1" t="str">
        <f>IFERROR(__xludf.DUMMYFUNCTION("""COMPUTED_VALUE"""),"79288542471")</f>
        <v>79288542471</v>
      </c>
      <c r="E221" s="3">
        <f>IFERROR(__xludf.DUMMYFUNCTION("""COMPUTED_VALUE"""),44800.0)</f>
        <v>44800</v>
      </c>
      <c r="F221" s="1"/>
      <c r="G221" s="4"/>
      <c r="H221" s="1"/>
      <c r="I221" s="5">
        <f>IFERROR(__xludf.DUMMYFUNCTION("""COMPUTED_VALUE"""),44800.0)</f>
        <v>44800</v>
      </c>
      <c r="J221" s="1" t="str">
        <f>IFERROR(__xludf.DUMMYFUNCTION("""COMPUTED_VALUE"""),"Оплатили")</f>
        <v>Оплатили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>
        <f>IFERROR(__xludf.DUMMYFUNCTION("""COMPUTED_VALUE"""),2025.0)</f>
        <v>2025</v>
      </c>
      <c r="B222" s="1" t="str">
        <f>IFERROR(__xludf.DUMMYFUNCTION("""COMPUTED_VALUE"""),"16.11-30.11")</f>
        <v>16.11-30.11</v>
      </c>
      <c r="C222" s="2" t="str">
        <f>IFERROR(__xludf.DUMMYFUNCTION("""COMPUTED_VALUE"""),"Курбанов Мехробджон Манучехрович")</f>
        <v>Курбанов Мехробджон Манучехрович</v>
      </c>
      <c r="D222" s="1" t="str">
        <f>IFERROR(__xludf.DUMMYFUNCTION("""COMPUTED_VALUE"""),"79939246738")</f>
        <v>79939246738</v>
      </c>
      <c r="E222" s="3">
        <f>IFERROR(__xludf.DUMMYFUNCTION("""COMPUTED_VALUE"""),53310.0)</f>
        <v>53310</v>
      </c>
      <c r="F222" s="1"/>
      <c r="G222" s="4"/>
      <c r="H222" s="1"/>
      <c r="I222" s="5">
        <f>IFERROR(__xludf.DUMMYFUNCTION("""COMPUTED_VALUE"""),53310.0)</f>
        <v>53310</v>
      </c>
      <c r="J222" s="1" t="str">
        <f>IFERROR(__xludf.DUMMYFUNCTION("""COMPUTED_VALUE"""),"Оплатили")</f>
        <v>Оплатили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>
        <f>IFERROR(__xludf.DUMMYFUNCTION("""COMPUTED_VALUE"""),2025.0)</f>
        <v>2025</v>
      </c>
      <c r="B223" s="1" t="str">
        <f>IFERROR(__xludf.DUMMYFUNCTION("""COMPUTED_VALUE"""),"16.11-30.11")</f>
        <v>16.11-30.11</v>
      </c>
      <c r="C223" s="2" t="str">
        <f>IFERROR(__xludf.DUMMYFUNCTION("""COMPUTED_VALUE"""),"Мухммадиев Аббосджон Хуснидин Угли")</f>
        <v>Мухммадиев Аббосджон Хуснидин Угли</v>
      </c>
      <c r="D223" s="1" t="str">
        <f>IFERROR(__xludf.DUMMYFUNCTION("""COMPUTED_VALUE"""),"79255971906")</f>
        <v>79255971906</v>
      </c>
      <c r="E223" s="3">
        <f>IFERROR(__xludf.DUMMYFUNCTION("""COMPUTED_VALUE"""),59250.0)</f>
        <v>59250</v>
      </c>
      <c r="F223" s="1"/>
      <c r="G223" s="4"/>
      <c r="H223" s="1"/>
      <c r="I223" s="5">
        <f>IFERROR(__xludf.DUMMYFUNCTION("""COMPUTED_VALUE"""),59250.0)</f>
        <v>59250</v>
      </c>
      <c r="J223" s="1" t="str">
        <f>IFERROR(__xludf.DUMMYFUNCTION("""COMPUTED_VALUE"""),"Оплатили")</f>
        <v>Оплатили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>
        <f>IFERROR(__xludf.DUMMYFUNCTION("""COMPUTED_VALUE"""),2025.0)</f>
        <v>2025</v>
      </c>
      <c r="B224" s="1" t="str">
        <f>IFERROR(__xludf.DUMMYFUNCTION("""COMPUTED_VALUE"""),"16.11-30.11")</f>
        <v>16.11-30.11</v>
      </c>
      <c r="C224" s="2" t="str">
        <f>IFERROR(__xludf.DUMMYFUNCTION("""COMPUTED_VALUE"""),"Расулова Махфуза Зайниддиновна")</f>
        <v>Расулова Махфуза Зайниддиновна</v>
      </c>
      <c r="D224" s="1" t="str">
        <f>IFERROR(__xludf.DUMMYFUNCTION("""COMPUTED_VALUE"""),"79854583155")</f>
        <v>79854583155</v>
      </c>
      <c r="E224" s="3">
        <f>IFERROR(__xludf.DUMMYFUNCTION("""COMPUTED_VALUE"""),60000.0)</f>
        <v>60000</v>
      </c>
      <c r="F224" s="1"/>
      <c r="G224" s="4"/>
      <c r="H224" s="1"/>
      <c r="I224" s="5">
        <f>IFERROR(__xludf.DUMMYFUNCTION("""COMPUTED_VALUE"""),60000.0)</f>
        <v>60000</v>
      </c>
      <c r="J224" s="1" t="str">
        <f>IFERROR(__xludf.DUMMYFUNCTION("""COMPUTED_VALUE"""),"Оплатили")</f>
        <v>Оплатили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>
        <f>IFERROR(__xludf.DUMMYFUNCTION("""COMPUTED_VALUE"""),2025.0)</f>
        <v>2025</v>
      </c>
      <c r="B225" s="1" t="str">
        <f>IFERROR(__xludf.DUMMYFUNCTION("""COMPUTED_VALUE"""),"16.11-30.11")</f>
        <v>16.11-30.11</v>
      </c>
      <c r="C225" s="2" t="str">
        <f>IFERROR(__xludf.DUMMYFUNCTION("""COMPUTED_VALUE"""),"Далив Мехроб Шомуродович")</f>
        <v>Далив Мехроб Шомуродович</v>
      </c>
      <c r="D225" s="1" t="str">
        <f>IFERROR(__xludf.DUMMYFUNCTION("""COMPUTED_VALUE"""),"79969875036")</f>
        <v>79969875036</v>
      </c>
      <c r="E225" s="3">
        <f>IFERROR(__xludf.DUMMYFUNCTION("""COMPUTED_VALUE"""),57000.0)</f>
        <v>57000</v>
      </c>
      <c r="F225" s="1"/>
      <c r="G225" s="4"/>
      <c r="H225" s="1"/>
      <c r="I225" s="5">
        <f>IFERROR(__xludf.DUMMYFUNCTION("""COMPUTED_VALUE"""),57000.0)</f>
        <v>57000</v>
      </c>
      <c r="J225" s="1" t="str">
        <f>IFERROR(__xludf.DUMMYFUNCTION("""COMPUTED_VALUE"""),"Оплатили")</f>
        <v>Оплатили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>
        <f>IFERROR(__xludf.DUMMYFUNCTION("""COMPUTED_VALUE"""),2025.0)</f>
        <v>2025</v>
      </c>
      <c r="B226" s="1" t="str">
        <f>IFERROR(__xludf.DUMMYFUNCTION("""COMPUTED_VALUE"""),"16.11-30.11")</f>
        <v>16.11-30.11</v>
      </c>
      <c r="C226" s="2" t="str">
        <f>IFERROR(__xludf.DUMMYFUNCTION("""COMPUTED_VALUE"""),"Курбанова Умида Юсуб Кизи")</f>
        <v>Курбанова Умида Юсуб Кизи</v>
      </c>
      <c r="D226" s="1" t="str">
        <f>IFERROR(__xludf.DUMMYFUNCTION("""COMPUTED_VALUE"""),"79969669203")</f>
        <v>79969669203</v>
      </c>
      <c r="E226" s="3">
        <f>IFERROR(__xludf.DUMMYFUNCTION("""COMPUTED_VALUE"""),60000.0)</f>
        <v>60000</v>
      </c>
      <c r="F226" s="1"/>
      <c r="G226" s="4"/>
      <c r="H226" s="1"/>
      <c r="I226" s="5">
        <f>IFERROR(__xludf.DUMMYFUNCTION("""COMPUTED_VALUE"""),60000.0)</f>
        <v>60000</v>
      </c>
      <c r="J226" s="1" t="str">
        <f>IFERROR(__xludf.DUMMYFUNCTION("""COMPUTED_VALUE"""),"Оплатили")</f>
        <v>Оплатили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>
        <f>IFERROR(__xludf.DUMMYFUNCTION("""COMPUTED_VALUE"""),2025.0)</f>
        <v>2025</v>
      </c>
      <c r="B227" s="1" t="str">
        <f>IFERROR(__xludf.DUMMYFUNCTION("""COMPUTED_VALUE"""),"16.11-30.11")</f>
        <v>16.11-30.11</v>
      </c>
      <c r="C227" s="2" t="str">
        <f>IFERROR(__xludf.DUMMYFUNCTION("""COMPUTED_VALUE"""),"Эшонкулов Шердил Асроркулович")</f>
        <v>Эшонкулов Шердил Асроркулович</v>
      </c>
      <c r="D227" s="1" t="str">
        <f>IFERROR(__xludf.DUMMYFUNCTION("""COMPUTED_VALUE"""),"79683257111")</f>
        <v>79683257111</v>
      </c>
      <c r="E227" s="3">
        <f>IFERROR(__xludf.DUMMYFUNCTION("""COMPUTED_VALUE"""),60000.0)</f>
        <v>60000</v>
      </c>
      <c r="F227" s="1"/>
      <c r="G227" s="4"/>
      <c r="H227" s="1"/>
      <c r="I227" s="5">
        <f>IFERROR(__xludf.DUMMYFUNCTION("""COMPUTED_VALUE"""),60000.0)</f>
        <v>60000</v>
      </c>
      <c r="J227" s="1" t="str">
        <f>IFERROR(__xludf.DUMMYFUNCTION("""COMPUTED_VALUE"""),"Оплатили")</f>
        <v>Оплатили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>
        <f>IFERROR(__xludf.DUMMYFUNCTION("""COMPUTED_VALUE"""),2025.0)</f>
        <v>2025</v>
      </c>
      <c r="B228" s="1" t="str">
        <f>IFERROR(__xludf.DUMMYFUNCTION("""COMPUTED_VALUE"""),"16.11-30.11")</f>
        <v>16.11-30.11</v>
      </c>
      <c r="C228" s="2" t="str">
        <f>IFERROR(__xludf.DUMMYFUNCTION("""COMPUTED_VALUE"""),"Маматханов Дилмурод")</f>
        <v>Маматханов Дилмурод</v>
      </c>
      <c r="D228" s="1" t="str">
        <f>IFERROR(__xludf.DUMMYFUNCTION("""COMPUTED_VALUE"""),"79997168584")</f>
        <v>79997168584</v>
      </c>
      <c r="E228" s="3">
        <f>IFERROR(__xludf.DUMMYFUNCTION("""COMPUTED_VALUE"""),43000.0)</f>
        <v>43000</v>
      </c>
      <c r="F228" s="1"/>
      <c r="G228" s="4"/>
      <c r="H228" s="1"/>
      <c r="I228" s="5">
        <f>IFERROR(__xludf.DUMMYFUNCTION("""COMPUTED_VALUE"""),43000.0)</f>
        <v>43000</v>
      </c>
      <c r="J228" s="1" t="str">
        <f>IFERROR(__xludf.DUMMYFUNCTION("""COMPUTED_VALUE"""),"Оплатили")</f>
        <v>Оплатили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>
        <f>IFERROR(__xludf.DUMMYFUNCTION("""COMPUTED_VALUE"""),2025.0)</f>
        <v>2025</v>
      </c>
      <c r="B229" s="1" t="str">
        <f>IFERROR(__xludf.DUMMYFUNCTION("""COMPUTED_VALUE"""),"16.11-30.11")</f>
        <v>16.11-30.11</v>
      </c>
      <c r="C229" s="2" t="str">
        <f>IFERROR(__xludf.DUMMYFUNCTION("""COMPUTED_VALUE"""),"Бобожонова Фарида")</f>
        <v>Бобожонова Фарида</v>
      </c>
      <c r="D229" s="1" t="str">
        <f>IFERROR(__xludf.DUMMYFUNCTION("""COMPUTED_VALUE"""),"79163023415")</f>
        <v>79163023415</v>
      </c>
      <c r="E229" s="3">
        <f>IFERROR(__xludf.DUMMYFUNCTION("""COMPUTED_VALUE"""),54000.0)</f>
        <v>54000</v>
      </c>
      <c r="F229" s="1"/>
      <c r="G229" s="4"/>
      <c r="H229" s="1"/>
      <c r="I229" s="5">
        <f>IFERROR(__xludf.DUMMYFUNCTION("""COMPUTED_VALUE"""),54000.0)</f>
        <v>54000</v>
      </c>
      <c r="J229" s="1" t="str">
        <f>IFERROR(__xludf.DUMMYFUNCTION("""COMPUTED_VALUE"""),"Оплатили")</f>
        <v>Оплатили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>
        <f>IFERROR(__xludf.DUMMYFUNCTION("""COMPUTED_VALUE"""),2025.0)</f>
        <v>2025</v>
      </c>
      <c r="B230" s="1" t="str">
        <f>IFERROR(__xludf.DUMMYFUNCTION("""COMPUTED_VALUE"""),"16.11-30.11")</f>
        <v>16.11-30.11</v>
      </c>
      <c r="C230" s="2" t="str">
        <f>IFERROR(__xludf.DUMMYFUNCTION("""COMPUTED_VALUE"""),"Уринова Гульсара")</f>
        <v>Уринова Гульсара</v>
      </c>
      <c r="D230" s="1" t="str">
        <f>IFERROR(__xludf.DUMMYFUNCTION("""COMPUTED_VALUE"""),"79969800138")</f>
        <v>79969800138</v>
      </c>
      <c r="E230" s="3">
        <f>IFERROR(__xludf.DUMMYFUNCTION("""COMPUTED_VALUE"""),30217.0)</f>
        <v>30217</v>
      </c>
      <c r="F230" s="1"/>
      <c r="G230" s="4"/>
      <c r="H230" s="1"/>
      <c r="I230" s="5">
        <f>IFERROR(__xludf.DUMMYFUNCTION("""COMPUTED_VALUE"""),30217.0)</f>
        <v>30217</v>
      </c>
      <c r="J230" s="1" t="str">
        <f>IFERROR(__xludf.DUMMYFUNCTION("""COMPUTED_VALUE"""),"Оплатили")</f>
        <v>Оплатили</v>
      </c>
      <c r="K230" s="1"/>
      <c r="L230" s="1">
        <f>IFERROR(__xludf.DUMMYFUNCTION("""COMPUTED_VALUE"""),7.75175950165E11)</f>
        <v>775175950165</v>
      </c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>
        <f>IFERROR(__xludf.DUMMYFUNCTION("""COMPUTED_VALUE"""),2025.0)</f>
        <v>2025</v>
      </c>
      <c r="B231" s="1" t="str">
        <f>IFERROR(__xludf.DUMMYFUNCTION("""COMPUTED_VALUE"""),"16.11-30.11")</f>
        <v>16.11-30.11</v>
      </c>
      <c r="C231" s="2" t="str">
        <f>IFERROR(__xludf.DUMMYFUNCTION("""COMPUTED_VALUE"""),"Булдурсунова Алина")</f>
        <v>Булдурсунова Алина</v>
      </c>
      <c r="D231" s="1" t="str">
        <f>IFERROR(__xludf.DUMMYFUNCTION("""COMPUTED_VALUE"""),"79990032538")</f>
        <v>79990032538</v>
      </c>
      <c r="E231" s="3">
        <f>IFERROR(__xludf.DUMMYFUNCTION("""COMPUTED_VALUE"""),40700.0)</f>
        <v>40700</v>
      </c>
      <c r="F231" s="1"/>
      <c r="G231" s="4"/>
      <c r="H231" s="1"/>
      <c r="I231" s="5">
        <f>IFERROR(__xludf.DUMMYFUNCTION("""COMPUTED_VALUE"""),40700.0)</f>
        <v>40700</v>
      </c>
      <c r="J231" s="1" t="str">
        <f>IFERROR(__xludf.DUMMYFUNCTION("""COMPUTED_VALUE"""),"Оплатили")</f>
        <v>Оплатили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>
        <f>IFERROR(__xludf.DUMMYFUNCTION("""COMPUTED_VALUE"""),2025.0)</f>
        <v>2025</v>
      </c>
      <c r="B232" s="1" t="str">
        <f>IFERROR(__xludf.DUMMYFUNCTION("""COMPUTED_VALUE"""),"16.11-30.11")</f>
        <v>16.11-30.11</v>
      </c>
      <c r="C232" s="2" t="str">
        <f>IFERROR(__xludf.DUMMYFUNCTION("""COMPUTED_VALUE"""),"Азиззода Джамшед")</f>
        <v>Азиззода Джамшед</v>
      </c>
      <c r="D232" s="1" t="str">
        <f>IFERROR(__xludf.DUMMYFUNCTION("""COMPUTED_VALUE"""),"79116699346")</f>
        <v>79116699346</v>
      </c>
      <c r="E232" s="3">
        <f>IFERROR(__xludf.DUMMYFUNCTION("""COMPUTED_VALUE"""),56575.0)</f>
        <v>56575</v>
      </c>
      <c r="F232" s="1"/>
      <c r="G232" s="4"/>
      <c r="H232" s="1"/>
      <c r="I232" s="5">
        <f>IFERROR(__xludf.DUMMYFUNCTION("""COMPUTED_VALUE"""),56575.0)</f>
        <v>56575</v>
      </c>
      <c r="J232" s="1" t="str">
        <f>IFERROR(__xludf.DUMMYFUNCTION("""COMPUTED_VALUE"""),"Оплатили")</f>
        <v>Оплатили</v>
      </c>
      <c r="K232" s="1"/>
      <c r="L232" s="1">
        <f>IFERROR(__xludf.DUMMYFUNCTION("""COMPUTED_VALUE"""),1.00000868544E11)</f>
        <v>100000868544</v>
      </c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>
        <f>IFERROR(__xludf.DUMMYFUNCTION("""COMPUTED_VALUE"""),2025.0)</f>
        <v>2025</v>
      </c>
      <c r="B233" s="1" t="str">
        <f>IFERROR(__xludf.DUMMYFUNCTION("""COMPUTED_VALUE"""),"16.11-30.11")</f>
        <v>16.11-30.11</v>
      </c>
      <c r="C233" s="2" t="str">
        <f>IFERROR(__xludf.DUMMYFUNCTION("""COMPUTED_VALUE"""),"Гапарова Бегимай")</f>
        <v>Гапарова Бегимай</v>
      </c>
      <c r="D233" s="1" t="str">
        <f>IFERROR(__xludf.DUMMYFUNCTION("""COMPUTED_VALUE"""),"79257537783")</f>
        <v>79257537783</v>
      </c>
      <c r="E233" s="3">
        <f>IFERROR(__xludf.DUMMYFUNCTION("""COMPUTED_VALUE"""),24000.0)</f>
        <v>24000</v>
      </c>
      <c r="F233" s="1"/>
      <c r="G233" s="4"/>
      <c r="H233" s="1"/>
      <c r="I233" s="5">
        <f>IFERROR(__xludf.DUMMYFUNCTION("""COMPUTED_VALUE"""),24000.0)</f>
        <v>24000</v>
      </c>
      <c r="J233" s="1" t="str">
        <f>IFERROR(__xludf.DUMMYFUNCTION("""COMPUTED_VALUE"""),"Оплатили")</f>
        <v>Оплатили</v>
      </c>
      <c r="K233" s="1"/>
      <c r="L233" s="1">
        <f>IFERROR(__xludf.DUMMYFUNCTION("""COMPUTED_VALUE"""),7.72065375012E11)</f>
        <v>772065375012</v>
      </c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>
        <f>IFERROR(__xludf.DUMMYFUNCTION("""COMPUTED_VALUE"""),2025.0)</f>
        <v>2025</v>
      </c>
      <c r="B234" s="1" t="str">
        <f>IFERROR(__xludf.DUMMYFUNCTION("""COMPUTED_VALUE"""),"16.11-30.11")</f>
        <v>16.11-30.11</v>
      </c>
      <c r="C234" s="2" t="str">
        <f>IFERROR(__xludf.DUMMYFUNCTION("""COMPUTED_VALUE"""),"Оторбаев Бектурган")</f>
        <v>Оторбаев Бектурган</v>
      </c>
      <c r="D234" s="1" t="str">
        <f>IFERROR(__xludf.DUMMYFUNCTION("""COMPUTED_VALUE"""),"79777540107")</f>
        <v>79777540107</v>
      </c>
      <c r="E234" s="3">
        <f>IFERROR(__xludf.DUMMYFUNCTION("""COMPUTED_VALUE"""),57658.0)</f>
        <v>57658</v>
      </c>
      <c r="F234" s="1"/>
      <c r="G234" s="4"/>
      <c r="H234" s="1"/>
      <c r="I234" s="5">
        <f>IFERROR(__xludf.DUMMYFUNCTION("""COMPUTED_VALUE"""),57658.0)</f>
        <v>57658</v>
      </c>
      <c r="J234" s="1" t="str">
        <f>IFERROR(__xludf.DUMMYFUNCTION("""COMPUTED_VALUE"""),"Оплатили")</f>
        <v>Оплатили</v>
      </c>
      <c r="K234" s="1"/>
      <c r="L234" s="1">
        <f>IFERROR(__xludf.DUMMYFUNCTION("""COMPUTED_VALUE"""),5.01220476256E11)</f>
        <v>501220476256</v>
      </c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>
        <f>IFERROR(__xludf.DUMMYFUNCTION("""COMPUTED_VALUE"""),2025.0)</f>
        <v>2025</v>
      </c>
      <c r="B235" s="1" t="str">
        <f>IFERROR(__xludf.DUMMYFUNCTION("""COMPUTED_VALUE"""),"16.11-30.11")</f>
        <v>16.11-30.11</v>
      </c>
      <c r="C235" s="2" t="str">
        <f>IFERROR(__xludf.DUMMYFUNCTION("""COMPUTED_VALUE"""),"Хамзаева Холида")</f>
        <v>Хамзаева Холида</v>
      </c>
      <c r="D235" s="1" t="str">
        <f>IFERROR(__xludf.DUMMYFUNCTION("""COMPUTED_VALUE"""),"79055367294")</f>
        <v>79055367294</v>
      </c>
      <c r="E235" s="3">
        <f>IFERROR(__xludf.DUMMYFUNCTION("""COMPUTED_VALUE"""),36133.0)</f>
        <v>36133</v>
      </c>
      <c r="F235" s="1"/>
      <c r="G235" s="4"/>
      <c r="H235" s="1"/>
      <c r="I235" s="5">
        <f>IFERROR(__xludf.DUMMYFUNCTION("""COMPUTED_VALUE"""),36133.0)</f>
        <v>36133</v>
      </c>
      <c r="J235" s="1" t="str">
        <f>IFERROR(__xludf.DUMMYFUNCTION("""COMPUTED_VALUE"""),"Оплатили")</f>
        <v>Оплатили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>
        <f>IFERROR(__xludf.DUMMYFUNCTION("""COMPUTED_VALUE"""),2025.0)</f>
        <v>2025</v>
      </c>
      <c r="B236" s="1" t="str">
        <f>IFERROR(__xludf.DUMMYFUNCTION("""COMPUTED_VALUE"""),"16.11-30.11")</f>
        <v>16.11-30.11</v>
      </c>
      <c r="C236" s="2" t="str">
        <f>IFERROR(__xludf.DUMMYFUNCTION("""COMPUTED_VALUE"""),"Курманбаева Назиира")</f>
        <v>Курманбаева Назиира</v>
      </c>
      <c r="D236" s="1" t="str">
        <f>IFERROR(__xludf.DUMMYFUNCTION("""COMPUTED_VALUE"""),"79254475417")</f>
        <v>79254475417</v>
      </c>
      <c r="E236" s="3">
        <f>IFERROR(__xludf.DUMMYFUNCTION("""COMPUTED_VALUE"""),25355.0)</f>
        <v>25355</v>
      </c>
      <c r="F236" s="1"/>
      <c r="G236" s="4"/>
      <c r="H236" s="1"/>
      <c r="I236" s="5">
        <f>IFERROR(__xludf.DUMMYFUNCTION("""COMPUTED_VALUE"""),25355.0)</f>
        <v>25355</v>
      </c>
      <c r="J236" s="1" t="str">
        <f>IFERROR(__xludf.DUMMYFUNCTION("""COMPUTED_VALUE"""),"Оплатили")</f>
        <v>Оплатили</v>
      </c>
      <c r="K236" s="1"/>
      <c r="L236" s="1">
        <f>IFERROR(__xludf.DUMMYFUNCTION("""COMPUTED_VALUE"""),7.71487450668E11)</f>
        <v>771487450668</v>
      </c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>
        <f>IFERROR(__xludf.DUMMYFUNCTION("""COMPUTED_VALUE"""),2025.0)</f>
        <v>2025</v>
      </c>
      <c r="B237" s="1" t="str">
        <f>IFERROR(__xludf.DUMMYFUNCTION("""COMPUTED_VALUE"""),"16.11-30.11")</f>
        <v>16.11-30.11</v>
      </c>
      <c r="C237" s="2" t="str">
        <f>IFERROR(__xludf.DUMMYFUNCTION("""COMPUTED_VALUE"""),"Сайдалиев Салмон")</f>
        <v>Сайдалиев Салмон</v>
      </c>
      <c r="D237" s="1" t="str">
        <f>IFERROR(__xludf.DUMMYFUNCTION("""COMPUTED_VALUE"""),"79309826676")</f>
        <v>79309826676</v>
      </c>
      <c r="E237" s="3">
        <f>IFERROR(__xludf.DUMMYFUNCTION("""COMPUTED_VALUE"""),64051.0)</f>
        <v>64051</v>
      </c>
      <c r="F237" s="1"/>
      <c r="G237" s="4"/>
      <c r="H237" s="1"/>
      <c r="I237" s="5">
        <f>IFERROR(__xludf.DUMMYFUNCTION("""COMPUTED_VALUE"""),64051.0)</f>
        <v>64051</v>
      </c>
      <c r="J237" s="1" t="str">
        <f>IFERROR(__xludf.DUMMYFUNCTION("""COMPUTED_VALUE"""),"Оплатили")</f>
        <v>Оплатили</v>
      </c>
      <c r="K237" s="1"/>
      <c r="L237" s="1">
        <f>IFERROR(__xludf.DUMMYFUNCTION("""COMPUTED_VALUE"""),5.00924497331E11)</f>
        <v>500924497331</v>
      </c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>
        <f>IFERROR(__xludf.DUMMYFUNCTION("""COMPUTED_VALUE"""),2025.0)</f>
        <v>2025</v>
      </c>
      <c r="B238" s="1" t="str">
        <f>IFERROR(__xludf.DUMMYFUNCTION("""COMPUTED_VALUE"""),"16.11-30.11")</f>
        <v>16.11-30.11</v>
      </c>
      <c r="C238" s="2" t="str">
        <f>IFERROR(__xludf.DUMMYFUNCTION("""COMPUTED_VALUE"""),"Атаев Иброхим")</f>
        <v>Атаев Иброхим</v>
      </c>
      <c r="D238" s="1" t="str">
        <f>IFERROR(__xludf.DUMMYFUNCTION("""COMPUTED_VALUE"""),"79911875000")</f>
        <v>79911875000</v>
      </c>
      <c r="E238" s="3">
        <f>IFERROR(__xludf.DUMMYFUNCTION("""COMPUTED_VALUE"""),60667.0)</f>
        <v>60667</v>
      </c>
      <c r="F238" s="1"/>
      <c r="G238" s="4"/>
      <c r="H238" s="1"/>
      <c r="I238" s="5">
        <f>IFERROR(__xludf.DUMMYFUNCTION("""COMPUTED_VALUE"""),60667.0)</f>
        <v>60667</v>
      </c>
      <c r="J238" s="1" t="str">
        <f>IFERROR(__xludf.DUMMYFUNCTION("""COMPUTED_VALUE"""),"Оплатили")</f>
        <v>Оплатили</v>
      </c>
      <c r="K238" s="1"/>
      <c r="L238" s="1">
        <f>IFERROR(__xludf.DUMMYFUNCTION("""COMPUTED_VALUE"""),2.46415369245E11)</f>
        <v>246415369245</v>
      </c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>
        <f>IFERROR(__xludf.DUMMYFUNCTION("""COMPUTED_VALUE"""),2025.0)</f>
        <v>2025</v>
      </c>
      <c r="B239" s="1" t="str">
        <f>IFERROR(__xludf.DUMMYFUNCTION("""COMPUTED_VALUE"""),"16.11-30.11")</f>
        <v>16.11-30.11</v>
      </c>
      <c r="C239" s="2" t="str">
        <f>IFERROR(__xludf.DUMMYFUNCTION("""COMPUTED_VALUE"""),"Исмаилов Хусанбой")</f>
        <v>Исмаилов Хусанбой</v>
      </c>
      <c r="D239" s="1" t="str">
        <f>IFERROR(__xludf.DUMMYFUNCTION("""COMPUTED_VALUE"""),"79969888664")</f>
        <v>79969888664</v>
      </c>
      <c r="E239" s="3">
        <f>IFERROR(__xludf.DUMMYFUNCTION("""COMPUTED_VALUE"""),76800.0)</f>
        <v>76800</v>
      </c>
      <c r="F239" s="1"/>
      <c r="G239" s="4"/>
      <c r="H239" s="1"/>
      <c r="I239" s="5">
        <f>IFERROR(__xludf.DUMMYFUNCTION("""COMPUTED_VALUE"""),76800.0)</f>
        <v>76800</v>
      </c>
      <c r="J239" s="1" t="str">
        <f>IFERROR(__xludf.DUMMYFUNCTION("""COMPUTED_VALUE"""),"Оплатили")</f>
        <v>Оплатили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>
        <f>IFERROR(__xludf.DUMMYFUNCTION("""COMPUTED_VALUE"""),2025.0)</f>
        <v>2025</v>
      </c>
      <c r="B240" s="1" t="str">
        <f>IFERROR(__xludf.DUMMYFUNCTION("""COMPUTED_VALUE"""),"16.11-30.11")</f>
        <v>16.11-30.11</v>
      </c>
      <c r="C240" s="2" t="str">
        <f>IFERROR(__xludf.DUMMYFUNCTION("""COMPUTED_VALUE"""),"Сулейманов Санжар")</f>
        <v>Сулейманов Санжар</v>
      </c>
      <c r="D240" s="1" t="str">
        <f>IFERROR(__xludf.DUMMYFUNCTION("""COMPUTED_VALUE"""),"79313709033")</f>
        <v>79313709033</v>
      </c>
      <c r="E240" s="3">
        <f>IFERROR(__xludf.DUMMYFUNCTION("""COMPUTED_VALUE"""),93430.0)</f>
        <v>93430</v>
      </c>
      <c r="F240" s="1"/>
      <c r="G240" s="4"/>
      <c r="H240" s="1"/>
      <c r="I240" s="5">
        <f>IFERROR(__xludf.DUMMYFUNCTION("""COMPUTED_VALUE"""),93430.0)</f>
        <v>93430</v>
      </c>
      <c r="J240" s="1" t="str">
        <f>IFERROR(__xludf.DUMMYFUNCTION("""COMPUTED_VALUE"""),"Оплатили")</f>
        <v>Оплатили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>
        <f>IFERROR(__xludf.DUMMYFUNCTION("""COMPUTED_VALUE"""),2025.0)</f>
        <v>2025</v>
      </c>
      <c r="B241" s="1" t="str">
        <f>IFERROR(__xludf.DUMMYFUNCTION("""COMPUTED_VALUE"""),"16.11-30.11")</f>
        <v>16.11-30.11</v>
      </c>
      <c r="C241" s="2" t="str">
        <f>IFERROR(__xludf.DUMMYFUNCTION("""COMPUTED_VALUE"""),"Абдурахманов Улугбек")</f>
        <v>Абдурахманов Улугбек</v>
      </c>
      <c r="D241" s="1" t="str">
        <f>IFERROR(__xludf.DUMMYFUNCTION("""COMPUTED_VALUE"""),"79691382161")</f>
        <v>79691382161</v>
      </c>
      <c r="E241" s="3">
        <f>IFERROR(__xludf.DUMMYFUNCTION("""COMPUTED_VALUE"""),67500.0)</f>
        <v>67500</v>
      </c>
      <c r="F241" s="1"/>
      <c r="G241" s="4"/>
      <c r="H241" s="1"/>
      <c r="I241" s="5">
        <f>IFERROR(__xludf.DUMMYFUNCTION("""COMPUTED_VALUE"""),67500.0)</f>
        <v>67500</v>
      </c>
      <c r="J241" s="1" t="str">
        <f>IFERROR(__xludf.DUMMYFUNCTION("""COMPUTED_VALUE"""),"Оплатили")</f>
        <v>Оплатили</v>
      </c>
      <c r="K241" s="1"/>
      <c r="L241" s="1">
        <f>IFERROR(__xludf.DUMMYFUNCTION("""COMPUTED_VALUE"""),4.02513629575E11)</f>
        <v>402513629575</v>
      </c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>
        <f>IFERROR(__xludf.DUMMYFUNCTION("""COMPUTED_VALUE"""),2025.0)</f>
        <v>2025</v>
      </c>
      <c r="B242" s="1" t="str">
        <f>IFERROR(__xludf.DUMMYFUNCTION("""COMPUTED_VALUE"""),"16.11-30.11")</f>
        <v>16.11-30.11</v>
      </c>
      <c r="C242" s="2" t="str">
        <f>IFERROR(__xludf.DUMMYFUNCTION("""COMPUTED_VALUE"""),"Зиятова Комила")</f>
        <v>Зиятова Комила</v>
      </c>
      <c r="D242" s="1" t="str">
        <f>IFERROR(__xludf.DUMMYFUNCTION("""COMPUTED_VALUE"""),"79969818788")</f>
        <v>79969818788</v>
      </c>
      <c r="E242" s="3">
        <f>IFERROR(__xludf.DUMMYFUNCTION("""COMPUTED_VALUE"""),46200.0)</f>
        <v>46200</v>
      </c>
      <c r="F242" s="1"/>
      <c r="G242" s="4"/>
      <c r="H242" s="1"/>
      <c r="I242" s="5">
        <f>IFERROR(__xludf.DUMMYFUNCTION("""COMPUTED_VALUE"""),46200.0)</f>
        <v>46200</v>
      </c>
      <c r="J242" s="1" t="str">
        <f>IFERROR(__xludf.DUMMYFUNCTION("""COMPUTED_VALUE"""),"Оплатили")</f>
        <v>Оплатили</v>
      </c>
      <c r="K242" s="1"/>
      <c r="L242" s="1">
        <f>IFERROR(__xludf.DUMMYFUNCTION("""COMPUTED_VALUE"""),7.81160795068E11)</f>
        <v>781160795068</v>
      </c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>
        <f>IFERROR(__xludf.DUMMYFUNCTION("""COMPUTED_VALUE"""),2025.0)</f>
        <v>2025</v>
      </c>
      <c r="B243" s="1" t="str">
        <f>IFERROR(__xludf.DUMMYFUNCTION("""COMPUTED_VALUE"""),"16.11-30.11")</f>
        <v>16.11-30.11</v>
      </c>
      <c r="C243" s="2" t="str">
        <f>IFERROR(__xludf.DUMMYFUNCTION("""COMPUTED_VALUE"""),"Мухидинова Ирода")</f>
        <v>Мухидинова Ирода</v>
      </c>
      <c r="D243" s="1" t="str">
        <f>IFERROR(__xludf.DUMMYFUNCTION("""COMPUTED_VALUE"""),"79055847717")</f>
        <v>79055847717</v>
      </c>
      <c r="E243" s="3">
        <f>IFERROR(__xludf.DUMMYFUNCTION("""COMPUTED_VALUE"""),47600.0)</f>
        <v>47600</v>
      </c>
      <c r="F243" s="1"/>
      <c r="G243" s="4"/>
      <c r="H243" s="1"/>
      <c r="I243" s="5">
        <f>IFERROR(__xludf.DUMMYFUNCTION("""COMPUTED_VALUE"""),47600.0)</f>
        <v>47600</v>
      </c>
      <c r="J243" s="1" t="str">
        <f>IFERROR(__xludf.DUMMYFUNCTION("""COMPUTED_VALUE"""),"Оплатили")</f>
        <v>Оплатили</v>
      </c>
      <c r="K243" s="1"/>
      <c r="L243" s="1">
        <f>IFERROR(__xludf.DUMMYFUNCTION("""COMPUTED_VALUE"""),7.7242950104E11)</f>
        <v>772429501040</v>
      </c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>
        <f>IFERROR(__xludf.DUMMYFUNCTION("""COMPUTED_VALUE"""),2025.0)</f>
        <v>2025</v>
      </c>
      <c r="B244" s="1" t="str">
        <f>IFERROR(__xludf.DUMMYFUNCTION("""COMPUTED_VALUE"""),"16.11-30.11")</f>
        <v>16.11-30.11</v>
      </c>
      <c r="C244" s="2" t="str">
        <f>IFERROR(__xludf.DUMMYFUNCTION("""COMPUTED_VALUE"""),"Камилова Юлдузхан")</f>
        <v>Камилова Юлдузхан</v>
      </c>
      <c r="D244" s="1" t="str">
        <f>IFERROR(__xludf.DUMMYFUNCTION("""COMPUTED_VALUE"""),"79969909192")</f>
        <v>79969909192</v>
      </c>
      <c r="E244" s="3">
        <f>IFERROR(__xludf.DUMMYFUNCTION("""COMPUTED_VALUE"""),6400.0)</f>
        <v>6400</v>
      </c>
      <c r="F244" s="1"/>
      <c r="G244" s="4"/>
      <c r="H244" s="1"/>
      <c r="I244" s="5">
        <f>IFERROR(__xludf.DUMMYFUNCTION("""COMPUTED_VALUE"""),6400.0)</f>
        <v>6400</v>
      </c>
      <c r="J244" s="1" t="str">
        <f>IFERROR(__xludf.DUMMYFUNCTION("""COMPUTED_VALUE"""),"Оплатили")</f>
        <v>Оплатили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>
        <f>IFERROR(__xludf.DUMMYFUNCTION("""COMPUTED_VALUE"""),2025.0)</f>
        <v>2025</v>
      </c>
      <c r="B245" s="1" t="str">
        <f>IFERROR(__xludf.DUMMYFUNCTION("""COMPUTED_VALUE"""),"16.11-30.11")</f>
        <v>16.11-30.11</v>
      </c>
      <c r="C245" s="2" t="str">
        <f>IFERROR(__xludf.DUMMYFUNCTION("""COMPUTED_VALUE"""),"Нематова Мархабо")</f>
        <v>Нематова Мархабо</v>
      </c>
      <c r="D245" s="1" t="str">
        <f>IFERROR(__xludf.DUMMYFUNCTION("""COMPUTED_VALUE"""),"79955575643")</f>
        <v>79955575643</v>
      </c>
      <c r="E245" s="3">
        <f>IFERROR(__xludf.DUMMYFUNCTION("""COMPUTED_VALUE"""),34933.0)</f>
        <v>34933</v>
      </c>
      <c r="F245" s="1"/>
      <c r="G245" s="4"/>
      <c r="H245" s="1"/>
      <c r="I245" s="5">
        <f>IFERROR(__xludf.DUMMYFUNCTION("""COMPUTED_VALUE"""),34933.0)</f>
        <v>34933</v>
      </c>
      <c r="J245" s="1" t="str">
        <f>IFERROR(__xludf.DUMMYFUNCTION("""COMPUTED_VALUE"""),"Оплатили")</f>
        <v>Оплатили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>
        <f>IFERROR(__xludf.DUMMYFUNCTION("""COMPUTED_VALUE"""),2025.0)</f>
        <v>2025</v>
      </c>
      <c r="B246" s="1" t="str">
        <f>IFERROR(__xludf.DUMMYFUNCTION("""COMPUTED_VALUE"""),"16.11-30.11")</f>
        <v>16.11-30.11</v>
      </c>
      <c r="C246" s="2" t="str">
        <f>IFERROR(__xludf.DUMMYFUNCTION("""COMPUTED_VALUE"""),"Саида")</f>
        <v>Саида</v>
      </c>
      <c r="D246" s="1" t="str">
        <f>IFERROR(__xludf.DUMMYFUNCTION("""COMPUTED_VALUE"""),"79940963498")</f>
        <v>79940963498</v>
      </c>
      <c r="E246" s="3">
        <f>IFERROR(__xludf.DUMMYFUNCTION("""COMPUTED_VALUE"""),18000.0)</f>
        <v>18000</v>
      </c>
      <c r="F246" s="1"/>
      <c r="G246" s="4"/>
      <c r="H246" s="1"/>
      <c r="I246" s="5">
        <f>IFERROR(__xludf.DUMMYFUNCTION("""COMPUTED_VALUE"""),18000.0)</f>
        <v>18000</v>
      </c>
      <c r="J246" s="1" t="str">
        <f>IFERROR(__xludf.DUMMYFUNCTION("""COMPUTED_VALUE"""),"Оплатили")</f>
        <v>Оплатили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>
        <f>IFERROR(__xludf.DUMMYFUNCTION("""COMPUTED_VALUE"""),2025.0)</f>
        <v>2025</v>
      </c>
      <c r="B247" s="1" t="str">
        <f>IFERROR(__xludf.DUMMYFUNCTION("""COMPUTED_VALUE"""),"16.11-30.11")</f>
        <v>16.11-30.11</v>
      </c>
      <c r="C247" s="2" t="str">
        <f>IFERROR(__xludf.DUMMYFUNCTION("""COMPUTED_VALUE"""),"Холбаева Феруза")</f>
        <v>Холбаева Феруза</v>
      </c>
      <c r="D247" s="1" t="str">
        <f>IFERROR(__xludf.DUMMYFUNCTION("""COMPUTED_VALUE"""),"79694901782")</f>
        <v>79694901782</v>
      </c>
      <c r="E247" s="3">
        <f>IFERROR(__xludf.DUMMYFUNCTION("""COMPUTED_VALUE"""),54667.0)</f>
        <v>54667</v>
      </c>
      <c r="F247" s="1"/>
      <c r="G247" s="4"/>
      <c r="H247" s="1"/>
      <c r="I247" s="5">
        <f>IFERROR(__xludf.DUMMYFUNCTION("""COMPUTED_VALUE"""),54667.0)</f>
        <v>54667</v>
      </c>
      <c r="J247" s="1" t="str">
        <f>IFERROR(__xludf.DUMMYFUNCTION("""COMPUTED_VALUE"""),"Оплатили")</f>
        <v>Оплатили</v>
      </c>
      <c r="K247" s="1"/>
      <c r="L247" s="1">
        <f>IFERROR(__xludf.DUMMYFUNCTION("""COMPUTED_VALUE"""),7.81724641498E11)</f>
        <v>781724641498</v>
      </c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>
        <f>IFERROR(__xludf.DUMMYFUNCTION("""COMPUTED_VALUE"""),2025.0)</f>
        <v>2025</v>
      </c>
      <c r="B248" s="1" t="str">
        <f>IFERROR(__xludf.DUMMYFUNCTION("""COMPUTED_VALUE"""),"16.11-30.11")</f>
        <v>16.11-30.11</v>
      </c>
      <c r="C248" s="2" t="str">
        <f>IFERROR(__xludf.DUMMYFUNCTION("""COMPUTED_VALUE"""),"Дустназарзода Джавлонбек")</f>
        <v>Дустназарзода Джавлонбек</v>
      </c>
      <c r="D248" s="1" t="str">
        <f>IFERROR(__xludf.DUMMYFUNCTION("""COMPUTED_VALUE"""),"79774431553")</f>
        <v>79774431553</v>
      </c>
      <c r="E248" s="3">
        <f>IFERROR(__xludf.DUMMYFUNCTION("""COMPUTED_VALUE"""),56000.0)</f>
        <v>56000</v>
      </c>
      <c r="F248" s="1"/>
      <c r="G248" s="4"/>
      <c r="H248" s="1"/>
      <c r="I248" s="5">
        <f>IFERROR(__xludf.DUMMYFUNCTION("""COMPUTED_VALUE"""),56000.0)</f>
        <v>56000</v>
      </c>
      <c r="J248" s="1" t="str">
        <f>IFERROR(__xludf.DUMMYFUNCTION("""COMPUTED_VALUE"""),"Оплатили")</f>
        <v>Оплатили</v>
      </c>
      <c r="K248" s="1"/>
      <c r="L248" s="1">
        <f>IFERROR(__xludf.DUMMYFUNCTION("""COMPUTED_VALUE"""),5.04726268129E11)</f>
        <v>504726268129</v>
      </c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>
        <f>IFERROR(__xludf.DUMMYFUNCTION("""COMPUTED_VALUE"""),2025.0)</f>
        <v>2025</v>
      </c>
      <c r="B249" s="1" t="str">
        <f>IFERROR(__xludf.DUMMYFUNCTION("""COMPUTED_VALUE"""),"16.11-30.11")</f>
        <v>16.11-30.11</v>
      </c>
      <c r="C249" s="2" t="str">
        <f>IFERROR(__xludf.DUMMYFUNCTION("""COMPUTED_VALUE"""),"Рахимов Некбахт")</f>
        <v>Рахимов Некбахт</v>
      </c>
      <c r="D249" s="1" t="str">
        <f>IFERROR(__xludf.DUMMYFUNCTION("""COMPUTED_VALUE"""),"79890499153")</f>
        <v>79890499153</v>
      </c>
      <c r="E249" s="3">
        <f>IFERROR(__xludf.DUMMYFUNCTION("""COMPUTED_VALUE"""),52500.0)</f>
        <v>52500</v>
      </c>
      <c r="F249" s="1"/>
      <c r="G249" s="4"/>
      <c r="H249" s="1"/>
      <c r="I249" s="5">
        <f>IFERROR(__xludf.DUMMYFUNCTION("""COMPUTED_VALUE"""),52500.0)</f>
        <v>52500</v>
      </c>
      <c r="J249" s="1" t="str">
        <f>IFERROR(__xludf.DUMMYFUNCTION("""COMPUTED_VALUE"""),"Оплатили")</f>
        <v>Оплатили</v>
      </c>
      <c r="K249" s="1"/>
      <c r="L249" s="1">
        <f>IFERROR(__xludf.DUMMYFUNCTION("""COMPUTED_VALUE"""),7.72281929709E11)</f>
        <v>772281929709</v>
      </c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>
        <f>IFERROR(__xludf.DUMMYFUNCTION("""COMPUTED_VALUE"""),2025.0)</f>
        <v>2025</v>
      </c>
      <c r="B250" s="1" t="str">
        <f>IFERROR(__xludf.DUMMYFUNCTION("""COMPUTED_VALUE"""),"16.11-30.11")</f>
        <v>16.11-30.11</v>
      </c>
      <c r="C250" s="2" t="str">
        <f>IFERROR(__xludf.DUMMYFUNCTION("""COMPUTED_VALUE"""),"Акбарова Зылола")</f>
        <v>Акбарова Зылола</v>
      </c>
      <c r="D250" s="1" t="str">
        <f>IFERROR(__xludf.DUMMYFUNCTION("""COMPUTED_VALUE"""),"79912261183")</f>
        <v>79912261183</v>
      </c>
      <c r="E250" s="3">
        <f>IFERROR(__xludf.DUMMYFUNCTION("""COMPUTED_VALUE"""),55500.0)</f>
        <v>55500</v>
      </c>
      <c r="F250" s="1"/>
      <c r="G250" s="4"/>
      <c r="H250" s="1"/>
      <c r="I250" s="5">
        <f>IFERROR(__xludf.DUMMYFUNCTION("""COMPUTED_VALUE"""),55500.0)</f>
        <v>55500</v>
      </c>
      <c r="J250" s="1" t="str">
        <f>IFERROR(__xludf.DUMMYFUNCTION("""COMPUTED_VALUE"""),"Оплатили")</f>
        <v>Оплатили</v>
      </c>
      <c r="K250" s="1"/>
      <c r="L250" s="1">
        <f>IFERROR(__xludf.DUMMYFUNCTION("""COMPUTED_VALUE"""),5.0423296544E11)</f>
        <v>504232965440</v>
      </c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>
        <f>IFERROR(__xludf.DUMMYFUNCTION("""COMPUTED_VALUE"""),2025.0)</f>
        <v>2025</v>
      </c>
      <c r="B251" s="1" t="str">
        <f>IFERROR(__xludf.DUMMYFUNCTION("""COMPUTED_VALUE"""),"16.11-30.11")</f>
        <v>16.11-30.11</v>
      </c>
      <c r="C251" s="2" t="str">
        <f>IFERROR(__xludf.DUMMYFUNCTION("""COMPUTED_VALUE"""),"Тураева Райхон")</f>
        <v>Тураева Райхон</v>
      </c>
      <c r="D251" s="1" t="str">
        <f>IFERROR(__xludf.DUMMYFUNCTION("""COMPUTED_VALUE"""),"79776109620")</f>
        <v>79776109620</v>
      </c>
      <c r="E251" s="3">
        <f>IFERROR(__xludf.DUMMYFUNCTION("""COMPUTED_VALUE"""),49400.0)</f>
        <v>49400</v>
      </c>
      <c r="F251" s="1"/>
      <c r="G251" s="4"/>
      <c r="H251" s="1"/>
      <c r="I251" s="5">
        <f>IFERROR(__xludf.DUMMYFUNCTION("""COMPUTED_VALUE"""),49400.0)</f>
        <v>49400</v>
      </c>
      <c r="J251" s="1" t="str">
        <f>IFERROR(__xludf.DUMMYFUNCTION("""COMPUTED_VALUE"""),"Оплатили")</f>
        <v>Оплатили</v>
      </c>
      <c r="K251" s="1"/>
      <c r="L251" s="1">
        <f>IFERROR(__xludf.DUMMYFUNCTION("""COMPUTED_VALUE"""),5.0072713242E11)</f>
        <v>500727132420</v>
      </c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>
        <f>IFERROR(__xludf.DUMMYFUNCTION("""COMPUTED_VALUE"""),2025.0)</f>
        <v>2025</v>
      </c>
      <c r="B252" s="1" t="str">
        <f>IFERROR(__xludf.DUMMYFUNCTION("""COMPUTED_VALUE"""),"16.11-30.11")</f>
        <v>16.11-30.11</v>
      </c>
      <c r="C252" s="2" t="str">
        <f>IFERROR(__xludf.DUMMYFUNCTION("""COMPUTED_VALUE"""),"Рахимов Сафарали")</f>
        <v>Рахимов Сафарали</v>
      </c>
      <c r="D252" s="1" t="str">
        <f>IFERROR(__xludf.DUMMYFUNCTION("""COMPUTED_VALUE"""),"79776437403")</f>
        <v>79776437403</v>
      </c>
      <c r="E252" s="3">
        <f>IFERROR(__xludf.DUMMYFUNCTION("""COMPUTED_VALUE"""),60000.0)</f>
        <v>60000</v>
      </c>
      <c r="F252" s="1"/>
      <c r="G252" s="4"/>
      <c r="H252" s="1"/>
      <c r="I252" s="5">
        <f>IFERROR(__xludf.DUMMYFUNCTION("""COMPUTED_VALUE"""),60000.0)</f>
        <v>60000</v>
      </c>
      <c r="J252" s="1" t="str">
        <f>IFERROR(__xludf.DUMMYFUNCTION("""COMPUTED_VALUE"""),"Оплатили")</f>
        <v>Оплатили</v>
      </c>
      <c r="K252" s="1"/>
      <c r="L252" s="1">
        <f>IFERROR(__xludf.DUMMYFUNCTION("""COMPUTED_VALUE"""),7.70979908855E11)</f>
        <v>770979908855</v>
      </c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>
        <f>IFERROR(__xludf.DUMMYFUNCTION("""COMPUTED_VALUE"""),2025.0)</f>
        <v>2025</v>
      </c>
      <c r="B253" s="1" t="str">
        <f>IFERROR(__xludf.DUMMYFUNCTION("""COMPUTED_VALUE"""),"16.11-30.11")</f>
        <v>16.11-30.11</v>
      </c>
      <c r="C253" s="2" t="str">
        <f>IFERROR(__xludf.DUMMYFUNCTION("""COMPUTED_VALUE"""),"Рахматуллаев Мухаммад")</f>
        <v>Рахматуллаев Мухаммад</v>
      </c>
      <c r="D253" s="1" t="str">
        <f>IFERROR(__xludf.DUMMYFUNCTION("""COMPUTED_VALUE"""),"79662669660")</f>
        <v>79662669660</v>
      </c>
      <c r="E253" s="3">
        <f>IFERROR(__xludf.DUMMYFUNCTION("""COMPUTED_VALUE"""),57000.0)</f>
        <v>57000</v>
      </c>
      <c r="F253" s="1"/>
      <c r="G253" s="4"/>
      <c r="H253" s="1"/>
      <c r="I253" s="5">
        <f>IFERROR(__xludf.DUMMYFUNCTION("""COMPUTED_VALUE"""),57000.0)</f>
        <v>57000</v>
      </c>
      <c r="J253" s="1" t="str">
        <f>IFERROR(__xludf.DUMMYFUNCTION("""COMPUTED_VALUE"""),"Оплатили")</f>
        <v>Оплатили</v>
      </c>
      <c r="K253" s="1"/>
      <c r="L253" s="1">
        <f>IFERROR(__xludf.DUMMYFUNCTION("""COMPUTED_VALUE"""),7.75175953769E11)</f>
        <v>775175953769</v>
      </c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>
        <f>IFERROR(__xludf.DUMMYFUNCTION("""COMPUTED_VALUE"""),2025.0)</f>
        <v>2025</v>
      </c>
      <c r="B254" s="1" t="str">
        <f>IFERROR(__xludf.DUMMYFUNCTION("""COMPUTED_VALUE"""),"16.11-30.11")</f>
        <v>16.11-30.11</v>
      </c>
      <c r="C254" s="2" t="str">
        <f>IFERROR(__xludf.DUMMYFUNCTION("""COMPUTED_VALUE"""),"Сайдуллаев Музаффар")</f>
        <v>Сайдуллаев Музаффар</v>
      </c>
      <c r="D254" s="1" t="str">
        <f>IFERROR(__xludf.DUMMYFUNCTION("""COMPUTED_VALUE"""),"79997977857")</f>
        <v>79997977857</v>
      </c>
      <c r="E254" s="3">
        <f>IFERROR(__xludf.DUMMYFUNCTION("""COMPUTED_VALUE"""),55500.0)</f>
        <v>55500</v>
      </c>
      <c r="F254" s="1"/>
      <c r="G254" s="4"/>
      <c r="H254" s="1"/>
      <c r="I254" s="5">
        <f>IFERROR(__xludf.DUMMYFUNCTION("""COMPUTED_VALUE"""),55500.0)</f>
        <v>55500</v>
      </c>
      <c r="J254" s="1" t="str">
        <f>IFERROR(__xludf.DUMMYFUNCTION("""COMPUTED_VALUE"""),"Оплатили")</f>
        <v>Оплатили</v>
      </c>
      <c r="K254" s="1"/>
      <c r="L254" s="1">
        <f>IFERROR(__xludf.DUMMYFUNCTION("""COMPUTED_VALUE"""),7.75123675454E11)</f>
        <v>775123675454</v>
      </c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>
        <f>IFERROR(__xludf.DUMMYFUNCTION("""COMPUTED_VALUE"""),2025.0)</f>
        <v>2025</v>
      </c>
      <c r="B255" s="1" t="str">
        <f>IFERROR(__xludf.DUMMYFUNCTION("""COMPUTED_VALUE"""),"16.11-30.11")</f>
        <v>16.11-30.11</v>
      </c>
      <c r="C255" s="2" t="str">
        <f>IFERROR(__xludf.DUMMYFUNCTION("""COMPUTED_VALUE"""),"Муратова Алие")</f>
        <v>Муратова Алие</v>
      </c>
      <c r="D255" s="1" t="str">
        <f>IFERROR(__xludf.DUMMYFUNCTION("""COMPUTED_VALUE"""),"79129707604")</f>
        <v>79129707604</v>
      </c>
      <c r="E255" s="3">
        <f>IFERROR(__xludf.DUMMYFUNCTION("""COMPUTED_VALUE"""),46200.0)</f>
        <v>46200</v>
      </c>
      <c r="F255" s="1"/>
      <c r="G255" s="4"/>
      <c r="H255" s="1"/>
      <c r="I255" s="5">
        <f>IFERROR(__xludf.DUMMYFUNCTION("""COMPUTED_VALUE"""),46200.0)</f>
        <v>46200</v>
      </c>
      <c r="J255" s="1" t="str">
        <f>IFERROR(__xludf.DUMMYFUNCTION("""COMPUTED_VALUE"""),"Оплатили")</f>
        <v>Оплатили</v>
      </c>
      <c r="K255" s="1"/>
      <c r="L255" s="1">
        <f>IFERROR(__xludf.DUMMYFUNCTION("""COMPUTED_VALUE"""),2.30412983604E11)</f>
        <v>230412983604</v>
      </c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>
        <f>IFERROR(__xludf.DUMMYFUNCTION("""COMPUTED_VALUE"""),2025.0)</f>
        <v>2025</v>
      </c>
      <c r="B256" s="1" t="str">
        <f>IFERROR(__xludf.DUMMYFUNCTION("""COMPUTED_VALUE"""),"16.11-30.11")</f>
        <v>16.11-30.11</v>
      </c>
      <c r="C256" s="2" t="str">
        <f>IFERROR(__xludf.DUMMYFUNCTION("""COMPUTED_VALUE"""),"Рахимова Нигора")</f>
        <v>Рахимова Нигора</v>
      </c>
      <c r="D256" s="1" t="str">
        <f>IFERROR(__xludf.DUMMYFUNCTION("""COMPUTED_VALUE"""),"79032802321")</f>
        <v>79032802321</v>
      </c>
      <c r="E256" s="3">
        <f>IFERROR(__xludf.DUMMYFUNCTION("""COMPUTED_VALUE"""),42900.0)</f>
        <v>42900</v>
      </c>
      <c r="F256" s="1"/>
      <c r="G256" s="4"/>
      <c r="H256" s="1"/>
      <c r="I256" s="5">
        <f>IFERROR(__xludf.DUMMYFUNCTION("""COMPUTED_VALUE"""),42900.0)</f>
        <v>42900</v>
      </c>
      <c r="J256" s="1" t="str">
        <f>IFERROR(__xludf.DUMMYFUNCTION("""COMPUTED_VALUE"""),"Оплатили")</f>
        <v>Оплатили</v>
      </c>
      <c r="K256" s="1"/>
      <c r="L256" s="1">
        <f>IFERROR(__xludf.DUMMYFUNCTION("""COMPUTED_VALUE"""),7.7515166163E11)</f>
        <v>775151661630</v>
      </c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>
        <f>IFERROR(__xludf.DUMMYFUNCTION("""COMPUTED_VALUE"""),2025.0)</f>
        <v>2025</v>
      </c>
      <c r="B257" s="1" t="str">
        <f>IFERROR(__xludf.DUMMYFUNCTION("""COMPUTED_VALUE"""),"16.11-30.11")</f>
        <v>16.11-30.11</v>
      </c>
      <c r="C257" s="2" t="str">
        <f>IFERROR(__xludf.DUMMYFUNCTION("""COMPUTED_VALUE"""),"Нурбаева Умеда")</f>
        <v>Нурбаева Умеда</v>
      </c>
      <c r="D257" s="1" t="str">
        <f>IFERROR(__xludf.DUMMYFUNCTION("""COMPUTED_VALUE"""),"79250388417")</f>
        <v>79250388417</v>
      </c>
      <c r="E257" s="3">
        <f>IFERROR(__xludf.DUMMYFUNCTION("""COMPUTED_VALUE"""),53200.0)</f>
        <v>53200</v>
      </c>
      <c r="F257" s="1"/>
      <c r="G257" s="4"/>
      <c r="H257" s="1"/>
      <c r="I257" s="5">
        <f>IFERROR(__xludf.DUMMYFUNCTION("""COMPUTED_VALUE"""),53200.0)</f>
        <v>53200</v>
      </c>
      <c r="J257" s="1" t="str">
        <f>IFERROR(__xludf.DUMMYFUNCTION("""COMPUTED_VALUE"""),"Оплатили")</f>
        <v>Оплатили</v>
      </c>
      <c r="K257" s="1"/>
      <c r="L257" s="1">
        <f>IFERROR(__xludf.DUMMYFUNCTION("""COMPUTED_VALUE"""),9.71521363276E11)</f>
        <v>971521363276</v>
      </c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>
        <f>IFERROR(__xludf.DUMMYFUNCTION("""COMPUTED_VALUE"""),2025.0)</f>
        <v>2025</v>
      </c>
      <c r="B258" s="1" t="str">
        <f>IFERROR(__xludf.DUMMYFUNCTION("""COMPUTED_VALUE"""),"16.11-30.11")</f>
        <v>16.11-30.11</v>
      </c>
      <c r="C258" s="2" t="str">
        <f>IFERROR(__xludf.DUMMYFUNCTION("""COMPUTED_VALUE"""),"Ходжаев Мухаммад")</f>
        <v>Ходжаев Мухаммад</v>
      </c>
      <c r="D258" s="1" t="str">
        <f>IFERROR(__xludf.DUMMYFUNCTION("""COMPUTED_VALUE"""),"79851400399")</f>
        <v>79851400399</v>
      </c>
      <c r="E258" s="3">
        <f>IFERROR(__xludf.DUMMYFUNCTION("""COMPUTED_VALUE"""),45500.0)</f>
        <v>45500</v>
      </c>
      <c r="F258" s="1"/>
      <c r="G258" s="4"/>
      <c r="H258" s="1"/>
      <c r="I258" s="5">
        <f>IFERROR(__xludf.DUMMYFUNCTION("""COMPUTED_VALUE"""),45500.0)</f>
        <v>45500</v>
      </c>
      <c r="J258" s="1" t="str">
        <f>IFERROR(__xludf.DUMMYFUNCTION("""COMPUTED_VALUE"""),"Оплатили")</f>
        <v>Оплатили</v>
      </c>
      <c r="K258" s="1"/>
      <c r="L258" s="1">
        <f>IFERROR(__xludf.DUMMYFUNCTION("""COMPUTED_VALUE"""),7.7515935605E11)</f>
        <v>775159356050</v>
      </c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>
        <f>IFERROR(__xludf.DUMMYFUNCTION("""COMPUTED_VALUE"""),2025.0)</f>
        <v>2025</v>
      </c>
      <c r="B259" s="1" t="str">
        <f>IFERROR(__xludf.DUMMYFUNCTION("""COMPUTED_VALUE"""),"16.11-30.11")</f>
        <v>16.11-30.11</v>
      </c>
      <c r="C259" s="2" t="str">
        <f>IFERROR(__xludf.DUMMYFUNCTION("""COMPUTED_VALUE"""),"Камолзода Саидабону")</f>
        <v>Камолзода Саидабону</v>
      </c>
      <c r="D259" s="1" t="str">
        <f>IFERROR(__xludf.DUMMYFUNCTION("""COMPUTED_VALUE"""),"79776328956")</f>
        <v>79776328956</v>
      </c>
      <c r="E259" s="3">
        <f>IFERROR(__xludf.DUMMYFUNCTION("""COMPUTED_VALUE"""),55000.0)</f>
        <v>55000</v>
      </c>
      <c r="F259" s="1"/>
      <c r="G259" s="4"/>
      <c r="H259" s="1"/>
      <c r="I259" s="5">
        <f>IFERROR(__xludf.DUMMYFUNCTION("""COMPUTED_VALUE"""),55000.0)</f>
        <v>55000</v>
      </c>
      <c r="J259" s="1" t="str">
        <f>IFERROR(__xludf.DUMMYFUNCTION("""COMPUTED_VALUE"""),"Оплатили")</f>
        <v>Оплатили</v>
      </c>
      <c r="K259" s="1"/>
      <c r="L259" s="1">
        <f>IFERROR(__xludf.DUMMYFUNCTION("""COMPUTED_VALUE"""),7.72844070731E11)</f>
        <v>772844070731</v>
      </c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>
        <f>IFERROR(__xludf.DUMMYFUNCTION("""COMPUTED_VALUE"""),2025.0)</f>
        <v>2025</v>
      </c>
      <c r="B260" s="1" t="str">
        <f>IFERROR(__xludf.DUMMYFUNCTION("""COMPUTED_VALUE"""),"16.11-30.11")</f>
        <v>16.11-30.11</v>
      </c>
      <c r="C260" s="2" t="str">
        <f>IFERROR(__xludf.DUMMYFUNCTION("""COMPUTED_VALUE"""),"Холмирзаев Сахиб")</f>
        <v>Холмирзаев Сахиб</v>
      </c>
      <c r="D260" s="1" t="str">
        <f>IFERROR(__xludf.DUMMYFUNCTION("""COMPUTED_VALUE"""),"79969750701")</f>
        <v>79969750701</v>
      </c>
      <c r="E260" s="3">
        <f>IFERROR(__xludf.DUMMYFUNCTION("""COMPUTED_VALUE"""),46667.0)</f>
        <v>46667</v>
      </c>
      <c r="F260" s="1"/>
      <c r="G260" s="4"/>
      <c r="H260" s="1"/>
      <c r="I260" s="5">
        <f>IFERROR(__xludf.DUMMYFUNCTION("""COMPUTED_VALUE"""),46667.0)</f>
        <v>46667</v>
      </c>
      <c r="J260" s="1" t="str">
        <f>IFERROR(__xludf.DUMMYFUNCTION("""COMPUTED_VALUE"""),"Оплатили")</f>
        <v>Оплатили</v>
      </c>
      <c r="K260" s="1"/>
      <c r="L260" s="1">
        <f>IFERROR(__xludf.DUMMYFUNCTION("""COMPUTED_VALUE"""),7.84210910349E11)</f>
        <v>784210910349</v>
      </c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>
        <f>IFERROR(__xludf.DUMMYFUNCTION("""COMPUTED_VALUE"""),2025.0)</f>
        <v>2025</v>
      </c>
      <c r="B261" s="1" t="str">
        <f>IFERROR(__xludf.DUMMYFUNCTION("""COMPUTED_VALUE"""),"16.11-30.11")</f>
        <v>16.11-30.11</v>
      </c>
      <c r="C261" s="2" t="str">
        <f>IFERROR(__xludf.DUMMYFUNCTION("""COMPUTED_VALUE"""),"Джуманиязова Саида")</f>
        <v>Джуманиязова Саида</v>
      </c>
      <c r="D261" s="1" t="str">
        <f>IFERROR(__xludf.DUMMYFUNCTION("""COMPUTED_VALUE"""),"79686192625")</f>
        <v>79686192625</v>
      </c>
      <c r="E261" s="3">
        <f>IFERROR(__xludf.DUMMYFUNCTION("""COMPUTED_VALUE"""),56667.0)</f>
        <v>56667</v>
      </c>
      <c r="F261" s="1"/>
      <c r="G261" s="4"/>
      <c r="H261" s="1"/>
      <c r="I261" s="5">
        <f>IFERROR(__xludf.DUMMYFUNCTION("""COMPUTED_VALUE"""),56667.0)</f>
        <v>56667</v>
      </c>
      <c r="J261" s="1" t="str">
        <f>IFERROR(__xludf.DUMMYFUNCTION("""COMPUTED_VALUE"""),"Оплатили")</f>
        <v>Оплатили</v>
      </c>
      <c r="K261" s="1"/>
      <c r="L261" s="1">
        <f>IFERROR(__xludf.DUMMYFUNCTION("""COMPUTED_VALUE"""),7.7343164594E11)</f>
        <v>773431645940</v>
      </c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>
        <f>IFERROR(__xludf.DUMMYFUNCTION("""COMPUTED_VALUE"""),2025.0)</f>
        <v>2025</v>
      </c>
      <c r="B262" s="1" t="str">
        <f>IFERROR(__xludf.DUMMYFUNCTION("""COMPUTED_VALUE"""),"16.11-30.11")</f>
        <v>16.11-30.11</v>
      </c>
      <c r="C262" s="2" t="str">
        <f>IFERROR(__xludf.DUMMYFUNCTION("""COMPUTED_VALUE"""),"Камолов Асилбек")</f>
        <v>Камолов Асилбек</v>
      </c>
      <c r="D262" s="1" t="str">
        <f>IFERROR(__xludf.DUMMYFUNCTION("""COMPUTED_VALUE"""),"79231408041")</f>
        <v>79231408041</v>
      </c>
      <c r="E262" s="3">
        <f>IFERROR(__xludf.DUMMYFUNCTION("""COMPUTED_VALUE"""),51333.0)</f>
        <v>51333</v>
      </c>
      <c r="F262" s="1"/>
      <c r="G262" s="4"/>
      <c r="H262" s="1"/>
      <c r="I262" s="5">
        <f>IFERROR(__xludf.DUMMYFUNCTION("""COMPUTED_VALUE"""),51333.0)</f>
        <v>51333</v>
      </c>
      <c r="J262" s="1" t="str">
        <f>IFERROR(__xludf.DUMMYFUNCTION("""COMPUTED_VALUE"""),"Оплатили")</f>
        <v>Оплатили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>
        <f>IFERROR(__xludf.DUMMYFUNCTION("""COMPUTED_VALUE"""),2025.0)</f>
        <v>2025</v>
      </c>
      <c r="B263" s="1" t="str">
        <f>IFERROR(__xludf.DUMMYFUNCTION("""COMPUTED_VALUE"""),"16.11-30.11")</f>
        <v>16.11-30.11</v>
      </c>
      <c r="C263" s="2" t="str">
        <f>IFERROR(__xludf.DUMMYFUNCTION("""COMPUTED_VALUE"""),"Юлдашева Нигора")</f>
        <v>Юлдашева Нигора</v>
      </c>
      <c r="D263" s="1" t="str">
        <f>IFERROR(__xludf.DUMMYFUNCTION("""COMPUTED_VALUE"""),"79963682991")</f>
        <v>79963682991</v>
      </c>
      <c r="E263" s="3">
        <f>IFERROR(__xludf.DUMMYFUNCTION("""COMPUTED_VALUE"""),48100.0)</f>
        <v>48100</v>
      </c>
      <c r="F263" s="1"/>
      <c r="G263" s="4"/>
      <c r="H263" s="1"/>
      <c r="I263" s="5">
        <f>IFERROR(__xludf.DUMMYFUNCTION("""COMPUTED_VALUE"""),48100.0)</f>
        <v>48100</v>
      </c>
      <c r="J263" s="1" t="str">
        <f>IFERROR(__xludf.DUMMYFUNCTION("""COMPUTED_VALUE"""),"Оплатили")</f>
        <v>Оплатили</v>
      </c>
      <c r="K263" s="1"/>
      <c r="L263" s="1">
        <f>IFERROR(__xludf.DUMMYFUNCTION("""COMPUTED_VALUE"""),7.7512017364E11)</f>
        <v>775120173640</v>
      </c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>
        <f>IFERROR(__xludf.DUMMYFUNCTION("""COMPUTED_VALUE"""),2025.0)</f>
        <v>2025</v>
      </c>
      <c r="B264" s="1" t="str">
        <f>IFERROR(__xludf.DUMMYFUNCTION("""COMPUTED_VALUE"""),"16.11-30.11")</f>
        <v>16.11-30.11</v>
      </c>
      <c r="C264" s="2" t="str">
        <f>IFERROR(__xludf.DUMMYFUNCTION("""COMPUTED_VALUE"""),"Камилова Назира")</f>
        <v>Камилова Назира</v>
      </c>
      <c r="D264" s="1" t="str">
        <f>IFERROR(__xludf.DUMMYFUNCTION("""COMPUTED_VALUE"""),"79035139996")</f>
        <v>79035139996</v>
      </c>
      <c r="E264" s="3">
        <f>IFERROR(__xludf.DUMMYFUNCTION("""COMPUTED_VALUE"""),44400.0)</f>
        <v>44400</v>
      </c>
      <c r="F264" s="1"/>
      <c r="G264" s="4"/>
      <c r="H264" s="1"/>
      <c r="I264" s="5">
        <f>IFERROR(__xludf.DUMMYFUNCTION("""COMPUTED_VALUE"""),44400.0)</f>
        <v>44400</v>
      </c>
      <c r="J264" s="1" t="str">
        <f>IFERROR(__xludf.DUMMYFUNCTION("""COMPUTED_VALUE"""),"Оплатили")</f>
        <v>Оплатили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>
        <f>IFERROR(__xludf.DUMMYFUNCTION("""COMPUTED_VALUE"""),2025.0)</f>
        <v>2025</v>
      </c>
      <c r="B265" s="1" t="str">
        <f>IFERROR(__xludf.DUMMYFUNCTION("""COMPUTED_VALUE"""),"16.11-30.11")</f>
        <v>16.11-30.11</v>
      </c>
      <c r="C265" s="2" t="str">
        <f>IFERROR(__xludf.DUMMYFUNCTION("""COMPUTED_VALUE"""),"Кадиркулов Сафарали")</f>
        <v>Кадиркулов Сафарали</v>
      </c>
      <c r="D265" s="1" t="str">
        <f>IFERROR(__xludf.DUMMYFUNCTION("""COMPUTED_VALUE"""),"79253713008")</f>
        <v>79253713008</v>
      </c>
      <c r="E265" s="3">
        <f>IFERROR(__xludf.DUMMYFUNCTION("""COMPUTED_VALUE"""),124210.0)</f>
        <v>124210</v>
      </c>
      <c r="F265" s="1"/>
      <c r="G265" s="4"/>
      <c r="H265" s="1"/>
      <c r="I265" s="5">
        <f>IFERROR(__xludf.DUMMYFUNCTION("""COMPUTED_VALUE"""),124210.0)</f>
        <v>124210</v>
      </c>
      <c r="J265" s="1" t="str">
        <f>IFERROR(__xludf.DUMMYFUNCTION("""COMPUTED_VALUE"""),"Оплатили")</f>
        <v>Оплатили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>
        <f>IFERROR(__xludf.DUMMYFUNCTION("""COMPUTED_VALUE"""),2025.0)</f>
        <v>2025</v>
      </c>
      <c r="B266" s="1" t="str">
        <f>IFERROR(__xludf.DUMMYFUNCTION("""COMPUTED_VALUE"""),"16.11-30.11")</f>
        <v>16.11-30.11</v>
      </c>
      <c r="C266" s="2" t="str">
        <f>IFERROR(__xludf.DUMMYFUNCTION("""COMPUTED_VALUE"""),"Мамадалиев Шамшод")</f>
        <v>Мамадалиев Шамшод</v>
      </c>
      <c r="D266" s="1" t="str">
        <f>IFERROR(__xludf.DUMMYFUNCTION("""COMPUTED_VALUE"""),"79309907663")</f>
        <v>79309907663</v>
      </c>
      <c r="E266" s="3">
        <f>IFERROR(__xludf.DUMMYFUNCTION("""COMPUTED_VALUE"""),30000.0)</f>
        <v>30000</v>
      </c>
      <c r="F266" s="1"/>
      <c r="G266" s="4"/>
      <c r="H266" s="1"/>
      <c r="I266" s="5">
        <f>IFERROR(__xludf.DUMMYFUNCTION("""COMPUTED_VALUE"""),30000.0)</f>
        <v>30000</v>
      </c>
      <c r="J266" s="1" t="str">
        <f>IFERROR(__xludf.DUMMYFUNCTION("""COMPUTED_VALUE"""),"Оплатили")</f>
        <v>Оплатили</v>
      </c>
      <c r="K266" s="1"/>
      <c r="L266" s="1">
        <f>IFERROR(__xludf.DUMMYFUNCTION("""COMPUTED_VALUE"""),7.75163599087E11)</f>
        <v>775163599087</v>
      </c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>
        <f>IFERROR(__xludf.DUMMYFUNCTION("""COMPUTED_VALUE"""),2025.0)</f>
        <v>2025</v>
      </c>
      <c r="B267" s="1" t="str">
        <f>IFERROR(__xludf.DUMMYFUNCTION("""COMPUTED_VALUE"""),"16.11-30.11")</f>
        <v>16.11-30.11</v>
      </c>
      <c r="C267" s="2" t="str">
        <f>IFERROR(__xludf.DUMMYFUNCTION("""COMPUTED_VALUE"""),"Совиров Отажон")</f>
        <v>Совиров Отажон</v>
      </c>
      <c r="D267" s="1" t="str">
        <f>IFERROR(__xludf.DUMMYFUNCTION("""COMPUTED_VALUE"""),"79067312124")</f>
        <v>79067312124</v>
      </c>
      <c r="E267" s="3">
        <f>IFERROR(__xludf.DUMMYFUNCTION("""COMPUTED_VALUE"""),74000.0)</f>
        <v>74000</v>
      </c>
      <c r="F267" s="1"/>
      <c r="G267" s="4"/>
      <c r="H267" s="1"/>
      <c r="I267" s="5">
        <f>IFERROR(__xludf.DUMMYFUNCTION("""COMPUTED_VALUE"""),74000.0)</f>
        <v>74000</v>
      </c>
      <c r="J267" s="1" t="str">
        <f>IFERROR(__xludf.DUMMYFUNCTION("""COMPUTED_VALUE"""),"Оплатили")</f>
        <v>Оплатили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>
        <f>IFERROR(__xludf.DUMMYFUNCTION("""COMPUTED_VALUE"""),2025.0)</f>
        <v>2025</v>
      </c>
      <c r="B268" s="1" t="str">
        <f>IFERROR(__xludf.DUMMYFUNCTION("""COMPUTED_VALUE"""),"16.11-30.11")</f>
        <v>16.11-30.11</v>
      </c>
      <c r="C268" s="2" t="str">
        <f>IFERROR(__xludf.DUMMYFUNCTION("""COMPUTED_VALUE"""),"Сатаров Адхам")</f>
        <v>Сатаров Адхам</v>
      </c>
      <c r="D268" s="1" t="str">
        <f>IFERROR(__xludf.DUMMYFUNCTION("""COMPUTED_VALUE"""),"79057456061")</f>
        <v>79057456061</v>
      </c>
      <c r="E268" s="3">
        <f>IFERROR(__xludf.DUMMYFUNCTION("""COMPUTED_VALUE"""),74000.0)</f>
        <v>74000</v>
      </c>
      <c r="F268" s="1"/>
      <c r="G268" s="4"/>
      <c r="H268" s="1"/>
      <c r="I268" s="5">
        <f>IFERROR(__xludf.DUMMYFUNCTION("""COMPUTED_VALUE"""),74000.0)</f>
        <v>74000</v>
      </c>
      <c r="J268" s="1" t="str">
        <f>IFERROR(__xludf.DUMMYFUNCTION("""COMPUTED_VALUE"""),"Оплатили")</f>
        <v>Оплатили</v>
      </c>
      <c r="K268" s="1"/>
      <c r="L268" s="1">
        <f>IFERROR(__xludf.DUMMYFUNCTION("""COMPUTED_VALUE"""),7.75117173632E11)</f>
        <v>775117173632</v>
      </c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>
        <f>IFERROR(__xludf.DUMMYFUNCTION("""COMPUTED_VALUE"""),2025.0)</f>
        <v>2025</v>
      </c>
      <c r="B269" s="1" t="str">
        <f>IFERROR(__xludf.DUMMYFUNCTION("""COMPUTED_VALUE"""),"16.11-30.11")</f>
        <v>16.11-30.11</v>
      </c>
      <c r="C269" s="2" t="str">
        <f>IFERROR(__xludf.DUMMYFUNCTION("""COMPUTED_VALUE"""),"Мухмудов Ботиржон")</f>
        <v>Мухмудов Ботиржон</v>
      </c>
      <c r="D269" s="1" t="str">
        <f>IFERROR(__xludf.DUMMYFUNCTION("""COMPUTED_VALUE"""),"79688236466")</f>
        <v>79688236466</v>
      </c>
      <c r="E269" s="3">
        <f>IFERROR(__xludf.DUMMYFUNCTION("""COMPUTED_VALUE"""),74000.0)</f>
        <v>74000</v>
      </c>
      <c r="F269" s="1"/>
      <c r="G269" s="4"/>
      <c r="H269" s="1"/>
      <c r="I269" s="5">
        <f>IFERROR(__xludf.DUMMYFUNCTION("""COMPUTED_VALUE"""),74000.0)</f>
        <v>74000</v>
      </c>
      <c r="J269" s="1" t="str">
        <f>IFERROR(__xludf.DUMMYFUNCTION("""COMPUTED_VALUE"""),"Оплатили")</f>
        <v>Оплатили</v>
      </c>
      <c r="K269" s="1"/>
      <c r="L269" s="1">
        <f>IFERROR(__xludf.DUMMYFUNCTION("""COMPUTED_VALUE"""),5.02776294258E11)</f>
        <v>502776294258</v>
      </c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>
        <f>IFERROR(__xludf.DUMMYFUNCTION("""COMPUTED_VALUE"""),2025.0)</f>
        <v>2025</v>
      </c>
      <c r="B270" s="1" t="str">
        <f>IFERROR(__xludf.DUMMYFUNCTION("""COMPUTED_VALUE"""),"16.11-30.11")</f>
        <v>16.11-30.11</v>
      </c>
      <c r="C270" s="2" t="str">
        <f>IFERROR(__xludf.DUMMYFUNCTION("""COMPUTED_VALUE"""),"Абдуллаев Маруф")</f>
        <v>Абдуллаев Маруф</v>
      </c>
      <c r="D270" s="1" t="str">
        <f>IFERROR(__xludf.DUMMYFUNCTION("""COMPUTED_VALUE"""),"79036164768")</f>
        <v>79036164768</v>
      </c>
      <c r="E270" s="3">
        <f>IFERROR(__xludf.DUMMYFUNCTION("""COMPUTED_VALUE"""),50000.0)</f>
        <v>50000</v>
      </c>
      <c r="F270" s="1"/>
      <c r="G270" s="4"/>
      <c r="H270" s="1"/>
      <c r="I270" s="5">
        <f>IFERROR(__xludf.DUMMYFUNCTION("""COMPUTED_VALUE"""),50000.0)</f>
        <v>50000</v>
      </c>
      <c r="J270" s="1" t="str">
        <f>IFERROR(__xludf.DUMMYFUNCTION("""COMPUTED_VALUE"""),"Оплатили")</f>
        <v>Оплатили</v>
      </c>
      <c r="K270" s="1"/>
      <c r="L270" s="1">
        <f>IFERROR(__xludf.DUMMYFUNCTION("""COMPUTED_VALUE"""),5.61020333756E11)</f>
        <v>561020333756</v>
      </c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>
        <f>IFERROR(__xludf.DUMMYFUNCTION("""COMPUTED_VALUE"""),2025.0)</f>
        <v>2025</v>
      </c>
      <c r="B271" s="1" t="str">
        <f>IFERROR(__xludf.DUMMYFUNCTION("""COMPUTED_VALUE"""),"16.11-30.11")</f>
        <v>16.11-30.11</v>
      </c>
      <c r="C271" s="2" t="str">
        <f>IFERROR(__xludf.DUMMYFUNCTION("""COMPUTED_VALUE"""),"Хакимханов Мухаммадхон")</f>
        <v>Хакимханов Мухаммадхон</v>
      </c>
      <c r="D271" s="1" t="str">
        <f>IFERROR(__xludf.DUMMYFUNCTION("""COMPUTED_VALUE"""),"79955063157")</f>
        <v>79955063157</v>
      </c>
      <c r="E271" s="3">
        <f>IFERROR(__xludf.DUMMYFUNCTION("""COMPUTED_VALUE"""),74000.0)</f>
        <v>74000</v>
      </c>
      <c r="F271" s="1"/>
      <c r="G271" s="4"/>
      <c r="H271" s="1"/>
      <c r="I271" s="5">
        <f>IFERROR(__xludf.DUMMYFUNCTION("""COMPUTED_VALUE"""),74000.0)</f>
        <v>74000</v>
      </c>
      <c r="J271" s="1" t="str">
        <f>IFERROR(__xludf.DUMMYFUNCTION("""COMPUTED_VALUE"""),"Оплатили")</f>
        <v>Оплатили</v>
      </c>
      <c r="K271" s="1"/>
      <c r="L271" s="1">
        <f>IFERROR(__xludf.DUMMYFUNCTION("""COMPUTED_VALUE"""),7.72323442638E11)</f>
        <v>772323442638</v>
      </c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>
        <f>IFERROR(__xludf.DUMMYFUNCTION("""COMPUTED_VALUE"""),2025.0)</f>
        <v>2025</v>
      </c>
      <c r="B272" s="1" t="str">
        <f>IFERROR(__xludf.DUMMYFUNCTION("""COMPUTED_VALUE"""),"16.11-30.11")</f>
        <v>16.11-30.11</v>
      </c>
      <c r="C272" s="2" t="str">
        <f>IFERROR(__xludf.DUMMYFUNCTION("""COMPUTED_VALUE"""),"Жуманиязова Гулшод Базарбаевна")</f>
        <v>Жуманиязова Гулшод Базарбаевна</v>
      </c>
      <c r="D272" s="1" t="str">
        <f>IFERROR(__xludf.DUMMYFUNCTION("""COMPUTED_VALUE"""),"79255937717")</f>
        <v>79255937717</v>
      </c>
      <c r="E272" s="3">
        <f>IFERROR(__xludf.DUMMYFUNCTION("""COMPUTED_VALUE"""),50000.0)</f>
        <v>50000</v>
      </c>
      <c r="F272" s="1"/>
      <c r="G272" s="4"/>
      <c r="H272" s="1"/>
      <c r="I272" s="5">
        <f>IFERROR(__xludf.DUMMYFUNCTION("""COMPUTED_VALUE"""),50000.0)</f>
        <v>50000</v>
      </c>
      <c r="J272" s="1" t="str">
        <f>IFERROR(__xludf.DUMMYFUNCTION("""COMPUTED_VALUE"""),"Оплатили")</f>
        <v>Оплатили</v>
      </c>
      <c r="K272" s="1"/>
      <c r="L272" s="1">
        <f>IFERROR(__xludf.DUMMYFUNCTION("""COMPUTED_VALUE"""),9.71901898983E11)</f>
        <v>971901898983</v>
      </c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>
        <f>IFERROR(__xludf.DUMMYFUNCTION("""COMPUTED_VALUE"""),2025.0)</f>
        <v>2025</v>
      </c>
      <c r="B273" s="1" t="str">
        <f>IFERROR(__xludf.DUMMYFUNCTION("""COMPUTED_VALUE"""),"16.11-30.11")</f>
        <v>16.11-30.11</v>
      </c>
      <c r="C273" s="2" t="str">
        <f>IFERROR(__xludf.DUMMYFUNCTION("""COMPUTED_VALUE"""),"Зуфарова Дилбар")</f>
        <v>Зуфарова Дилбар</v>
      </c>
      <c r="D273" s="1" t="str">
        <f>IFERROR(__xludf.DUMMYFUNCTION("""COMPUTED_VALUE"""),"79057468188")</f>
        <v>79057468188</v>
      </c>
      <c r="E273" s="3">
        <f>IFERROR(__xludf.DUMMYFUNCTION("""COMPUTED_VALUE"""),70000.0)</f>
        <v>70000</v>
      </c>
      <c r="F273" s="1"/>
      <c r="G273" s="4"/>
      <c r="H273" s="1"/>
      <c r="I273" s="5">
        <f>IFERROR(__xludf.DUMMYFUNCTION("""COMPUTED_VALUE"""),70000.0)</f>
        <v>70000</v>
      </c>
      <c r="J273" s="1" t="str">
        <f>IFERROR(__xludf.DUMMYFUNCTION("""COMPUTED_VALUE"""),"Оплатили")</f>
        <v>Оплатили</v>
      </c>
      <c r="K273" s="1"/>
      <c r="L273" s="1">
        <f>IFERROR(__xludf.DUMMYFUNCTION("""COMPUTED_VALUE"""),2.3101357277E11)</f>
        <v>231013572770</v>
      </c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>
        <f>IFERROR(__xludf.DUMMYFUNCTION("""COMPUTED_VALUE"""),2025.0)</f>
        <v>2025</v>
      </c>
      <c r="B274" s="1" t="str">
        <f>IFERROR(__xludf.DUMMYFUNCTION("""COMPUTED_VALUE"""),"01.12-15.12")</f>
        <v>01.12-15.12</v>
      </c>
      <c r="C274" s="2" t="str">
        <f>IFERROR(__xludf.DUMMYFUNCTION("""COMPUTED_VALUE"""),"Раджабова Мавджуда")</f>
        <v>Раджабова Мавджуда</v>
      </c>
      <c r="D274" s="1" t="str">
        <f>IFERROR(__xludf.DUMMYFUNCTION("""COMPUTED_VALUE"""),"79915623943")</f>
        <v>79915623943</v>
      </c>
      <c r="E274" s="3">
        <f>IFERROR(__xludf.DUMMYFUNCTION("""COMPUTED_VALUE"""),38633.0)</f>
        <v>38633</v>
      </c>
      <c r="F274" s="1"/>
      <c r="G274" s="4"/>
      <c r="H274" s="1">
        <f>IFERROR(__xludf.DUMMYFUNCTION("""COMPUTED_VALUE"""),270.431)</f>
        <v>270.431</v>
      </c>
      <c r="I274" s="5">
        <f>IFERROR(__xludf.DUMMYFUNCTION("""COMPUTED_VALUE"""),38362.569)</f>
        <v>38362.569</v>
      </c>
      <c r="J274" s="1" t="str">
        <f>IFERROR(__xludf.DUMMYFUNCTION("""COMPUTED_VALUE"""),"оплатили в QUGO")</f>
        <v>оплатили в QUGO</v>
      </c>
      <c r="K274" s="1"/>
      <c r="L274" s="1">
        <f>IFERROR(__xludf.DUMMYFUNCTION("""COMPUTED_VALUE"""),7.75116699528E11)</f>
        <v>775116699528</v>
      </c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>
        <f>IFERROR(__xludf.DUMMYFUNCTION("""COMPUTED_VALUE"""),2025.0)</f>
        <v>2025</v>
      </c>
      <c r="B275" s="1" t="str">
        <f>IFERROR(__xludf.DUMMYFUNCTION("""COMPUTED_VALUE"""),"01.12-15.12")</f>
        <v>01.12-15.12</v>
      </c>
      <c r="C275" s="2" t="str">
        <f>IFERROR(__xludf.DUMMYFUNCTION("""COMPUTED_VALUE"""),"Дониерзода Сурайе")</f>
        <v>Дониерзода Сурайе</v>
      </c>
      <c r="D275" s="1" t="str">
        <f>IFERROR(__xludf.DUMMYFUNCTION("""COMPUTED_VALUE"""),"79377648587")</f>
        <v>79377648587</v>
      </c>
      <c r="E275" s="3">
        <f>IFERROR(__xludf.DUMMYFUNCTION("""COMPUTED_VALUE"""),21633.333333333336)</f>
        <v>21633.33333</v>
      </c>
      <c r="F275" s="1"/>
      <c r="G275" s="4"/>
      <c r="H275" s="1">
        <f>IFERROR(__xludf.DUMMYFUNCTION("""COMPUTED_VALUE"""),151.43333333333334)</f>
        <v>151.4333333</v>
      </c>
      <c r="I275" s="5">
        <f>IFERROR(__xludf.DUMMYFUNCTION("""COMPUTED_VALUE"""),21481.9)</f>
        <v>21481.9</v>
      </c>
      <c r="J275" s="1" t="str">
        <f>IFERROR(__xludf.DUMMYFUNCTION("""COMPUTED_VALUE"""),"Не платим")</f>
        <v>Не платим</v>
      </c>
      <c r="K275" s="1"/>
      <c r="L275" s="1">
        <f>IFERROR(__xludf.DUMMYFUNCTION("""COMPUTED_VALUE"""),7.71487989675E11)</f>
        <v>771487989675</v>
      </c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>
        <f>IFERROR(__xludf.DUMMYFUNCTION("""COMPUTED_VALUE"""),2025.0)</f>
        <v>2025</v>
      </c>
      <c r="B276" s="1" t="str">
        <f>IFERROR(__xludf.DUMMYFUNCTION("""COMPUTED_VALUE"""),"01.12-15.12")</f>
        <v>01.12-15.12</v>
      </c>
      <c r="C276" s="2" t="str">
        <f>IFERROR(__xludf.DUMMYFUNCTION("""COMPUTED_VALUE"""),"Нематов Мухаммад")</f>
        <v>Нематов Мухаммад</v>
      </c>
      <c r="D276" s="1" t="str">
        <f>IFERROR(__xludf.DUMMYFUNCTION("""COMPUTED_VALUE"""),"79932625819")</f>
        <v>79932625819</v>
      </c>
      <c r="E276" s="3">
        <f>IFERROR(__xludf.DUMMYFUNCTION("""COMPUTED_VALUE"""),49380.0)</f>
        <v>49380</v>
      </c>
      <c r="F276" s="1"/>
      <c r="G276" s="4"/>
      <c r="H276" s="1">
        <f>IFERROR(__xludf.DUMMYFUNCTION("""COMPUTED_VALUE"""),345.65999999999997)</f>
        <v>345.66</v>
      </c>
      <c r="I276" s="5">
        <f>IFERROR(__xludf.DUMMYFUNCTION("""COMPUTED_VALUE"""),49034.34)</f>
        <v>49034.34</v>
      </c>
      <c r="J276" s="1" t="str">
        <f>IFERROR(__xludf.DUMMYFUNCTION("""COMPUTED_VALUE"""),"оплатили в QUGO")</f>
        <v>оплатили в QUGO</v>
      </c>
      <c r="K276" s="1"/>
      <c r="L276" s="1">
        <f>IFERROR(__xludf.DUMMYFUNCTION("""COMPUTED_VALUE"""),7.75147436504E11)</f>
        <v>775147436504</v>
      </c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>
        <f>IFERROR(__xludf.DUMMYFUNCTION("""COMPUTED_VALUE"""),2025.0)</f>
        <v>2025</v>
      </c>
      <c r="B277" s="1" t="str">
        <f>IFERROR(__xludf.DUMMYFUNCTION("""COMPUTED_VALUE"""),"01.12-15.12")</f>
        <v>01.12-15.12</v>
      </c>
      <c r="C277" s="2" t="str">
        <f>IFERROR(__xludf.DUMMYFUNCTION("""COMPUTED_VALUE"""),"Нурланбеков Омурлан")</f>
        <v>Нурланбеков Омурлан</v>
      </c>
      <c r="D277" s="1" t="str">
        <f>IFERROR(__xludf.DUMMYFUNCTION("""COMPUTED_VALUE"""),"79299185427")</f>
        <v>79299185427</v>
      </c>
      <c r="E277" s="3">
        <f>IFERROR(__xludf.DUMMYFUNCTION("""COMPUTED_VALUE"""),27900.0)</f>
        <v>27900</v>
      </c>
      <c r="F277" s="1"/>
      <c r="G277" s="4"/>
      <c r="H277" s="1">
        <f>IFERROR(__xludf.DUMMYFUNCTION("""COMPUTED_VALUE"""),195.29999999999998)</f>
        <v>195.3</v>
      </c>
      <c r="I277" s="5">
        <f>IFERROR(__xludf.DUMMYFUNCTION("""COMPUTED_VALUE"""),27704.7)</f>
        <v>27704.7</v>
      </c>
      <c r="J277" s="1" t="str">
        <f>IFERROR(__xludf.DUMMYFUNCTION("""COMPUTED_VALUE"""),"Не платим")</f>
        <v>Не платим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>
        <f>IFERROR(__xludf.DUMMYFUNCTION("""COMPUTED_VALUE"""),2025.0)</f>
        <v>2025</v>
      </c>
      <c r="B278" s="1" t="str">
        <f>IFERROR(__xludf.DUMMYFUNCTION("""COMPUTED_VALUE"""),"01.12-15.12")</f>
        <v>01.12-15.12</v>
      </c>
      <c r="C278" s="2" t="str">
        <f>IFERROR(__xludf.DUMMYFUNCTION("""COMPUTED_VALUE"""),"Нематов Рузимухаммад")</f>
        <v>Нематов Рузимухаммад</v>
      </c>
      <c r="D278" s="1" t="str">
        <f>IFERROR(__xludf.DUMMYFUNCTION("""COMPUTED_VALUE"""),"79891066937")</f>
        <v>79891066937</v>
      </c>
      <c r="E278" s="3">
        <f>IFERROR(__xludf.DUMMYFUNCTION("""COMPUTED_VALUE"""),36050.0)</f>
        <v>36050</v>
      </c>
      <c r="F278" s="1"/>
      <c r="G278" s="4"/>
      <c r="H278" s="1">
        <f>IFERROR(__xludf.DUMMYFUNCTION("""COMPUTED_VALUE"""),252.34999999999997)</f>
        <v>252.35</v>
      </c>
      <c r="I278" s="5">
        <f>IFERROR(__xludf.DUMMYFUNCTION("""COMPUTED_VALUE"""),35797.65)</f>
        <v>35797.65</v>
      </c>
      <c r="J278" s="1" t="str">
        <f>IFERROR(__xludf.DUMMYFUNCTION("""COMPUTED_VALUE"""),"оплатили в QUGO")</f>
        <v>оплатили в QUGO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>
        <f>IFERROR(__xludf.DUMMYFUNCTION("""COMPUTED_VALUE"""),2025.0)</f>
        <v>2025</v>
      </c>
      <c r="B279" s="1" t="str">
        <f>IFERROR(__xludf.DUMMYFUNCTION("""COMPUTED_VALUE"""),"01.12-15.12")</f>
        <v>01.12-15.12</v>
      </c>
      <c r="C279" s="2" t="str">
        <f>IFERROR(__xludf.DUMMYFUNCTION("""COMPUTED_VALUE"""),"Султонзода Нодира")</f>
        <v>Султонзода Нодира</v>
      </c>
      <c r="D279" s="1" t="str">
        <f>IFERROR(__xludf.DUMMYFUNCTION("""COMPUTED_VALUE"""),"79891031216")</f>
        <v>79891031216</v>
      </c>
      <c r="E279" s="3">
        <f>IFERROR(__xludf.DUMMYFUNCTION("""COMPUTED_VALUE"""),56633.333333333336)</f>
        <v>56633.33333</v>
      </c>
      <c r="F279" s="1"/>
      <c r="G279" s="4"/>
      <c r="H279" s="1">
        <f>IFERROR(__xludf.DUMMYFUNCTION("""COMPUTED_VALUE"""),396.43333333333334)</f>
        <v>396.4333333</v>
      </c>
      <c r="I279" s="5">
        <f>IFERROR(__xludf.DUMMYFUNCTION("""COMPUTED_VALUE"""),56236.9)</f>
        <v>56236.9</v>
      </c>
      <c r="J279" s="1" t="str">
        <f>IFERROR(__xludf.DUMMYFUNCTION("""COMPUTED_VALUE"""),"оплатили в QUGO")</f>
        <v>оплатили в QUGO</v>
      </c>
      <c r="K279" s="1"/>
      <c r="L279" s="1">
        <f>IFERROR(__xludf.DUMMYFUNCTION("""COMPUTED_VALUE"""),7.75184127705E11)</f>
        <v>775184127705</v>
      </c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>
        <f>IFERROR(__xludf.DUMMYFUNCTION("""COMPUTED_VALUE"""),2025.0)</f>
        <v>2025</v>
      </c>
      <c r="B280" s="1" t="str">
        <f>IFERROR(__xludf.DUMMYFUNCTION("""COMPUTED_VALUE"""),"01.12-15.12")</f>
        <v>01.12-15.12</v>
      </c>
      <c r="C280" s="2" t="str">
        <f>IFERROR(__xludf.DUMMYFUNCTION("""COMPUTED_VALUE"""),"Баратова Хадича")</f>
        <v>Баратова Хадича</v>
      </c>
      <c r="D280" s="1" t="str">
        <f>IFERROR(__xludf.DUMMYFUNCTION("""COMPUTED_VALUE"""),"79991129048")</f>
        <v>79991129048</v>
      </c>
      <c r="E280" s="3">
        <f>IFERROR(__xludf.DUMMYFUNCTION("""COMPUTED_VALUE"""),42000.0)</f>
        <v>42000</v>
      </c>
      <c r="F280" s="1"/>
      <c r="G280" s="4"/>
      <c r="H280" s="1">
        <f>IFERROR(__xludf.DUMMYFUNCTION("""COMPUTED_VALUE"""),293.99999999999994)</f>
        <v>294</v>
      </c>
      <c r="I280" s="5">
        <f>IFERROR(__xludf.DUMMYFUNCTION("""COMPUTED_VALUE"""),41706.0)</f>
        <v>41706</v>
      </c>
      <c r="J280" s="1" t="str">
        <f>IFERROR(__xludf.DUMMYFUNCTION("""COMPUTED_VALUE"""),"оплатили в QUGO")</f>
        <v>оплатили в QUGO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>
        <f>IFERROR(__xludf.DUMMYFUNCTION("""COMPUTED_VALUE"""),2025.0)</f>
        <v>2025</v>
      </c>
      <c r="B281" s="1" t="str">
        <f>IFERROR(__xludf.DUMMYFUNCTION("""COMPUTED_VALUE"""),"01.12-15.12")</f>
        <v>01.12-15.12</v>
      </c>
      <c r="C281" s="2" t="str">
        <f>IFERROR(__xludf.DUMMYFUNCTION("""COMPUTED_VALUE"""),"Исманов Мухаммадкодир")</f>
        <v>Исманов Мухаммадкодир</v>
      </c>
      <c r="D281" s="1" t="str">
        <f>IFERROR(__xludf.DUMMYFUNCTION("""COMPUTED_VALUE"""),"79255086393")</f>
        <v>79255086393</v>
      </c>
      <c r="E281" s="3">
        <f>IFERROR(__xludf.DUMMYFUNCTION("""COMPUTED_VALUE"""),49000.0)</f>
        <v>49000</v>
      </c>
      <c r="F281" s="1"/>
      <c r="G281" s="4"/>
      <c r="H281" s="1">
        <f>IFERROR(__xludf.DUMMYFUNCTION("""COMPUTED_VALUE"""),342.99999999999994)</f>
        <v>343</v>
      </c>
      <c r="I281" s="5">
        <f>IFERROR(__xludf.DUMMYFUNCTION("""COMPUTED_VALUE"""),48657.0)</f>
        <v>48657</v>
      </c>
      <c r="J281" s="1" t="str">
        <f>IFERROR(__xludf.DUMMYFUNCTION("""COMPUTED_VALUE"""),"оплатили в QUGO")</f>
        <v>оплатили в QUGO</v>
      </c>
      <c r="K281" s="1"/>
      <c r="L281" s="1">
        <f>IFERROR(__xludf.DUMMYFUNCTION("""COMPUTED_VALUE"""),5.0024439455E10)</f>
        <v>50024439455</v>
      </c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>
        <f>IFERROR(__xludf.DUMMYFUNCTION("""COMPUTED_VALUE"""),2025.0)</f>
        <v>2025</v>
      </c>
      <c r="B282" s="1" t="str">
        <f>IFERROR(__xludf.DUMMYFUNCTION("""COMPUTED_VALUE"""),"01.12-15.12")</f>
        <v>01.12-15.12</v>
      </c>
      <c r="C282" s="2" t="str">
        <f>IFERROR(__xludf.DUMMYFUNCTION("""COMPUTED_VALUE"""),"Пулатов Фарид")</f>
        <v>Пулатов Фарид</v>
      </c>
      <c r="D282" s="1" t="str">
        <f>IFERROR(__xludf.DUMMYFUNCTION("""COMPUTED_VALUE"""),"79694688670")</f>
        <v>79694688670</v>
      </c>
      <c r="E282" s="3">
        <f>IFERROR(__xludf.DUMMYFUNCTION("""COMPUTED_VALUE"""),71000.0)</f>
        <v>71000</v>
      </c>
      <c r="F282" s="1"/>
      <c r="G282" s="4"/>
      <c r="H282" s="1">
        <f>IFERROR(__xludf.DUMMYFUNCTION("""COMPUTED_VALUE"""),496.99999999999994)</f>
        <v>497</v>
      </c>
      <c r="I282" s="5">
        <f>IFERROR(__xludf.DUMMYFUNCTION("""COMPUTED_VALUE"""),70503.0)</f>
        <v>70503</v>
      </c>
      <c r="J282" s="1" t="str">
        <f>IFERROR(__xludf.DUMMYFUNCTION("""COMPUTED_VALUE"""),"оплатили в QUGO")</f>
        <v>оплатили в QUGO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>
        <f>IFERROR(__xludf.DUMMYFUNCTION("""COMPUTED_VALUE"""),2025.0)</f>
        <v>2025</v>
      </c>
      <c r="B283" s="1" t="str">
        <f>IFERROR(__xludf.DUMMYFUNCTION("""COMPUTED_VALUE"""),"01.12-15.12")</f>
        <v>01.12-15.12</v>
      </c>
      <c r="C283" s="2" t="str">
        <f>IFERROR(__xludf.DUMMYFUNCTION("""COMPUTED_VALUE"""),"Усманов Нодир")</f>
        <v>Усманов Нодир</v>
      </c>
      <c r="D283" s="1" t="str">
        <f>IFERROR(__xludf.DUMMYFUNCTION("""COMPUTED_VALUE"""),"79800015369")</f>
        <v>79800015369</v>
      </c>
      <c r="E283" s="3">
        <f>IFERROR(__xludf.DUMMYFUNCTION("""COMPUTED_VALUE"""),54333.33333333333)</f>
        <v>54333.33333</v>
      </c>
      <c r="F283" s="1"/>
      <c r="G283" s="4"/>
      <c r="H283" s="1">
        <f>IFERROR(__xludf.DUMMYFUNCTION("""COMPUTED_VALUE"""),380.33333333333326)</f>
        <v>380.3333333</v>
      </c>
      <c r="I283" s="5">
        <f>IFERROR(__xludf.DUMMYFUNCTION("""COMPUTED_VALUE"""),53952.99999999999)</f>
        <v>53953</v>
      </c>
      <c r="J283" s="1" t="str">
        <f>IFERROR(__xludf.DUMMYFUNCTION("""COMPUTED_VALUE"""),"оплатили в QUGO")</f>
        <v>оплатили в QUGO</v>
      </c>
      <c r="K283" s="1"/>
      <c r="L283" s="1">
        <f>IFERROR(__xludf.DUMMYFUNCTION("""COMPUTED_VALUE"""),7.75155901184E11)</f>
        <v>775155901184</v>
      </c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>
        <f>IFERROR(__xludf.DUMMYFUNCTION("""COMPUTED_VALUE"""),2025.0)</f>
        <v>2025</v>
      </c>
      <c r="B284" s="1" t="str">
        <f>IFERROR(__xludf.DUMMYFUNCTION("""COMPUTED_VALUE"""),"01.12-15.12")</f>
        <v>01.12-15.12</v>
      </c>
      <c r="C284" s="2" t="str">
        <f>IFERROR(__xludf.DUMMYFUNCTION("""COMPUTED_VALUE"""),"Усманов Ислом")</f>
        <v>Усманов Ислом</v>
      </c>
      <c r="D284" s="1" t="str">
        <f>IFERROR(__xludf.DUMMYFUNCTION("""COMPUTED_VALUE"""),"79067107159")</f>
        <v>79067107159</v>
      </c>
      <c r="E284" s="3">
        <f>IFERROR(__xludf.DUMMYFUNCTION("""COMPUTED_VALUE"""),55000.0)</f>
        <v>55000</v>
      </c>
      <c r="F284" s="1"/>
      <c r="G284" s="4"/>
      <c r="H284" s="1">
        <f>IFERROR(__xludf.DUMMYFUNCTION("""COMPUTED_VALUE"""),384.99999999999994)</f>
        <v>385</v>
      </c>
      <c r="I284" s="5">
        <f>IFERROR(__xludf.DUMMYFUNCTION("""COMPUTED_VALUE"""),54615.0)</f>
        <v>54615</v>
      </c>
      <c r="J284" s="1" t="str">
        <f>IFERROR(__xludf.DUMMYFUNCTION("""COMPUTED_VALUE"""),"оплатили в QUGO")</f>
        <v>оплатили в QUGO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>
        <f>IFERROR(__xludf.DUMMYFUNCTION("""COMPUTED_VALUE"""),2025.0)</f>
        <v>2025</v>
      </c>
      <c r="B285" s="1" t="str">
        <f>IFERROR(__xludf.DUMMYFUNCTION("""COMPUTED_VALUE"""),"01.12-15.12")</f>
        <v>01.12-15.12</v>
      </c>
      <c r="C285" s="2" t="str">
        <f>IFERROR(__xludf.DUMMYFUNCTION("""COMPUTED_VALUE"""),"Примова Нилюфер")</f>
        <v>Примова Нилюфер</v>
      </c>
      <c r="D285" s="1" t="str">
        <f>IFERROR(__xludf.DUMMYFUNCTION("""COMPUTED_VALUE"""),"79775621896")</f>
        <v>79775621896</v>
      </c>
      <c r="E285" s="3">
        <f>IFERROR(__xludf.DUMMYFUNCTION("""COMPUTED_VALUE"""),54600.0)</f>
        <v>54600</v>
      </c>
      <c r="F285" s="1"/>
      <c r="G285" s="4"/>
      <c r="H285" s="1">
        <f>IFERROR(__xludf.DUMMYFUNCTION("""COMPUTED_VALUE"""),382.2)</f>
        <v>382.2</v>
      </c>
      <c r="I285" s="5">
        <f>IFERROR(__xludf.DUMMYFUNCTION("""COMPUTED_VALUE"""),54217.8)</f>
        <v>54217.8</v>
      </c>
      <c r="J285" s="1" t="str">
        <f>IFERROR(__xludf.DUMMYFUNCTION("""COMPUTED_VALUE"""),"оплатили в QUGO")</f>
        <v>оплатили в QUGO</v>
      </c>
      <c r="K285" s="1"/>
      <c r="L285" s="1">
        <f>IFERROR(__xludf.DUMMYFUNCTION("""COMPUTED_VALUE"""),7.72312047604E11)</f>
        <v>772312047604</v>
      </c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>
        <f>IFERROR(__xludf.DUMMYFUNCTION("""COMPUTED_VALUE"""),2025.0)</f>
        <v>2025</v>
      </c>
      <c r="B286" s="1" t="str">
        <f>IFERROR(__xludf.DUMMYFUNCTION("""COMPUTED_VALUE"""),"01.12-15.12")</f>
        <v>01.12-15.12</v>
      </c>
      <c r="C286" s="2" t="str">
        <f>IFERROR(__xludf.DUMMYFUNCTION("""COMPUTED_VALUE"""),"Тешабоев Расулжон")</f>
        <v>Тешабоев Расулжон</v>
      </c>
      <c r="D286" s="1" t="str">
        <f>IFERROR(__xludf.DUMMYFUNCTION("""COMPUTED_VALUE"""),"79777013390")</f>
        <v>79777013390</v>
      </c>
      <c r="E286" s="3">
        <f>IFERROR(__xludf.DUMMYFUNCTION("""COMPUTED_VALUE"""),51800.0)</f>
        <v>51800</v>
      </c>
      <c r="F286" s="1"/>
      <c r="G286" s="4"/>
      <c r="H286" s="1">
        <f>IFERROR(__xludf.DUMMYFUNCTION("""COMPUTED_VALUE"""),362.59999999999997)</f>
        <v>362.6</v>
      </c>
      <c r="I286" s="5">
        <f>IFERROR(__xludf.DUMMYFUNCTION("""COMPUTED_VALUE"""),51437.4)</f>
        <v>51437.4</v>
      </c>
      <c r="J286" s="1" t="str">
        <f>IFERROR(__xludf.DUMMYFUNCTION("""COMPUTED_VALUE"""),"оплатили в QUGO")</f>
        <v>оплатили в QUGO</v>
      </c>
      <c r="K286" s="1"/>
      <c r="L286" s="1">
        <f>IFERROR(__xludf.DUMMYFUNCTION("""COMPUTED_VALUE"""),7.75171178607E11)</f>
        <v>775171178607</v>
      </c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>
        <f>IFERROR(__xludf.DUMMYFUNCTION("""COMPUTED_VALUE"""),2025.0)</f>
        <v>2025</v>
      </c>
      <c r="B287" s="1" t="str">
        <f>IFERROR(__xludf.DUMMYFUNCTION("""COMPUTED_VALUE"""),"01.12-15.12")</f>
        <v>01.12-15.12</v>
      </c>
      <c r="C287" s="2" t="str">
        <f>IFERROR(__xludf.DUMMYFUNCTION("""COMPUTED_VALUE"""),"Рахмонов Сухроб")</f>
        <v>Рахмонов Сухроб</v>
      </c>
      <c r="D287" s="1" t="str">
        <f>IFERROR(__xludf.DUMMYFUNCTION("""COMPUTED_VALUE"""),"79336934364")</f>
        <v>79336934364</v>
      </c>
      <c r="E287" s="3">
        <f>IFERROR(__xludf.DUMMYFUNCTION("""COMPUTED_VALUE"""),63749.99999999999)</f>
        <v>63750</v>
      </c>
      <c r="F287" s="1"/>
      <c r="G287" s="4"/>
      <c r="H287" s="1">
        <f>IFERROR(__xludf.DUMMYFUNCTION("""COMPUTED_VALUE"""),446.2499999999999)</f>
        <v>446.25</v>
      </c>
      <c r="I287" s="5">
        <f>IFERROR(__xludf.DUMMYFUNCTION("""COMPUTED_VALUE"""),63303.74999999999)</f>
        <v>63303.75</v>
      </c>
      <c r="J287" s="1" t="str">
        <f>IFERROR(__xludf.DUMMYFUNCTION("""COMPUTED_VALUE"""),"оплатили в QUGO")</f>
        <v>оплатили в QUGO</v>
      </c>
      <c r="K287" s="1"/>
      <c r="L287" s="1">
        <f>IFERROR(__xludf.DUMMYFUNCTION("""COMPUTED_VALUE"""),7.75185498484E11)</f>
        <v>775185498484</v>
      </c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>
        <f>IFERROR(__xludf.DUMMYFUNCTION("""COMPUTED_VALUE"""),2025.0)</f>
        <v>2025</v>
      </c>
      <c r="B288" s="1" t="str">
        <f>IFERROR(__xludf.DUMMYFUNCTION("""COMPUTED_VALUE"""),"01.12-15.12")</f>
        <v>01.12-15.12</v>
      </c>
      <c r="C288" s="2" t="str">
        <f>IFERROR(__xludf.DUMMYFUNCTION("""COMPUTED_VALUE"""),"Аюбова Мухайе")</f>
        <v>Аюбова Мухайе</v>
      </c>
      <c r="D288" s="1" t="str">
        <f>IFERROR(__xludf.DUMMYFUNCTION("""COMPUTED_VALUE"""),"79969645979")</f>
        <v>79969645979</v>
      </c>
      <c r="E288" s="3">
        <f>IFERROR(__xludf.DUMMYFUNCTION("""COMPUTED_VALUE"""),51000.0)</f>
        <v>51000</v>
      </c>
      <c r="F288" s="1"/>
      <c r="G288" s="4"/>
      <c r="H288" s="1">
        <f>IFERROR(__xludf.DUMMYFUNCTION("""COMPUTED_VALUE"""),356.99999999999994)</f>
        <v>357</v>
      </c>
      <c r="I288" s="5">
        <f>IFERROR(__xludf.DUMMYFUNCTION("""COMPUTED_VALUE"""),50643.0)</f>
        <v>50643</v>
      </c>
      <c r="J288" s="1" t="str">
        <f>IFERROR(__xludf.DUMMYFUNCTION("""COMPUTED_VALUE"""),"Оплатили")</f>
        <v>Оплатили</v>
      </c>
      <c r="K288" s="1" t="str">
        <f>IFERROR(__xludf.DUMMYFUNCTION("""COMPUTED_VALUE"""),"Оплатил через Нематов Мухаммад	79932625819")</f>
        <v>Оплатил через Нематов Мухаммад	79932625819</v>
      </c>
      <c r="L288" s="1">
        <f>IFERROR(__xludf.DUMMYFUNCTION("""COMPUTED_VALUE"""),6.67803019045E11)</f>
        <v>667803019045</v>
      </c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>
        <f>IFERROR(__xludf.DUMMYFUNCTION("""COMPUTED_VALUE"""),2025.0)</f>
        <v>2025</v>
      </c>
      <c r="B289" s="1" t="str">
        <f>IFERROR(__xludf.DUMMYFUNCTION("""COMPUTED_VALUE"""),"01.12-15.12")</f>
        <v>01.12-15.12</v>
      </c>
      <c r="C289" s="2" t="str">
        <f>IFERROR(__xludf.DUMMYFUNCTION("""COMPUTED_VALUE"""),"Мусаева Мавтуна")</f>
        <v>Мусаева Мавтуна</v>
      </c>
      <c r="D289" s="1" t="str">
        <f>IFERROR(__xludf.DUMMYFUNCTION("""COMPUTED_VALUE"""),"79057784048")</f>
        <v>79057784048</v>
      </c>
      <c r="E289" s="3">
        <f>IFERROR(__xludf.DUMMYFUNCTION("""COMPUTED_VALUE"""),44800.0)</f>
        <v>44800</v>
      </c>
      <c r="F289" s="1"/>
      <c r="G289" s="4"/>
      <c r="H289" s="1">
        <f>IFERROR(__xludf.DUMMYFUNCTION("""COMPUTED_VALUE"""),313.59999999999997)</f>
        <v>313.6</v>
      </c>
      <c r="I289" s="5">
        <f>IFERROR(__xludf.DUMMYFUNCTION("""COMPUTED_VALUE"""),44486.4)</f>
        <v>44486.4</v>
      </c>
      <c r="J289" s="1" t="str">
        <f>IFERROR(__xludf.DUMMYFUNCTION("""COMPUTED_VALUE"""),"оплатили в QUGO")</f>
        <v>оплатили в QUGO</v>
      </c>
      <c r="K289" s="1"/>
      <c r="L289" s="1">
        <f>IFERROR(__xludf.DUMMYFUNCTION("""COMPUTED_VALUE"""),5.00726635205E11)</f>
        <v>500726635205</v>
      </c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>
        <f>IFERROR(__xludf.DUMMYFUNCTION("""COMPUTED_VALUE"""),2025.0)</f>
        <v>2025</v>
      </c>
      <c r="B290" s="1" t="str">
        <f>IFERROR(__xludf.DUMMYFUNCTION("""COMPUTED_VALUE"""),"01.12-15.12")</f>
        <v>01.12-15.12</v>
      </c>
      <c r="C290" s="2" t="str">
        <f>IFERROR(__xludf.DUMMYFUNCTION("""COMPUTED_VALUE"""),"Джовлиева Дильфруз")</f>
        <v>Джовлиева Дильфруз</v>
      </c>
      <c r="D290" s="1" t="str">
        <f>IFERROR(__xludf.DUMMYFUNCTION("""COMPUTED_VALUE"""),"79031409201")</f>
        <v>79031409201</v>
      </c>
      <c r="E290" s="3">
        <f>IFERROR(__xludf.DUMMYFUNCTION("""COMPUTED_VALUE"""),49500.0)</f>
        <v>49500</v>
      </c>
      <c r="F290" s="1"/>
      <c r="G290" s="4"/>
      <c r="H290" s="1">
        <f>IFERROR(__xludf.DUMMYFUNCTION("""COMPUTED_VALUE"""),346.49999999999994)</f>
        <v>346.5</v>
      </c>
      <c r="I290" s="5">
        <f>IFERROR(__xludf.DUMMYFUNCTION("""COMPUTED_VALUE"""),49153.5)</f>
        <v>49153.5</v>
      </c>
      <c r="J290" s="1" t="str">
        <f>IFERROR(__xludf.DUMMYFUNCTION("""COMPUTED_VALUE"""),"оплатили в QUGO")</f>
        <v>оплатили в QUGO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>
        <f>IFERROR(__xludf.DUMMYFUNCTION("""COMPUTED_VALUE"""),2025.0)</f>
        <v>2025</v>
      </c>
      <c r="B291" s="1" t="str">
        <f>IFERROR(__xludf.DUMMYFUNCTION("""COMPUTED_VALUE"""),"01.12-15.12")</f>
        <v>01.12-15.12</v>
      </c>
      <c r="C291" s="2" t="str">
        <f>IFERROR(__xludf.DUMMYFUNCTION("""COMPUTED_VALUE"""),"Куватова Холбека Зокировна")</f>
        <v>Куватова Холбека Зокировна</v>
      </c>
      <c r="D291" s="1" t="str">
        <f>IFERROR(__xludf.DUMMYFUNCTION("""COMPUTED_VALUE"""),"79060885518")</f>
        <v>79060885518</v>
      </c>
      <c r="E291" s="3">
        <f>IFERROR(__xludf.DUMMYFUNCTION("""COMPUTED_VALUE"""),52500.0)</f>
        <v>52500</v>
      </c>
      <c r="F291" s="1"/>
      <c r="G291" s="4"/>
      <c r="H291" s="1">
        <f>IFERROR(__xludf.DUMMYFUNCTION("""COMPUTED_VALUE"""),367.49999999999994)</f>
        <v>367.5</v>
      </c>
      <c r="I291" s="5">
        <f>IFERROR(__xludf.DUMMYFUNCTION("""COMPUTED_VALUE"""),52132.5)</f>
        <v>52132.5</v>
      </c>
      <c r="J291" s="1" t="str">
        <f>IFERROR(__xludf.DUMMYFUNCTION("""COMPUTED_VALUE"""),"оплатили в QUGO")</f>
        <v>оплатили в QUGO</v>
      </c>
      <c r="K291" s="1"/>
      <c r="L291" s="1">
        <f>IFERROR(__xludf.DUMMYFUNCTION("""COMPUTED_VALUE"""),7.74354320506E11)</f>
        <v>774354320506</v>
      </c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>
        <f>IFERROR(__xludf.DUMMYFUNCTION("""COMPUTED_VALUE"""),2025.0)</f>
        <v>2025</v>
      </c>
      <c r="B292" s="1" t="str">
        <f>IFERROR(__xludf.DUMMYFUNCTION("""COMPUTED_VALUE"""),"01.12-15.12")</f>
        <v>01.12-15.12</v>
      </c>
      <c r="C292" s="2" t="str">
        <f>IFERROR(__xludf.DUMMYFUNCTION("""COMPUTED_VALUE"""),"Джовлиева Чаман")</f>
        <v>Джовлиева Чаман</v>
      </c>
      <c r="D292" s="1" t="str">
        <f>IFERROR(__xludf.DUMMYFUNCTION("""COMPUTED_VALUE"""),"79099908237")</f>
        <v>79099908237</v>
      </c>
      <c r="E292" s="3">
        <f>IFERROR(__xludf.DUMMYFUNCTION("""COMPUTED_VALUE"""),48000.0)</f>
        <v>48000</v>
      </c>
      <c r="F292" s="1"/>
      <c r="G292" s="4"/>
      <c r="H292" s="1">
        <f>IFERROR(__xludf.DUMMYFUNCTION("""COMPUTED_VALUE"""),335.99999999999994)</f>
        <v>336</v>
      </c>
      <c r="I292" s="5">
        <f>IFERROR(__xludf.DUMMYFUNCTION("""COMPUTED_VALUE"""),47664.0)</f>
        <v>47664</v>
      </c>
      <c r="J292" s="1" t="str">
        <f>IFERROR(__xludf.DUMMYFUNCTION("""COMPUTED_VALUE"""),"оплатили в QUGO")</f>
        <v>оплатили в QUGO</v>
      </c>
      <c r="K292" s="1"/>
      <c r="L292" s="1">
        <f>IFERROR(__xludf.DUMMYFUNCTION("""COMPUTED_VALUE"""),7.71392768519E11)</f>
        <v>771392768519</v>
      </c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>
        <f>IFERROR(__xludf.DUMMYFUNCTION("""COMPUTED_VALUE"""),2025.0)</f>
        <v>2025</v>
      </c>
      <c r="B293" s="1" t="str">
        <f>IFERROR(__xludf.DUMMYFUNCTION("""COMPUTED_VALUE"""),"01.12-15.12")</f>
        <v>01.12-15.12</v>
      </c>
      <c r="C293" s="2" t="str">
        <f>IFERROR(__xludf.DUMMYFUNCTION("""COMPUTED_VALUE"""),"Зулунов Акбарали Шухратбек угли")</f>
        <v>Зулунов Акбарали Шухратбек угли</v>
      </c>
      <c r="D293" s="1" t="str">
        <f>IFERROR(__xludf.DUMMYFUNCTION("""COMPUTED_VALUE"""),"79684325555")</f>
        <v>79684325555</v>
      </c>
      <c r="E293" s="3">
        <f>IFERROR(__xludf.DUMMYFUNCTION("""COMPUTED_VALUE"""),50935.0)</f>
        <v>50935</v>
      </c>
      <c r="F293" s="1"/>
      <c r="G293" s="4"/>
      <c r="H293" s="1">
        <f>IFERROR(__xludf.DUMMYFUNCTION("""COMPUTED_VALUE"""),356.54499999999996)</f>
        <v>356.545</v>
      </c>
      <c r="I293" s="5">
        <f>IFERROR(__xludf.DUMMYFUNCTION("""COMPUTED_VALUE"""),50578.455)</f>
        <v>50578.455</v>
      </c>
      <c r="J293" s="1" t="str">
        <f>IFERROR(__xludf.DUMMYFUNCTION("""COMPUTED_VALUE"""),"оплатили в QUGO")</f>
        <v>оплатили в QUGO</v>
      </c>
      <c r="K293" s="1"/>
      <c r="L293" s="1">
        <f>IFERROR(__xludf.DUMMYFUNCTION("""COMPUTED_VALUE"""),5.02765439695E11)</f>
        <v>502765439695</v>
      </c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>
        <f>IFERROR(__xludf.DUMMYFUNCTION("""COMPUTED_VALUE"""),2025.0)</f>
        <v>2025</v>
      </c>
      <c r="B294" s="1" t="str">
        <f>IFERROR(__xludf.DUMMYFUNCTION("""COMPUTED_VALUE"""),"01.12-15.12")</f>
        <v>01.12-15.12</v>
      </c>
      <c r="C294" s="2" t="str">
        <f>IFERROR(__xludf.DUMMYFUNCTION("""COMPUTED_VALUE"""),"Рустамов Дониёр Абдукахорович")</f>
        <v>Рустамов Дониёр Абдукахорович</v>
      </c>
      <c r="D294" s="1" t="str">
        <f>IFERROR(__xludf.DUMMYFUNCTION("""COMPUTED_VALUE"""),"79776800074")</f>
        <v>79776800074</v>
      </c>
      <c r="E294" s="3">
        <f>IFERROR(__xludf.DUMMYFUNCTION("""COMPUTED_VALUE"""),58500.0)</f>
        <v>58500</v>
      </c>
      <c r="F294" s="1"/>
      <c r="G294" s="4"/>
      <c r="H294" s="1">
        <f>IFERROR(__xludf.DUMMYFUNCTION("""COMPUTED_VALUE"""),409.49999999999994)</f>
        <v>409.5</v>
      </c>
      <c r="I294" s="5">
        <f>IFERROR(__xludf.DUMMYFUNCTION("""COMPUTED_VALUE"""),58090.5)</f>
        <v>58090.5</v>
      </c>
      <c r="J294" s="1" t="str">
        <f>IFERROR(__xludf.DUMMYFUNCTION("""COMPUTED_VALUE"""),"оплатили в QUGO")</f>
        <v>оплатили в QUGO</v>
      </c>
      <c r="K294" s="1"/>
      <c r="L294" s="1">
        <f>IFERROR(__xludf.DUMMYFUNCTION("""COMPUTED_VALUE"""),9.7180693062E11)</f>
        <v>971806930620</v>
      </c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>
        <f>IFERROR(__xludf.DUMMYFUNCTION("""COMPUTED_VALUE"""),2025.0)</f>
        <v>2025</v>
      </c>
      <c r="B295" s="1" t="str">
        <f>IFERROR(__xludf.DUMMYFUNCTION("""COMPUTED_VALUE"""),"01.12-15.12")</f>
        <v>01.12-15.12</v>
      </c>
      <c r="C295" s="2" t="str">
        <f>IFERROR(__xludf.DUMMYFUNCTION("""COMPUTED_VALUE"""),"Юсупов Илхомидин Гозиевич")</f>
        <v>Юсупов Илхомидин Гозиевич</v>
      </c>
      <c r="D295" s="1" t="str">
        <f>IFERROR(__xludf.DUMMYFUNCTION("""COMPUTED_VALUE"""),"79162515030")</f>
        <v>79162515030</v>
      </c>
      <c r="E295" s="3">
        <f>IFERROR(__xludf.DUMMYFUNCTION("""COMPUTED_VALUE"""),64500.0)</f>
        <v>64500</v>
      </c>
      <c r="F295" s="1"/>
      <c r="G295" s="4"/>
      <c r="H295" s="1">
        <f>IFERROR(__xludf.DUMMYFUNCTION("""COMPUTED_VALUE"""),451.49999999999994)</f>
        <v>451.5</v>
      </c>
      <c r="I295" s="5">
        <f>IFERROR(__xludf.DUMMYFUNCTION("""COMPUTED_VALUE"""),64048.5)</f>
        <v>64048.5</v>
      </c>
      <c r="J295" s="1" t="str">
        <f>IFERROR(__xludf.DUMMYFUNCTION("""COMPUTED_VALUE"""),"оплатили в QUGO")</f>
        <v>оплатили в QUGO</v>
      </c>
      <c r="K295" s="1"/>
      <c r="L295" s="1">
        <f>IFERROR(__xludf.DUMMYFUNCTION("""COMPUTED_VALUE"""),7.72418658586E11)</f>
        <v>772418658586</v>
      </c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>
        <f>IFERROR(__xludf.DUMMYFUNCTION("""COMPUTED_VALUE"""),2025.0)</f>
        <v>2025</v>
      </c>
      <c r="B296" s="1" t="str">
        <f>IFERROR(__xludf.DUMMYFUNCTION("""COMPUTED_VALUE"""),"01.12-15.12")</f>
        <v>01.12-15.12</v>
      </c>
      <c r="C296" s="2" t="str">
        <f>IFERROR(__xludf.DUMMYFUNCTION("""COMPUTED_VALUE"""),"Иброхимзода Юсуф")</f>
        <v>Иброхимзода Юсуф</v>
      </c>
      <c r="D296" s="1" t="str">
        <f>IFERROR(__xludf.DUMMYFUNCTION("""COMPUTED_VALUE"""),"79694795092")</f>
        <v>79694795092</v>
      </c>
      <c r="E296" s="3">
        <f>IFERROR(__xludf.DUMMYFUNCTION("""COMPUTED_VALUE"""),60200.0)</f>
        <v>60200</v>
      </c>
      <c r="F296" s="1"/>
      <c r="G296" s="4"/>
      <c r="H296" s="1">
        <f>IFERROR(__xludf.DUMMYFUNCTION("""COMPUTED_VALUE"""),421.4)</f>
        <v>421.4</v>
      </c>
      <c r="I296" s="5">
        <f>IFERROR(__xludf.DUMMYFUNCTION("""COMPUTED_VALUE"""),59778.6)</f>
        <v>59778.6</v>
      </c>
      <c r="J296" s="1" t="str">
        <f>IFERROR(__xludf.DUMMYFUNCTION("""COMPUTED_VALUE"""),"Оплатили")</f>
        <v>Оплатили</v>
      </c>
      <c r="K296" s="1" t="str">
        <f>IFERROR(__xludf.DUMMYFUNCTION("""COMPUTED_VALUE"""),"Оплатили в Джамп + получил за Далив Мехроб")</f>
        <v>Оплатили в Джамп + получил за Далив Мехроб</v>
      </c>
      <c r="L296" s="1">
        <f>IFERROR(__xludf.DUMMYFUNCTION("""COMPUTED_VALUE"""),7.72321986304E11)</f>
        <v>772321986304</v>
      </c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>
        <f>IFERROR(__xludf.DUMMYFUNCTION("""COMPUTED_VALUE"""),2025.0)</f>
        <v>2025</v>
      </c>
      <c r="B297" s="1" t="str">
        <f>IFERROR(__xludf.DUMMYFUNCTION("""COMPUTED_VALUE"""),"01.12-15.12")</f>
        <v>01.12-15.12</v>
      </c>
      <c r="C297" s="2" t="str">
        <f>IFERROR(__xludf.DUMMYFUNCTION("""COMPUTED_VALUE"""),"Хаитова Лайло Норбоевна")</f>
        <v>Хаитова Лайло Норбоевна</v>
      </c>
      <c r="D297" s="1" t="str">
        <f>IFERROR(__xludf.DUMMYFUNCTION("""COMPUTED_VALUE"""),"79694748125")</f>
        <v>79694748125</v>
      </c>
      <c r="E297" s="3">
        <f>IFERROR(__xludf.DUMMYFUNCTION("""COMPUTED_VALUE"""),52000.0)</f>
        <v>52000</v>
      </c>
      <c r="F297" s="1"/>
      <c r="G297" s="4"/>
      <c r="H297" s="1">
        <f>IFERROR(__xludf.DUMMYFUNCTION("""COMPUTED_VALUE"""),363.99999999999994)</f>
        <v>364</v>
      </c>
      <c r="I297" s="5">
        <f>IFERROR(__xludf.DUMMYFUNCTION("""COMPUTED_VALUE"""),51636.0)</f>
        <v>51636</v>
      </c>
      <c r="J297" s="1" t="str">
        <f>IFERROR(__xludf.DUMMYFUNCTION("""COMPUTED_VALUE"""),"оплатили в QUGO")</f>
        <v>оплатили в QUGO</v>
      </c>
      <c r="K297" s="1"/>
      <c r="L297" s="1">
        <f>IFERROR(__xludf.DUMMYFUNCTION("""COMPUTED_VALUE"""),7.71778280523E11)</f>
        <v>771778280523</v>
      </c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>
        <f>IFERROR(__xludf.DUMMYFUNCTION("""COMPUTED_VALUE"""),2025.0)</f>
        <v>2025</v>
      </c>
      <c r="B298" s="1" t="str">
        <f>IFERROR(__xludf.DUMMYFUNCTION("""COMPUTED_VALUE"""),"01.12-15.12")</f>
        <v>01.12-15.12</v>
      </c>
      <c r="C298" s="2" t="str">
        <f>IFERROR(__xludf.DUMMYFUNCTION("""COMPUTED_VALUE"""),"Солиев Алимардон Акбаралиевич")</f>
        <v>Солиев Алимардон Акбаралиевич</v>
      </c>
      <c r="D298" s="1" t="str">
        <f>IFERROR(__xludf.DUMMYFUNCTION("""COMPUTED_VALUE"""),"79161154264")</f>
        <v>79161154264</v>
      </c>
      <c r="E298" s="3">
        <f>IFERROR(__xludf.DUMMYFUNCTION("""COMPUTED_VALUE"""),69375.0)</f>
        <v>69375</v>
      </c>
      <c r="F298" s="1"/>
      <c r="G298" s="4"/>
      <c r="H298" s="1">
        <f>IFERROR(__xludf.DUMMYFUNCTION("""COMPUTED_VALUE"""),485.62499999999994)</f>
        <v>485.625</v>
      </c>
      <c r="I298" s="5">
        <f>IFERROR(__xludf.DUMMYFUNCTION("""COMPUTED_VALUE"""),68889.375)</f>
        <v>68889.375</v>
      </c>
      <c r="J298" s="1" t="str">
        <f>IFERROR(__xludf.DUMMYFUNCTION("""COMPUTED_VALUE"""),"оплатили в QUGO")</f>
        <v>оплатили в QUGO</v>
      </c>
      <c r="K298" s="1"/>
      <c r="L298" s="1">
        <f>IFERROR(__xludf.DUMMYFUNCTION("""COMPUTED_VALUE"""),4.02818158835E11)</f>
        <v>402818158835</v>
      </c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>
        <f>IFERROR(__xludf.DUMMYFUNCTION("""COMPUTED_VALUE"""),2025.0)</f>
        <v>2025</v>
      </c>
      <c r="B299" s="1" t="str">
        <f>IFERROR(__xludf.DUMMYFUNCTION("""COMPUTED_VALUE"""),"01.12-15.12")</f>
        <v>01.12-15.12</v>
      </c>
      <c r="C299" s="2" t="str">
        <f>IFERROR(__xludf.DUMMYFUNCTION("""COMPUTED_VALUE"""),"Нуруллаев Нодирбек ")</f>
        <v>Нуруллаев Нодирбек </v>
      </c>
      <c r="D299" s="1" t="str">
        <f>IFERROR(__xludf.DUMMYFUNCTION("""COMPUTED_VALUE"""),"79801360139")</f>
        <v>79801360139</v>
      </c>
      <c r="E299" s="3">
        <f>IFERROR(__xludf.DUMMYFUNCTION("""COMPUTED_VALUE"""),11400.0)</f>
        <v>11400</v>
      </c>
      <c r="F299" s="1"/>
      <c r="G299" s="4"/>
      <c r="H299" s="1">
        <f>IFERROR(__xludf.DUMMYFUNCTION("""COMPUTED_VALUE"""),79.8)</f>
        <v>79.8</v>
      </c>
      <c r="I299" s="5">
        <f>IFERROR(__xludf.DUMMYFUNCTION("""COMPUTED_VALUE"""),11320.2)</f>
        <v>11320.2</v>
      </c>
      <c r="J299" s="1" t="str">
        <f>IFERROR(__xludf.DUMMYFUNCTION("""COMPUTED_VALUE"""),"оплатили в QUGO")</f>
        <v>оплатили в QUGO</v>
      </c>
      <c r="K299" s="1"/>
      <c r="L299" s="1">
        <f>IFERROR(__xludf.DUMMYFUNCTION("""COMPUTED_VALUE"""),7.7518750507E11)</f>
        <v>775187505070</v>
      </c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>
        <f>IFERROR(__xludf.DUMMYFUNCTION("""COMPUTED_VALUE"""),2025.0)</f>
        <v>2025</v>
      </c>
      <c r="B300" s="1" t="str">
        <f>IFERROR(__xludf.DUMMYFUNCTION("""COMPUTED_VALUE"""),"01.12-15.12")</f>
        <v>01.12-15.12</v>
      </c>
      <c r="C300" s="2" t="str">
        <f>IFERROR(__xludf.DUMMYFUNCTION("""COMPUTED_VALUE"""),"Жураев Бахриддин Фахриддинович")</f>
        <v>Жураев Бахриддин Фахриддинович</v>
      </c>
      <c r="D300" s="1" t="str">
        <f>IFERROR(__xludf.DUMMYFUNCTION("""COMPUTED_VALUE"""),"79260684763")</f>
        <v>79260684763</v>
      </c>
      <c r="E300" s="3">
        <f>IFERROR(__xludf.DUMMYFUNCTION("""COMPUTED_VALUE"""),57000.0)</f>
        <v>57000</v>
      </c>
      <c r="F300" s="1"/>
      <c r="G300" s="4"/>
      <c r="H300" s="1">
        <f>IFERROR(__xludf.DUMMYFUNCTION("""COMPUTED_VALUE"""),398.99999999999994)</f>
        <v>399</v>
      </c>
      <c r="I300" s="5">
        <f>IFERROR(__xludf.DUMMYFUNCTION("""COMPUTED_VALUE"""),56601.0)</f>
        <v>56601</v>
      </c>
      <c r="J300" s="1" t="str">
        <f>IFERROR(__xludf.DUMMYFUNCTION("""COMPUTED_VALUE"""),"Оплатили")</f>
        <v>Оплатили</v>
      </c>
      <c r="K300" s="1" t="str">
        <f>IFERROR(__xludf.DUMMYFUNCTION("""COMPUTED_VALUE"""),"Оплатили в Джамп")</f>
        <v>Оплатили в Джамп</v>
      </c>
      <c r="L300" s="1">
        <f>IFERROR(__xludf.DUMMYFUNCTION("""COMPUTED_VALUE"""),7.75182197834E11)</f>
        <v>775182197834</v>
      </c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>
        <f>IFERROR(__xludf.DUMMYFUNCTION("""COMPUTED_VALUE"""),2025.0)</f>
        <v>2025</v>
      </c>
      <c r="B301" s="1" t="str">
        <f>IFERROR(__xludf.DUMMYFUNCTION("""COMPUTED_VALUE"""),"01.12-15.12")</f>
        <v>01.12-15.12</v>
      </c>
      <c r="C301" s="2" t="str">
        <f>IFERROR(__xludf.DUMMYFUNCTION("""COMPUTED_VALUE"""),"Мажитова Диляфруз Юлдашевна")</f>
        <v>Мажитова Диляфруз Юлдашевна</v>
      </c>
      <c r="D301" s="1" t="str">
        <f>IFERROR(__xludf.DUMMYFUNCTION("""COMPUTED_VALUE"""),"79031479284")</f>
        <v>79031479284</v>
      </c>
      <c r="E301" s="3">
        <f>IFERROR(__xludf.DUMMYFUNCTION("""COMPUTED_VALUE"""),55250.0)</f>
        <v>55250</v>
      </c>
      <c r="F301" s="1"/>
      <c r="G301" s="4"/>
      <c r="H301" s="1">
        <f>IFERROR(__xludf.DUMMYFUNCTION("""COMPUTED_VALUE"""),386.74999999999994)</f>
        <v>386.75</v>
      </c>
      <c r="I301" s="5">
        <f>IFERROR(__xludf.DUMMYFUNCTION("""COMPUTED_VALUE"""),54863.25)</f>
        <v>54863.25</v>
      </c>
      <c r="J301" s="1" t="str">
        <f>IFERROR(__xludf.DUMMYFUNCTION("""COMPUTED_VALUE"""),"оплатили в QUGO")</f>
        <v>оплатили в QUGO</v>
      </c>
      <c r="K301" s="1"/>
      <c r="L301" s="1">
        <f>IFERROR(__xludf.DUMMYFUNCTION("""COMPUTED_VALUE"""),5.02776500895E11)</f>
        <v>502776500895</v>
      </c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>
        <f>IFERROR(__xludf.DUMMYFUNCTION("""COMPUTED_VALUE"""),2025.0)</f>
        <v>2025</v>
      </c>
      <c r="B302" s="1" t="str">
        <f>IFERROR(__xludf.DUMMYFUNCTION("""COMPUTED_VALUE"""),"01.12-15.12")</f>
        <v>01.12-15.12</v>
      </c>
      <c r="C302" s="2" t="str">
        <f>IFERROR(__xludf.DUMMYFUNCTION("""COMPUTED_VALUE"""),"Тожиева Наргиза Аминова")</f>
        <v>Тожиева Наргиза Аминова</v>
      </c>
      <c r="D302" s="1" t="str">
        <f>IFERROR(__xludf.DUMMYFUNCTION("""COMPUTED_VALUE"""),"79856292007")</f>
        <v>79856292007</v>
      </c>
      <c r="E302" s="3">
        <f>IFERROR(__xludf.DUMMYFUNCTION("""COMPUTED_VALUE"""),51000.0)</f>
        <v>51000</v>
      </c>
      <c r="F302" s="1"/>
      <c r="G302" s="4"/>
      <c r="H302" s="1">
        <f>IFERROR(__xludf.DUMMYFUNCTION("""COMPUTED_VALUE"""),356.99999999999994)</f>
        <v>357</v>
      </c>
      <c r="I302" s="5">
        <f>IFERROR(__xludf.DUMMYFUNCTION("""COMPUTED_VALUE"""),50643.0)</f>
        <v>50643</v>
      </c>
      <c r="J302" s="1" t="str">
        <f>IFERROR(__xludf.DUMMYFUNCTION("""COMPUTED_VALUE"""),"оплатили в QUGO")</f>
        <v>оплатили в QUGO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>
        <f>IFERROR(__xludf.DUMMYFUNCTION("""COMPUTED_VALUE"""),2025.0)</f>
        <v>2025</v>
      </c>
      <c r="B303" s="1" t="str">
        <f>IFERROR(__xludf.DUMMYFUNCTION("""COMPUTED_VALUE"""),"01.12-15.12")</f>
        <v>01.12-15.12</v>
      </c>
      <c r="C303" s="2" t="str">
        <f>IFERROR(__xludf.DUMMYFUNCTION("""COMPUTED_VALUE"""),"Курбонова Гулжахон Абдуразоковна")</f>
        <v>Курбонова Гулжахон Абдуразоковна</v>
      </c>
      <c r="D303" s="1" t="str">
        <f>IFERROR(__xludf.DUMMYFUNCTION("""COMPUTED_VALUE"""),"79255103455")</f>
        <v>79255103455</v>
      </c>
      <c r="E303" s="3">
        <f>IFERROR(__xludf.DUMMYFUNCTION("""COMPUTED_VALUE"""),56000.0)</f>
        <v>56000</v>
      </c>
      <c r="F303" s="1"/>
      <c r="G303" s="4"/>
      <c r="H303" s="1">
        <f>IFERROR(__xludf.DUMMYFUNCTION("""COMPUTED_VALUE"""),391.99999999999994)</f>
        <v>392</v>
      </c>
      <c r="I303" s="5">
        <f>IFERROR(__xludf.DUMMYFUNCTION("""COMPUTED_VALUE"""),55608.0)</f>
        <v>55608</v>
      </c>
      <c r="J303" s="1" t="str">
        <f>IFERROR(__xludf.DUMMYFUNCTION("""COMPUTED_VALUE"""),"оплатили в QUGO")</f>
        <v>оплатили в QUGO</v>
      </c>
      <c r="K303" s="1"/>
      <c r="L303" s="1">
        <f>IFERROR(__xludf.DUMMYFUNCTION("""COMPUTED_VALUE"""),7.75151914986E11)</f>
        <v>775151914986</v>
      </c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>
        <f>IFERROR(__xludf.DUMMYFUNCTION("""COMPUTED_VALUE"""),2025.0)</f>
        <v>2025</v>
      </c>
      <c r="B304" s="1" t="str">
        <f>IFERROR(__xludf.DUMMYFUNCTION("""COMPUTED_VALUE"""),"01.12-15.12")</f>
        <v>01.12-15.12</v>
      </c>
      <c r="C304" s="2" t="str">
        <f>IFERROR(__xludf.DUMMYFUNCTION("""COMPUTED_VALUE"""),"Вахобов Мехроджиддин Махмадович")</f>
        <v>Вахобов Мехроджиддин Махмадович</v>
      </c>
      <c r="D304" s="1" t="str">
        <f>IFERROR(__xludf.DUMMYFUNCTION("""COMPUTED_VALUE"""),"79969262030")</f>
        <v>79969262030</v>
      </c>
      <c r="E304" s="3">
        <f>IFERROR(__xludf.DUMMYFUNCTION("""COMPUTED_VALUE"""),64333.0)</f>
        <v>64333</v>
      </c>
      <c r="F304" s="1"/>
      <c r="G304" s="4"/>
      <c r="H304" s="1">
        <f>IFERROR(__xludf.DUMMYFUNCTION("""COMPUTED_VALUE"""),450.33099999999996)</f>
        <v>450.331</v>
      </c>
      <c r="I304" s="5">
        <f>IFERROR(__xludf.DUMMYFUNCTION("""COMPUTED_VALUE"""),63882.669)</f>
        <v>63882.669</v>
      </c>
      <c r="J304" s="1" t="str">
        <f>IFERROR(__xludf.DUMMYFUNCTION("""COMPUTED_VALUE"""),"оплатили в QUGO")</f>
        <v>оплатили в QUGO</v>
      </c>
      <c r="K304" s="1"/>
      <c r="L304" s="1">
        <f>IFERROR(__xludf.DUMMYFUNCTION("""COMPUTED_VALUE"""),7.60419142561E11)</f>
        <v>760419142561</v>
      </c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>
        <f>IFERROR(__xludf.DUMMYFUNCTION("""COMPUTED_VALUE"""),2025.0)</f>
        <v>2025</v>
      </c>
      <c r="B305" s="1" t="str">
        <f>IFERROR(__xludf.DUMMYFUNCTION("""COMPUTED_VALUE"""),"01.12-15.12")</f>
        <v>01.12-15.12</v>
      </c>
      <c r="C305" s="2" t="str">
        <f>IFERROR(__xludf.DUMMYFUNCTION("""COMPUTED_VALUE"""),"Мухаммаджонов Акмалджон Аюбович")</f>
        <v>Мухаммаджонов Акмалджон Аюбович</v>
      </c>
      <c r="D305" s="1" t="str">
        <f>IFERROR(__xludf.DUMMYFUNCTION("""COMPUTED_VALUE"""),"79955553419")</f>
        <v>79955553419</v>
      </c>
      <c r="E305" s="3">
        <f>IFERROR(__xludf.DUMMYFUNCTION("""COMPUTED_VALUE"""),54150.0)</f>
        <v>54150</v>
      </c>
      <c r="F305" s="1"/>
      <c r="G305" s="4"/>
      <c r="H305" s="1">
        <f>IFERROR(__xludf.DUMMYFUNCTION("""COMPUTED_VALUE"""),379.04999999999995)</f>
        <v>379.05</v>
      </c>
      <c r="I305" s="5">
        <f>IFERROR(__xludf.DUMMYFUNCTION("""COMPUTED_VALUE"""),53770.95)</f>
        <v>53770.95</v>
      </c>
      <c r="J305" s="1" t="str">
        <f>IFERROR(__xludf.DUMMYFUNCTION("""COMPUTED_VALUE"""),"оплатили в QUGO")</f>
        <v>оплатили в QUGO</v>
      </c>
      <c r="K305" s="1"/>
      <c r="L305" s="1">
        <f>IFERROR(__xludf.DUMMYFUNCTION("""COMPUTED_VALUE"""),9.7151845056E11)</f>
        <v>971518450560</v>
      </c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>
        <f>IFERROR(__xludf.DUMMYFUNCTION("""COMPUTED_VALUE"""),2025.0)</f>
        <v>2025</v>
      </c>
      <c r="B306" s="1" t="str">
        <f>IFERROR(__xludf.DUMMYFUNCTION("""COMPUTED_VALUE"""),"01.12-15.12")</f>
        <v>01.12-15.12</v>
      </c>
      <c r="C306" s="2" t="str">
        <f>IFERROR(__xludf.DUMMYFUNCTION("""COMPUTED_VALUE"""),"Турдибекова Мухайё Уктамовна")</f>
        <v>Турдибекова Мухайё Уктамовна</v>
      </c>
      <c r="D306" s="1" t="str">
        <f>IFERROR(__xludf.DUMMYFUNCTION("""COMPUTED_VALUE"""),"79966796423")</f>
        <v>79966796423</v>
      </c>
      <c r="E306" s="3">
        <f>IFERROR(__xludf.DUMMYFUNCTION("""COMPUTED_VALUE"""),55500.0)</f>
        <v>55500</v>
      </c>
      <c r="F306" s="1"/>
      <c r="G306" s="4"/>
      <c r="H306" s="1">
        <f>IFERROR(__xludf.DUMMYFUNCTION("""COMPUTED_VALUE"""),388.49999999999994)</f>
        <v>388.5</v>
      </c>
      <c r="I306" s="5">
        <f>IFERROR(__xludf.DUMMYFUNCTION("""COMPUTED_VALUE"""),55111.5)</f>
        <v>55111.5</v>
      </c>
      <c r="J306" s="1" t="str">
        <f>IFERROR(__xludf.DUMMYFUNCTION("""COMPUTED_VALUE"""),"оплатили в QUGO")</f>
        <v>оплатили в QUGO</v>
      </c>
      <c r="K306" s="1"/>
      <c r="L306" s="1">
        <f>IFERROR(__xludf.DUMMYFUNCTION("""COMPUTED_VALUE"""),5.02777123914E11)</f>
        <v>502777123914</v>
      </c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>
        <f>IFERROR(__xludf.DUMMYFUNCTION("""COMPUTED_VALUE"""),2025.0)</f>
        <v>2025</v>
      </c>
      <c r="B307" s="1" t="str">
        <f>IFERROR(__xludf.DUMMYFUNCTION("""COMPUTED_VALUE"""),"01.12-15.12")</f>
        <v>01.12-15.12</v>
      </c>
      <c r="C307" s="2" t="str">
        <f>IFERROR(__xludf.DUMMYFUNCTION("""COMPUTED_VALUE"""),"Шерназаров Зариф Акбарали Угли")</f>
        <v>Шерназаров Зариф Акбарали Угли</v>
      </c>
      <c r="D307" s="1" t="str">
        <f>IFERROR(__xludf.DUMMYFUNCTION("""COMPUTED_VALUE"""),"79336677836")</f>
        <v>79336677836</v>
      </c>
      <c r="E307" s="3">
        <f>IFERROR(__xludf.DUMMYFUNCTION("""COMPUTED_VALUE"""),56000.0)</f>
        <v>56000</v>
      </c>
      <c r="F307" s="1"/>
      <c r="G307" s="4"/>
      <c r="H307" s="1">
        <f>IFERROR(__xludf.DUMMYFUNCTION("""COMPUTED_VALUE"""),391.99999999999994)</f>
        <v>392</v>
      </c>
      <c r="I307" s="5">
        <f>IFERROR(__xludf.DUMMYFUNCTION("""COMPUTED_VALUE"""),55608.0)</f>
        <v>55608</v>
      </c>
      <c r="J307" s="1" t="str">
        <f>IFERROR(__xludf.DUMMYFUNCTION("""COMPUTED_VALUE"""),"оплатили в QUGO")</f>
        <v>оплатили в QUGO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>
        <f>IFERROR(__xludf.DUMMYFUNCTION("""COMPUTED_VALUE"""),2025.0)</f>
        <v>2025</v>
      </c>
      <c r="B308" s="1" t="str">
        <f>IFERROR(__xludf.DUMMYFUNCTION("""COMPUTED_VALUE"""),"01.12-15.12")</f>
        <v>01.12-15.12</v>
      </c>
      <c r="C308" s="2" t="str">
        <f>IFERROR(__xludf.DUMMYFUNCTION("""COMPUTED_VALUE"""),"Дусматов Равшан Алишерович")</f>
        <v>Дусматов Равшан Алишерович</v>
      </c>
      <c r="D308" s="1" t="str">
        <f>IFERROR(__xludf.DUMMYFUNCTION("""COMPUTED_VALUE"""),"79254088185")</f>
        <v>79254088185</v>
      </c>
      <c r="E308" s="3">
        <f>IFERROR(__xludf.DUMMYFUNCTION("""COMPUTED_VALUE"""),57500.0)</f>
        <v>57500</v>
      </c>
      <c r="F308" s="1"/>
      <c r="G308" s="4"/>
      <c r="H308" s="1">
        <f>IFERROR(__xludf.DUMMYFUNCTION("""COMPUTED_VALUE"""),402.49999999999994)</f>
        <v>402.5</v>
      </c>
      <c r="I308" s="5">
        <f>IFERROR(__xludf.DUMMYFUNCTION("""COMPUTED_VALUE"""),57097.5)</f>
        <v>57097.5</v>
      </c>
      <c r="J308" s="1" t="str">
        <f>IFERROR(__xludf.DUMMYFUNCTION("""COMPUTED_VALUE"""),"оплатили в QUGO")</f>
        <v>оплатили в QUGO</v>
      </c>
      <c r="K308" s="1"/>
      <c r="L308" s="1">
        <f>IFERROR(__xludf.DUMMYFUNCTION("""COMPUTED_VALUE"""),7.71689013702E11)</f>
        <v>771689013702</v>
      </c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>
        <f>IFERROR(__xludf.DUMMYFUNCTION("""COMPUTED_VALUE"""),2025.0)</f>
        <v>2025</v>
      </c>
      <c r="B309" s="1" t="str">
        <f>IFERROR(__xludf.DUMMYFUNCTION("""COMPUTED_VALUE"""),"01.12-15.12")</f>
        <v>01.12-15.12</v>
      </c>
      <c r="C309" s="2" t="str">
        <f>IFERROR(__xludf.DUMMYFUNCTION("""COMPUTED_VALUE"""),"Дусматова Зулола Агзамовна")</f>
        <v>Дусматова Зулола Агзамовна</v>
      </c>
      <c r="D309" s="1" t="str">
        <f>IFERROR(__xludf.DUMMYFUNCTION("""COMPUTED_VALUE"""),"79997675838")</f>
        <v>79997675838</v>
      </c>
      <c r="E309" s="3">
        <f>IFERROR(__xludf.DUMMYFUNCTION("""COMPUTED_VALUE"""),56000.0)</f>
        <v>56000</v>
      </c>
      <c r="F309" s="1"/>
      <c r="G309" s="4"/>
      <c r="H309" s="1">
        <f>IFERROR(__xludf.DUMMYFUNCTION("""COMPUTED_VALUE"""),391.99999999999994)</f>
        <v>392</v>
      </c>
      <c r="I309" s="5">
        <f>IFERROR(__xludf.DUMMYFUNCTION("""COMPUTED_VALUE"""),55608.0)</f>
        <v>55608</v>
      </c>
      <c r="J309" s="1" t="str">
        <f>IFERROR(__xludf.DUMMYFUNCTION("""COMPUTED_VALUE"""),"оплатили в QUGO")</f>
        <v>оплатили в QUGO</v>
      </c>
      <c r="K309" s="1"/>
      <c r="L309" s="1">
        <f>IFERROR(__xludf.DUMMYFUNCTION("""COMPUTED_VALUE"""),7.7148705793E11)</f>
        <v>771487057930</v>
      </c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>
        <f>IFERROR(__xludf.DUMMYFUNCTION("""COMPUTED_VALUE"""),2025.0)</f>
        <v>2025</v>
      </c>
      <c r="B310" s="1" t="str">
        <f>IFERROR(__xludf.DUMMYFUNCTION("""COMPUTED_VALUE"""),"01.12-15.12")</f>
        <v>01.12-15.12</v>
      </c>
      <c r="C310" s="2" t="str">
        <f>IFERROR(__xludf.DUMMYFUNCTION("""COMPUTED_VALUE"""),"Анорбоев Шахзод Тулгин Угли")</f>
        <v>Анорбоев Шахзод Тулгин Угли</v>
      </c>
      <c r="D310" s="1" t="str">
        <f>IFERROR(__xludf.DUMMYFUNCTION("""COMPUTED_VALUE"""),"79777470317")</f>
        <v>79777470317</v>
      </c>
      <c r="E310" s="3">
        <f>IFERROR(__xludf.DUMMYFUNCTION("""COMPUTED_VALUE"""),61500.0)</f>
        <v>61500</v>
      </c>
      <c r="F310" s="1"/>
      <c r="G310" s="4"/>
      <c r="H310" s="1">
        <f>IFERROR(__xludf.DUMMYFUNCTION("""COMPUTED_VALUE"""),430.49999999999994)</f>
        <v>430.5</v>
      </c>
      <c r="I310" s="5">
        <f>IFERROR(__xludf.DUMMYFUNCTION("""COMPUTED_VALUE"""),61069.5)</f>
        <v>61069.5</v>
      </c>
      <c r="J310" s="1" t="str">
        <f>IFERROR(__xludf.DUMMYFUNCTION("""COMPUTED_VALUE"""),"Оплатили")</f>
        <v>Оплатили</v>
      </c>
      <c r="K310" s="1" t="str">
        <f>IFERROR(__xludf.DUMMYFUNCTION("""COMPUTED_VALUE"""),"Оплатили в Джамп")</f>
        <v>Оплатили в Джамп</v>
      </c>
      <c r="L310" s="1">
        <f>IFERROR(__xludf.DUMMYFUNCTION("""COMPUTED_VALUE"""),3.43537688905E11)</f>
        <v>343537688905</v>
      </c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>
        <f>IFERROR(__xludf.DUMMYFUNCTION("""COMPUTED_VALUE"""),2025.0)</f>
        <v>2025</v>
      </c>
      <c r="B311" s="1" t="str">
        <f>IFERROR(__xludf.DUMMYFUNCTION("""COMPUTED_VALUE"""),"01.12-15.12")</f>
        <v>01.12-15.12</v>
      </c>
      <c r="C311" s="2" t="str">
        <f>IFERROR(__xludf.DUMMYFUNCTION("""COMPUTED_VALUE"""),"Анорбоев Учкун")</f>
        <v>Анорбоев Учкун</v>
      </c>
      <c r="D311" s="1" t="str">
        <f>IFERROR(__xludf.DUMMYFUNCTION("""COMPUTED_VALUE"""),"79035193511")</f>
        <v>79035193511</v>
      </c>
      <c r="E311" s="3">
        <f>IFERROR(__xludf.DUMMYFUNCTION("""COMPUTED_VALUE"""),27400.0)</f>
        <v>27400</v>
      </c>
      <c r="F311" s="1"/>
      <c r="G311" s="4"/>
      <c r="H311" s="1">
        <f>IFERROR(__xludf.DUMMYFUNCTION("""COMPUTED_VALUE"""),191.79999999999998)</f>
        <v>191.8</v>
      </c>
      <c r="I311" s="5">
        <f>IFERROR(__xludf.DUMMYFUNCTION("""COMPUTED_VALUE"""),27208.2)</f>
        <v>27208.2</v>
      </c>
      <c r="J311" s="1" t="str">
        <f>IFERROR(__xludf.DUMMYFUNCTION("""COMPUTED_VALUE"""),"оплатили в QUGO")</f>
        <v>оплатили в QUGO</v>
      </c>
      <c r="K311" s="1"/>
      <c r="L311" s="1">
        <f>IFERROR(__xludf.DUMMYFUNCTION("""COMPUTED_VALUE"""),7.75160172385E11)</f>
        <v>775160172385</v>
      </c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>
        <f>IFERROR(__xludf.DUMMYFUNCTION("""COMPUTED_VALUE"""),2025.0)</f>
        <v>2025</v>
      </c>
      <c r="B312" s="1" t="str">
        <f>IFERROR(__xludf.DUMMYFUNCTION("""COMPUTED_VALUE"""),"01.12-15.12")</f>
        <v>01.12-15.12</v>
      </c>
      <c r="C312" s="2" t="str">
        <f>IFERROR(__xludf.DUMMYFUNCTION("""COMPUTED_VALUE"""),"Хамракулов Ойбек Хурсанович")</f>
        <v>Хамракулов Ойбек Хурсанович</v>
      </c>
      <c r="D312" s="1" t="str">
        <f>IFERROR(__xludf.DUMMYFUNCTION("""COMPUTED_VALUE"""),"79779593169")</f>
        <v>79779593169</v>
      </c>
      <c r="E312" s="3">
        <f>IFERROR(__xludf.DUMMYFUNCTION("""COMPUTED_VALUE"""),34400.0)</f>
        <v>34400</v>
      </c>
      <c r="F312" s="1"/>
      <c r="G312" s="4"/>
      <c r="H312" s="1">
        <f>IFERROR(__xludf.DUMMYFUNCTION("""COMPUTED_VALUE"""),240.79999999999998)</f>
        <v>240.8</v>
      </c>
      <c r="I312" s="5">
        <f>IFERROR(__xludf.DUMMYFUNCTION("""COMPUTED_VALUE"""),34159.2)</f>
        <v>34159.2</v>
      </c>
      <c r="J312" s="1" t="str">
        <f>IFERROR(__xludf.DUMMYFUNCTION("""COMPUTED_VALUE"""),"оплатили в QUGO")</f>
        <v>оплатили в QUGO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>
        <f>IFERROR(__xludf.DUMMYFUNCTION("""COMPUTED_VALUE"""),2025.0)</f>
        <v>2025</v>
      </c>
      <c r="B313" s="1" t="str">
        <f>IFERROR(__xludf.DUMMYFUNCTION("""COMPUTED_VALUE"""),"01.12-15.12")</f>
        <v>01.12-15.12</v>
      </c>
      <c r="C313" s="2" t="str">
        <f>IFERROR(__xludf.DUMMYFUNCTION("""COMPUTED_VALUE"""),"Тагайлиева Гульбарчын Абдырахмоновна")</f>
        <v>Тагайлиева Гульбарчын Абдырахмоновна</v>
      </c>
      <c r="D313" s="1" t="str">
        <f>IFERROR(__xludf.DUMMYFUNCTION("""COMPUTED_VALUE"""),"79999895773")</f>
        <v>79999895773</v>
      </c>
      <c r="E313" s="3">
        <f>IFERROR(__xludf.DUMMYFUNCTION("""COMPUTED_VALUE"""),49500.0)</f>
        <v>49500</v>
      </c>
      <c r="F313" s="1"/>
      <c r="G313" s="4"/>
      <c r="H313" s="1">
        <f>IFERROR(__xludf.DUMMYFUNCTION("""COMPUTED_VALUE"""),346.49999999999994)</f>
        <v>346.5</v>
      </c>
      <c r="I313" s="5">
        <f>IFERROR(__xludf.DUMMYFUNCTION("""COMPUTED_VALUE"""),49153.5)</f>
        <v>49153.5</v>
      </c>
      <c r="J313" s="1" t="str">
        <f>IFERROR(__xludf.DUMMYFUNCTION("""COMPUTED_VALUE"""),"оплатили в QUGO")</f>
        <v>оплатили в QUGO</v>
      </c>
      <c r="K313" s="1"/>
      <c r="L313" s="1">
        <f>IFERROR(__xludf.DUMMYFUNCTION("""COMPUTED_VALUE"""),7.75162962212E11)</f>
        <v>775162962212</v>
      </c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>
        <f>IFERROR(__xludf.DUMMYFUNCTION("""COMPUTED_VALUE"""),2025.0)</f>
        <v>2025</v>
      </c>
      <c r="B314" s="1" t="str">
        <f>IFERROR(__xludf.DUMMYFUNCTION("""COMPUTED_VALUE"""),"01.12-15.12")</f>
        <v>01.12-15.12</v>
      </c>
      <c r="C314" s="2" t="str">
        <f>IFERROR(__xludf.DUMMYFUNCTION("""COMPUTED_VALUE"""),"Курбанова Саломат Амиркуловна")</f>
        <v>Курбанова Саломат Амиркуловна</v>
      </c>
      <c r="D314" s="1" t="str">
        <f>IFERROR(__xludf.DUMMYFUNCTION("""COMPUTED_VALUE"""),"79252580102")</f>
        <v>79252580102</v>
      </c>
      <c r="E314" s="3">
        <f>IFERROR(__xludf.DUMMYFUNCTION("""COMPUTED_VALUE"""),51800.0)</f>
        <v>51800</v>
      </c>
      <c r="F314" s="1"/>
      <c r="G314" s="4"/>
      <c r="H314" s="1">
        <f>IFERROR(__xludf.DUMMYFUNCTION("""COMPUTED_VALUE"""),362.59999999999997)</f>
        <v>362.6</v>
      </c>
      <c r="I314" s="5">
        <f>IFERROR(__xludf.DUMMYFUNCTION("""COMPUTED_VALUE"""),51437.4)</f>
        <v>51437.4</v>
      </c>
      <c r="J314" s="1" t="str">
        <f>IFERROR(__xludf.DUMMYFUNCTION("""COMPUTED_VALUE"""),"Оплатили")</f>
        <v>Оплатили</v>
      </c>
      <c r="K314" s="1" t="str">
        <f>IFERROR(__xludf.DUMMYFUNCTION("""COMPUTED_VALUE"""),"Оплатили в Джамп")</f>
        <v>Оплатили в Джамп</v>
      </c>
      <c r="L314" s="1">
        <f>IFERROR(__xludf.DUMMYFUNCTION("""COMPUTED_VALUE"""),7.743424938E11)</f>
        <v>774342493800</v>
      </c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>
        <f>IFERROR(__xludf.DUMMYFUNCTION("""COMPUTED_VALUE"""),2025.0)</f>
        <v>2025</v>
      </c>
      <c r="B315" s="1" t="str">
        <f>IFERROR(__xludf.DUMMYFUNCTION("""COMPUTED_VALUE"""),"01.12-15.12")</f>
        <v>01.12-15.12</v>
      </c>
      <c r="C315" s="2" t="str">
        <f>IFERROR(__xludf.DUMMYFUNCTION("""COMPUTED_VALUE"""),"Маматова Хуршедахон Исроиловна")</f>
        <v>Маматова Хуршедахон Исроиловна</v>
      </c>
      <c r="D315" s="1" t="str">
        <f>IFERROR(__xludf.DUMMYFUNCTION("""COMPUTED_VALUE"""),"79288542471")</f>
        <v>79288542471</v>
      </c>
      <c r="E315" s="3">
        <f>IFERROR(__xludf.DUMMYFUNCTION("""COMPUTED_VALUE"""),41600.0)</f>
        <v>41600</v>
      </c>
      <c r="F315" s="1"/>
      <c r="G315" s="4"/>
      <c r="H315" s="1">
        <f>IFERROR(__xludf.DUMMYFUNCTION("""COMPUTED_VALUE"""),291.2)</f>
        <v>291.2</v>
      </c>
      <c r="I315" s="5">
        <f>IFERROR(__xludf.DUMMYFUNCTION("""COMPUTED_VALUE"""),41308.8)</f>
        <v>41308.8</v>
      </c>
      <c r="J315" s="1" t="str">
        <f>IFERROR(__xludf.DUMMYFUNCTION("""COMPUTED_VALUE"""),"оплатили в QUGO")</f>
        <v>оплатили в QUGO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>
        <f>IFERROR(__xludf.DUMMYFUNCTION("""COMPUTED_VALUE"""),2025.0)</f>
        <v>2025</v>
      </c>
      <c r="B316" s="1" t="str">
        <f>IFERROR(__xludf.DUMMYFUNCTION("""COMPUTED_VALUE"""),"01.12-15.12")</f>
        <v>01.12-15.12</v>
      </c>
      <c r="C316" s="2" t="str">
        <f>IFERROR(__xludf.DUMMYFUNCTION("""COMPUTED_VALUE"""),"Курбанов Мехробджон Манучехрович")</f>
        <v>Курбанов Мехробджон Манучехрович</v>
      </c>
      <c r="D316" s="1" t="str">
        <f>IFERROR(__xludf.DUMMYFUNCTION("""COMPUTED_VALUE"""),"79939246738")</f>
        <v>79939246738</v>
      </c>
      <c r="E316" s="3">
        <f>IFERROR(__xludf.DUMMYFUNCTION("""COMPUTED_VALUE"""),40700.0)</f>
        <v>40700</v>
      </c>
      <c r="F316" s="1"/>
      <c r="G316" s="4"/>
      <c r="H316" s="1">
        <f>IFERROR(__xludf.DUMMYFUNCTION("""COMPUTED_VALUE"""),284.9)</f>
        <v>284.9</v>
      </c>
      <c r="I316" s="5">
        <f>IFERROR(__xludf.DUMMYFUNCTION("""COMPUTED_VALUE"""),40415.1)</f>
        <v>40415.1</v>
      </c>
      <c r="J316" s="1" t="str">
        <f>IFERROR(__xludf.DUMMYFUNCTION("""COMPUTED_VALUE"""),"оплатили в QUGO")</f>
        <v>оплатили в QUGO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>
        <f>IFERROR(__xludf.DUMMYFUNCTION("""COMPUTED_VALUE"""),2025.0)</f>
        <v>2025</v>
      </c>
      <c r="B317" s="1" t="str">
        <f>IFERROR(__xludf.DUMMYFUNCTION("""COMPUTED_VALUE"""),"01.12-15.12")</f>
        <v>01.12-15.12</v>
      </c>
      <c r="C317" s="2" t="str">
        <f>IFERROR(__xludf.DUMMYFUNCTION("""COMPUTED_VALUE"""),"Мухммадиев Аббосджон Хуснидин Угли")</f>
        <v>Мухммадиев Аббосджон Хуснидин Угли</v>
      </c>
      <c r="D317" s="1" t="str">
        <f>IFERROR(__xludf.DUMMYFUNCTION("""COMPUTED_VALUE"""),"79255971906")</f>
        <v>79255971906</v>
      </c>
      <c r="E317" s="3">
        <f>IFERROR(__xludf.DUMMYFUNCTION("""COMPUTED_VALUE"""),51350.0)</f>
        <v>51350</v>
      </c>
      <c r="F317" s="1"/>
      <c r="G317" s="4"/>
      <c r="H317" s="1">
        <f>IFERROR(__xludf.DUMMYFUNCTION("""COMPUTED_VALUE"""),359.45)</f>
        <v>359.45</v>
      </c>
      <c r="I317" s="5">
        <f>IFERROR(__xludf.DUMMYFUNCTION("""COMPUTED_VALUE"""),50990.55)</f>
        <v>50990.55</v>
      </c>
      <c r="J317" s="1" t="str">
        <f>IFERROR(__xludf.DUMMYFUNCTION("""COMPUTED_VALUE"""),"оплатили в QUGO")</f>
        <v>оплатили в QUGO</v>
      </c>
      <c r="K317" s="1" t="str">
        <f>IFERROR(__xludf.DUMMYFUNCTION("""COMPUTED_VALUE"""),"Халил оплатил единично")</f>
        <v>Халил оплатил единично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>
        <f>IFERROR(__xludf.DUMMYFUNCTION("""COMPUTED_VALUE"""),2025.0)</f>
        <v>2025</v>
      </c>
      <c r="B318" s="1" t="str">
        <f>IFERROR(__xludf.DUMMYFUNCTION("""COMPUTED_VALUE"""),"01.12-15.12")</f>
        <v>01.12-15.12</v>
      </c>
      <c r="C318" s="2" t="str">
        <f>IFERROR(__xludf.DUMMYFUNCTION("""COMPUTED_VALUE"""),"Расулова Махфуза Зайниддиновна")</f>
        <v>Расулова Махфуза Зайниддиновна</v>
      </c>
      <c r="D318" s="1" t="str">
        <f>IFERROR(__xludf.DUMMYFUNCTION("""COMPUTED_VALUE"""),"79854583155")</f>
        <v>79854583155</v>
      </c>
      <c r="E318" s="3">
        <f>IFERROR(__xludf.DUMMYFUNCTION("""COMPUTED_VALUE"""),56000.0)</f>
        <v>56000</v>
      </c>
      <c r="F318" s="1"/>
      <c r="G318" s="4"/>
      <c r="H318" s="1">
        <f>IFERROR(__xludf.DUMMYFUNCTION("""COMPUTED_VALUE"""),391.99999999999994)</f>
        <v>392</v>
      </c>
      <c r="I318" s="5">
        <f>IFERROR(__xludf.DUMMYFUNCTION("""COMPUTED_VALUE"""),55608.0)</f>
        <v>55608</v>
      </c>
      <c r="J318" s="1" t="str">
        <f>IFERROR(__xludf.DUMMYFUNCTION("""COMPUTED_VALUE"""),"оплатили в QUGO")</f>
        <v>оплатили в QUGO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>
        <f>IFERROR(__xludf.DUMMYFUNCTION("""COMPUTED_VALUE"""),2025.0)</f>
        <v>2025</v>
      </c>
      <c r="B319" s="1" t="str">
        <f>IFERROR(__xludf.DUMMYFUNCTION("""COMPUTED_VALUE"""),"01.12-15.12")</f>
        <v>01.12-15.12</v>
      </c>
      <c r="C319" s="2" t="str">
        <f>IFERROR(__xludf.DUMMYFUNCTION("""COMPUTED_VALUE"""),"Далив Мехроб Шомуродович")</f>
        <v>Далив Мехроб Шомуродович</v>
      </c>
      <c r="D319" s="1" t="str">
        <f>IFERROR(__xludf.DUMMYFUNCTION("""COMPUTED_VALUE"""),"79969875036")</f>
        <v>79969875036</v>
      </c>
      <c r="E319" s="3">
        <f>IFERROR(__xludf.DUMMYFUNCTION("""COMPUTED_VALUE"""),58500.0)</f>
        <v>58500</v>
      </c>
      <c r="F319" s="1"/>
      <c r="G319" s="4"/>
      <c r="H319" s="1">
        <f>IFERROR(__xludf.DUMMYFUNCTION("""COMPUTED_VALUE"""),409.49999999999994)</f>
        <v>409.5</v>
      </c>
      <c r="I319" s="5">
        <f>IFERROR(__xludf.DUMMYFUNCTION("""COMPUTED_VALUE"""),58090.5)</f>
        <v>58090.5</v>
      </c>
      <c r="J319" s="1" t="str">
        <f>IFERROR(__xludf.DUMMYFUNCTION("""COMPUTED_VALUE"""),"Оплатили")</f>
        <v>Оплатили</v>
      </c>
      <c r="K319" s="1" t="str">
        <f>IFERROR(__xludf.DUMMYFUNCTION("""COMPUTED_VALUE"""),"получил на Иброхимзода Юсуф")</f>
        <v>получил на Иброхимзода Юсуф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>
        <f>IFERROR(__xludf.DUMMYFUNCTION("""COMPUTED_VALUE"""),2025.0)</f>
        <v>2025</v>
      </c>
      <c r="B320" s="1" t="str">
        <f>IFERROR(__xludf.DUMMYFUNCTION("""COMPUTED_VALUE"""),"01.12-15.12")</f>
        <v>01.12-15.12</v>
      </c>
      <c r="C320" s="2" t="str">
        <f>IFERROR(__xludf.DUMMYFUNCTION("""COMPUTED_VALUE"""),"Курбанова Умида Юсуб Кизи")</f>
        <v>Курбанова Умида Юсуб Кизи</v>
      </c>
      <c r="D320" s="1" t="str">
        <f>IFERROR(__xludf.DUMMYFUNCTION("""COMPUTED_VALUE"""),"79969669203")</f>
        <v>79969669203</v>
      </c>
      <c r="E320" s="3">
        <f>IFERROR(__xludf.DUMMYFUNCTION("""COMPUTED_VALUE"""),61500.0)</f>
        <v>61500</v>
      </c>
      <c r="F320" s="1"/>
      <c r="G320" s="4"/>
      <c r="H320" s="1">
        <f>IFERROR(__xludf.DUMMYFUNCTION("""COMPUTED_VALUE"""),430.49999999999994)</f>
        <v>430.5</v>
      </c>
      <c r="I320" s="5">
        <f>IFERROR(__xludf.DUMMYFUNCTION("""COMPUTED_VALUE"""),61069.5)</f>
        <v>61069.5</v>
      </c>
      <c r="J320" s="1" t="str">
        <f>IFERROR(__xludf.DUMMYFUNCTION("""COMPUTED_VALUE"""),"оплатили в QUGO")</f>
        <v>оплатили в QUGO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>
        <f>IFERROR(__xludf.DUMMYFUNCTION("""COMPUTED_VALUE"""),2025.0)</f>
        <v>2025</v>
      </c>
      <c r="B321" s="1" t="str">
        <f>IFERROR(__xludf.DUMMYFUNCTION("""COMPUTED_VALUE"""),"01.12-15.12")</f>
        <v>01.12-15.12</v>
      </c>
      <c r="C321" s="2" t="str">
        <f>IFERROR(__xludf.DUMMYFUNCTION("""COMPUTED_VALUE"""),"Эшонкулов Шердил Асроркулович")</f>
        <v>Эшонкулов Шердил Асроркулович</v>
      </c>
      <c r="D321" s="1" t="str">
        <f>IFERROR(__xludf.DUMMYFUNCTION("""COMPUTED_VALUE"""),"79683257111")</f>
        <v>79683257111</v>
      </c>
      <c r="E321" s="3">
        <f>IFERROR(__xludf.DUMMYFUNCTION("""COMPUTED_VALUE"""),60000.0)</f>
        <v>60000</v>
      </c>
      <c r="F321" s="1"/>
      <c r="G321" s="4"/>
      <c r="H321" s="1">
        <f>IFERROR(__xludf.DUMMYFUNCTION("""COMPUTED_VALUE"""),419.99999999999994)</f>
        <v>420</v>
      </c>
      <c r="I321" s="5">
        <f>IFERROR(__xludf.DUMMYFUNCTION("""COMPUTED_VALUE"""),59580.0)</f>
        <v>59580</v>
      </c>
      <c r="J321" s="1" t="str">
        <f>IFERROR(__xludf.DUMMYFUNCTION("""COMPUTED_VALUE"""),"оплатили в QUGO")</f>
        <v>оплатили в QUGO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>
        <f>IFERROR(__xludf.DUMMYFUNCTION("""COMPUTED_VALUE"""),2025.0)</f>
        <v>2025</v>
      </c>
      <c r="B322" s="1" t="str">
        <f>IFERROR(__xludf.DUMMYFUNCTION("""COMPUTED_VALUE"""),"01.12-15.12")</f>
        <v>01.12-15.12</v>
      </c>
      <c r="C322" s="2" t="str">
        <f>IFERROR(__xludf.DUMMYFUNCTION("""COMPUTED_VALUE"""),"Маматханов Дилмурод")</f>
        <v>Маматханов Дилмурод</v>
      </c>
      <c r="D322" s="1" t="str">
        <f>IFERROR(__xludf.DUMMYFUNCTION("""COMPUTED_VALUE"""),"79997168584")</f>
        <v>79997168584</v>
      </c>
      <c r="E322" s="3">
        <f>IFERROR(__xludf.DUMMYFUNCTION("""COMPUTED_VALUE"""),67500.0)</f>
        <v>67500</v>
      </c>
      <c r="F322" s="1"/>
      <c r="G322" s="4"/>
      <c r="H322" s="1">
        <f>IFERROR(__xludf.DUMMYFUNCTION("""COMPUTED_VALUE"""),472.49999999999994)</f>
        <v>472.5</v>
      </c>
      <c r="I322" s="5">
        <f>IFERROR(__xludf.DUMMYFUNCTION("""COMPUTED_VALUE"""),67027.5)</f>
        <v>67027.5</v>
      </c>
      <c r="J322" s="1" t="str">
        <f>IFERROR(__xludf.DUMMYFUNCTION("""COMPUTED_VALUE"""),"оплатили в QUGO")</f>
        <v>оплатили в QUGO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>
        <f>IFERROR(__xludf.DUMMYFUNCTION("""COMPUTED_VALUE"""),2025.0)</f>
        <v>2025</v>
      </c>
      <c r="B323" s="1" t="str">
        <f>IFERROR(__xludf.DUMMYFUNCTION("""COMPUTED_VALUE"""),"01.12-15.12")</f>
        <v>01.12-15.12</v>
      </c>
      <c r="C323" s="2" t="str">
        <f>IFERROR(__xludf.DUMMYFUNCTION("""COMPUTED_VALUE"""),"Бобожонова Фарида")</f>
        <v>Бобожонова Фарида</v>
      </c>
      <c r="D323" s="1" t="str">
        <f>IFERROR(__xludf.DUMMYFUNCTION("""COMPUTED_VALUE"""),"79163023415")</f>
        <v>79163023415</v>
      </c>
      <c r="E323" s="3">
        <f>IFERROR(__xludf.DUMMYFUNCTION("""COMPUTED_VALUE"""),50400.0)</f>
        <v>50400</v>
      </c>
      <c r="F323" s="1"/>
      <c r="G323" s="4"/>
      <c r="H323" s="1">
        <f>IFERROR(__xludf.DUMMYFUNCTION("""COMPUTED_VALUE"""),352.79999999999995)</f>
        <v>352.8</v>
      </c>
      <c r="I323" s="5">
        <f>IFERROR(__xludf.DUMMYFUNCTION("""COMPUTED_VALUE"""),50047.2)</f>
        <v>50047.2</v>
      </c>
      <c r="J323" s="1" t="str">
        <f>IFERROR(__xludf.DUMMYFUNCTION("""COMPUTED_VALUE"""),"оплатили в QUGO")</f>
        <v>оплатили в QUGO</v>
      </c>
      <c r="K323" s="1" t="str">
        <f>IFERROR(__xludf.DUMMYFUNCTION("""COMPUTED_VALUE"""),"получила через Расулова Махфуза Зайниддиновна")</f>
        <v>получила через Расулова Махфуза Зайниддиновна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>
        <f>IFERROR(__xludf.DUMMYFUNCTION("""COMPUTED_VALUE"""),2025.0)</f>
        <v>2025</v>
      </c>
      <c r="B324" s="1" t="str">
        <f>IFERROR(__xludf.DUMMYFUNCTION("""COMPUTED_VALUE"""),"01.12-15.12")</f>
        <v>01.12-15.12</v>
      </c>
      <c r="C324" s="2" t="str">
        <f>IFERROR(__xludf.DUMMYFUNCTION("""COMPUTED_VALUE"""),"Уринова Гульсара")</f>
        <v>Уринова Гульсара</v>
      </c>
      <c r="D324" s="1" t="str">
        <f>IFERROR(__xludf.DUMMYFUNCTION("""COMPUTED_VALUE"""),"79969800138")</f>
        <v>79969800138</v>
      </c>
      <c r="E324" s="3">
        <f>IFERROR(__xludf.DUMMYFUNCTION("""COMPUTED_VALUE"""),59000.0)</f>
        <v>59000</v>
      </c>
      <c r="F324" s="1"/>
      <c r="G324" s="4"/>
      <c r="H324" s="1">
        <f>IFERROR(__xludf.DUMMYFUNCTION("""COMPUTED_VALUE"""),412.99999999999994)</f>
        <v>413</v>
      </c>
      <c r="I324" s="5">
        <f>IFERROR(__xludf.DUMMYFUNCTION("""COMPUTED_VALUE"""),58587.0)</f>
        <v>58587</v>
      </c>
      <c r="J324" s="1" t="str">
        <f>IFERROR(__xludf.DUMMYFUNCTION("""COMPUTED_VALUE"""),"оплатили в QUGO")</f>
        <v>оплатили в QUGO</v>
      </c>
      <c r="K324" s="1"/>
      <c r="L324" s="1">
        <f>IFERROR(__xludf.DUMMYFUNCTION("""COMPUTED_VALUE"""),7.75175950165E11)</f>
        <v>775175950165</v>
      </c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>
        <f>IFERROR(__xludf.DUMMYFUNCTION("""COMPUTED_VALUE"""),2025.0)</f>
        <v>2025</v>
      </c>
      <c r="B325" s="1" t="str">
        <f>IFERROR(__xludf.DUMMYFUNCTION("""COMPUTED_VALUE"""),"01.12-15.12")</f>
        <v>01.12-15.12</v>
      </c>
      <c r="C325" s="2" t="str">
        <f>IFERROR(__xludf.DUMMYFUNCTION("""COMPUTED_VALUE"""),"Булдурсунова Алина")</f>
        <v>Булдурсунова Алина</v>
      </c>
      <c r="D325" s="1" t="str">
        <f>IFERROR(__xludf.DUMMYFUNCTION("""COMPUTED_VALUE"""),"79990032538")</f>
        <v>79990032538</v>
      </c>
      <c r="E325" s="3">
        <f>IFERROR(__xludf.DUMMYFUNCTION("""COMPUTED_VALUE"""),48742.0)</f>
        <v>48742</v>
      </c>
      <c r="F325" s="1"/>
      <c r="G325" s="4"/>
      <c r="H325" s="1">
        <f>IFERROR(__xludf.DUMMYFUNCTION("""COMPUTED_VALUE"""),341.19399999999996)</f>
        <v>341.194</v>
      </c>
      <c r="I325" s="5">
        <f>IFERROR(__xludf.DUMMYFUNCTION("""COMPUTED_VALUE"""),48400.806)</f>
        <v>48400.806</v>
      </c>
      <c r="J325" s="1" t="str">
        <f>IFERROR(__xludf.DUMMYFUNCTION("""COMPUTED_VALUE"""),"оплатили в QUGO")</f>
        <v>оплатили в QUGO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>
        <f>IFERROR(__xludf.DUMMYFUNCTION("""COMPUTED_VALUE"""),2025.0)</f>
        <v>2025</v>
      </c>
      <c r="B326" s="1" t="str">
        <f>IFERROR(__xludf.DUMMYFUNCTION("""COMPUTED_VALUE"""),"01.12-15.12")</f>
        <v>01.12-15.12</v>
      </c>
      <c r="C326" s="2" t="str">
        <f>IFERROR(__xludf.DUMMYFUNCTION("""COMPUTED_VALUE"""),"Азиззода Джамшед")</f>
        <v>Азиззода Джамшед</v>
      </c>
      <c r="D326" s="1" t="str">
        <f>IFERROR(__xludf.DUMMYFUNCTION("""COMPUTED_VALUE"""),"79116699346")</f>
        <v>79116699346</v>
      </c>
      <c r="E326" s="3">
        <f>IFERROR(__xludf.DUMMYFUNCTION("""COMPUTED_VALUE"""),51608.0)</f>
        <v>51608</v>
      </c>
      <c r="F326" s="1"/>
      <c r="G326" s="4"/>
      <c r="H326" s="1">
        <f>IFERROR(__xludf.DUMMYFUNCTION("""COMPUTED_VALUE"""),361.256)</f>
        <v>361.256</v>
      </c>
      <c r="I326" s="5">
        <f>IFERROR(__xludf.DUMMYFUNCTION("""COMPUTED_VALUE"""),51246.744)</f>
        <v>51246.744</v>
      </c>
      <c r="J326" s="1" t="str">
        <f>IFERROR(__xludf.DUMMYFUNCTION("""COMPUTED_VALUE"""),"Оплатили")</f>
        <v>Оплатили</v>
      </c>
      <c r="K326" s="1" t="str">
        <f>IFERROR(__xludf.DUMMYFUNCTION("""COMPUTED_VALUE"""),"Оплатили в Джамп")</f>
        <v>Оплатили в Джамп</v>
      </c>
      <c r="L326" s="1">
        <f>IFERROR(__xludf.DUMMYFUNCTION("""COMPUTED_VALUE"""),1.00000868544E11)</f>
        <v>100000868544</v>
      </c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>
        <f>IFERROR(__xludf.DUMMYFUNCTION("""COMPUTED_VALUE"""),2025.0)</f>
        <v>2025</v>
      </c>
      <c r="B327" s="1" t="str">
        <f>IFERROR(__xludf.DUMMYFUNCTION("""COMPUTED_VALUE"""),"01.12-15.12")</f>
        <v>01.12-15.12</v>
      </c>
      <c r="C327" s="2" t="str">
        <f>IFERROR(__xludf.DUMMYFUNCTION("""COMPUTED_VALUE"""),"Азимбай уулу Умар")</f>
        <v>Азимбай уулу Умар</v>
      </c>
      <c r="D327" s="1" t="str">
        <f>IFERROR(__xludf.DUMMYFUNCTION("""COMPUTED_VALUE"""),"79031140181")</f>
        <v>79031140181</v>
      </c>
      <c r="E327" s="3">
        <f>IFERROR(__xludf.DUMMYFUNCTION("""COMPUTED_VALUE"""),16287.0)</f>
        <v>16287</v>
      </c>
      <c r="F327" s="1"/>
      <c r="G327" s="4"/>
      <c r="H327" s="1">
        <f>IFERROR(__xludf.DUMMYFUNCTION("""COMPUTED_VALUE"""),114.00899999999999)</f>
        <v>114.009</v>
      </c>
      <c r="I327" s="5">
        <f>IFERROR(__xludf.DUMMYFUNCTION("""COMPUTED_VALUE"""),16172.991)</f>
        <v>16172.991</v>
      </c>
      <c r="J327" s="1" t="str">
        <f>IFERROR(__xludf.DUMMYFUNCTION("""COMPUTED_VALUE"""),"оплатили в QUGO")</f>
        <v>оплатили в QUGO</v>
      </c>
      <c r="K327" s="1" t="str">
        <f>IFERROR(__xludf.DUMMYFUNCTION("""COMPUTED_VALUE"""),"получила за себя, и получила за еще за двоих: Исмоилов Хусанбой 43000, Нематова Мархабо 22400")</f>
        <v>получила за себя, и получила за еще за двоих: Исмоилов Хусанбой 43000, Нематова Мархабо 22400</v>
      </c>
      <c r="L327" s="1">
        <f>IFERROR(__xludf.DUMMYFUNCTION("""COMPUTED_VALUE"""),5.0277590954E11)</f>
        <v>502775909540</v>
      </c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>
        <f>IFERROR(__xludf.DUMMYFUNCTION("""COMPUTED_VALUE"""),2025.0)</f>
        <v>2025</v>
      </c>
      <c r="B328" s="1" t="str">
        <f>IFERROR(__xludf.DUMMYFUNCTION("""COMPUTED_VALUE"""),"01.12-15.12")</f>
        <v>01.12-15.12</v>
      </c>
      <c r="C328" s="2" t="str">
        <f>IFERROR(__xludf.DUMMYFUNCTION("""COMPUTED_VALUE"""),"Гапарова Бегимай")</f>
        <v>Гапарова Бегимай</v>
      </c>
      <c r="D328" s="1" t="str">
        <f>IFERROR(__xludf.DUMMYFUNCTION("""COMPUTED_VALUE"""),"79257537783")</f>
        <v>79257537783</v>
      </c>
      <c r="E328" s="3">
        <f>IFERROR(__xludf.DUMMYFUNCTION("""COMPUTED_VALUE"""),16500.0)</f>
        <v>16500</v>
      </c>
      <c r="F328" s="1"/>
      <c r="G328" s="4"/>
      <c r="H328" s="1">
        <f>IFERROR(__xludf.DUMMYFUNCTION("""COMPUTED_VALUE"""),115.49999999999999)</f>
        <v>115.5</v>
      </c>
      <c r="I328" s="5">
        <f>IFERROR(__xludf.DUMMYFUNCTION("""COMPUTED_VALUE"""),16384.5)</f>
        <v>16384.5</v>
      </c>
      <c r="J328" s="1" t="str">
        <f>IFERROR(__xludf.DUMMYFUNCTION("""COMPUTED_VALUE"""),"оплатили в QUGO")</f>
        <v>оплатили в QUGO</v>
      </c>
      <c r="K328" s="1"/>
      <c r="L328" s="1">
        <f>IFERROR(__xludf.DUMMYFUNCTION("""COMPUTED_VALUE"""),7.72065375012E11)</f>
        <v>772065375012</v>
      </c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>
        <f>IFERROR(__xludf.DUMMYFUNCTION("""COMPUTED_VALUE"""),2025.0)</f>
        <v>2025</v>
      </c>
      <c r="B329" s="1" t="str">
        <f>IFERROR(__xludf.DUMMYFUNCTION("""COMPUTED_VALUE"""),"01.12-15.12")</f>
        <v>01.12-15.12</v>
      </c>
      <c r="C329" s="2" t="str">
        <f>IFERROR(__xludf.DUMMYFUNCTION("""COMPUTED_VALUE"""),"Оторбаев Бектурган")</f>
        <v>Оторбаев Бектурган</v>
      </c>
      <c r="D329" s="1" t="str">
        <f>IFERROR(__xludf.DUMMYFUNCTION("""COMPUTED_VALUE"""),"79777540107")</f>
        <v>79777540107</v>
      </c>
      <c r="E329" s="3">
        <f>IFERROR(__xludf.DUMMYFUNCTION("""COMPUTED_VALUE"""),55400.0)</f>
        <v>55400</v>
      </c>
      <c r="F329" s="1"/>
      <c r="G329" s="4"/>
      <c r="H329" s="1">
        <f>IFERROR(__xludf.DUMMYFUNCTION("""COMPUTED_VALUE"""),387.79999999999995)</f>
        <v>387.8</v>
      </c>
      <c r="I329" s="5">
        <f>IFERROR(__xludf.DUMMYFUNCTION("""COMPUTED_VALUE"""),55012.2)</f>
        <v>55012.2</v>
      </c>
      <c r="J329" s="1" t="str">
        <f>IFERROR(__xludf.DUMMYFUNCTION("""COMPUTED_VALUE"""),"Оплатили")</f>
        <v>Оплатили</v>
      </c>
      <c r="K329" s="1" t="str">
        <f>IFERROR(__xludf.DUMMYFUNCTION("""COMPUTED_VALUE"""),"Оплатили в Джамп")</f>
        <v>Оплатили в Джамп</v>
      </c>
      <c r="L329" s="1">
        <f>IFERROR(__xludf.DUMMYFUNCTION("""COMPUTED_VALUE"""),5.01220476256E11)</f>
        <v>501220476256</v>
      </c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>
        <f>IFERROR(__xludf.DUMMYFUNCTION("""COMPUTED_VALUE"""),2025.0)</f>
        <v>2025</v>
      </c>
      <c r="B330" s="1" t="str">
        <f>IFERROR(__xludf.DUMMYFUNCTION("""COMPUTED_VALUE"""),"01.12-15.12")</f>
        <v>01.12-15.12</v>
      </c>
      <c r="C330" s="2" t="str">
        <f>IFERROR(__xludf.DUMMYFUNCTION("""COMPUTED_VALUE"""),"Курманбаева Назиира")</f>
        <v>Курманбаева Назиира</v>
      </c>
      <c r="D330" s="1" t="str">
        <f>IFERROR(__xludf.DUMMYFUNCTION("""COMPUTED_VALUE"""),"79254475417")</f>
        <v>79254475417</v>
      </c>
      <c r="E330" s="3">
        <f>IFERROR(__xludf.DUMMYFUNCTION("""COMPUTED_VALUE"""),58000.0)</f>
        <v>58000</v>
      </c>
      <c r="F330" s="1"/>
      <c r="G330" s="4"/>
      <c r="H330" s="1">
        <f>IFERROR(__xludf.DUMMYFUNCTION("""COMPUTED_VALUE"""),405.99999999999994)</f>
        <v>406</v>
      </c>
      <c r="I330" s="5">
        <f>IFERROR(__xludf.DUMMYFUNCTION("""COMPUTED_VALUE"""),57594.0)</f>
        <v>57594</v>
      </c>
      <c r="J330" s="1" t="str">
        <f>IFERROR(__xludf.DUMMYFUNCTION("""COMPUTED_VALUE"""),"оплатили в QUGO")</f>
        <v>оплатили в QUGO</v>
      </c>
      <c r="K330" s="1"/>
      <c r="L330" s="1">
        <f>IFERROR(__xludf.DUMMYFUNCTION("""COMPUTED_VALUE"""),7.71487450668E11)</f>
        <v>771487450668</v>
      </c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>
        <f>IFERROR(__xludf.DUMMYFUNCTION("""COMPUTED_VALUE"""),2025.0)</f>
        <v>2025</v>
      </c>
      <c r="B331" s="1" t="str">
        <f>IFERROR(__xludf.DUMMYFUNCTION("""COMPUTED_VALUE"""),"01.12-15.12")</f>
        <v>01.12-15.12</v>
      </c>
      <c r="C331" s="2" t="str">
        <f>IFERROR(__xludf.DUMMYFUNCTION("""COMPUTED_VALUE"""),"Сайдалиев Салмон")</f>
        <v>Сайдалиев Салмон</v>
      </c>
      <c r="D331" s="1" t="str">
        <f>IFERROR(__xludf.DUMMYFUNCTION("""COMPUTED_VALUE"""),"79309826676")</f>
        <v>79309826676</v>
      </c>
      <c r="E331" s="3">
        <f>IFERROR(__xludf.DUMMYFUNCTION("""COMPUTED_VALUE"""),68000.0)</f>
        <v>68000</v>
      </c>
      <c r="F331" s="1"/>
      <c r="G331" s="4"/>
      <c r="H331" s="1">
        <f>IFERROR(__xludf.DUMMYFUNCTION("""COMPUTED_VALUE"""),475.99999999999994)</f>
        <v>476</v>
      </c>
      <c r="I331" s="5">
        <f>IFERROR(__xludf.DUMMYFUNCTION("""COMPUTED_VALUE"""),67524.0)</f>
        <v>67524</v>
      </c>
      <c r="J331" s="1" t="str">
        <f>IFERROR(__xludf.DUMMYFUNCTION("""COMPUTED_VALUE"""),"оплатили в QUGO")</f>
        <v>оплатили в QUGO</v>
      </c>
      <c r="K331" s="1"/>
      <c r="L331" s="1">
        <f>IFERROR(__xludf.DUMMYFUNCTION("""COMPUTED_VALUE"""),5.00924497331E11)</f>
        <v>500924497331</v>
      </c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>
        <f>IFERROR(__xludf.DUMMYFUNCTION("""COMPUTED_VALUE"""),2025.0)</f>
        <v>2025</v>
      </c>
      <c r="B332" s="1" t="str">
        <f>IFERROR(__xludf.DUMMYFUNCTION("""COMPUTED_VALUE"""),"01.12-15.12")</f>
        <v>01.12-15.12</v>
      </c>
      <c r="C332" s="2" t="str">
        <f>IFERROR(__xludf.DUMMYFUNCTION("""COMPUTED_VALUE"""),"Атаев Иброхим")</f>
        <v>Атаев Иброхим</v>
      </c>
      <c r="D332" s="1" t="str">
        <f>IFERROR(__xludf.DUMMYFUNCTION("""COMPUTED_VALUE"""),"79776848725")</f>
        <v>79776848725</v>
      </c>
      <c r="E332" s="3">
        <f>IFERROR(__xludf.DUMMYFUNCTION("""COMPUTED_VALUE"""),59333.0)</f>
        <v>59333</v>
      </c>
      <c r="F332" s="1"/>
      <c r="G332" s="4"/>
      <c r="H332" s="1">
        <f>IFERROR(__xludf.DUMMYFUNCTION("""COMPUTED_VALUE"""),415.33099999999996)</f>
        <v>415.331</v>
      </c>
      <c r="I332" s="5">
        <f>IFERROR(__xludf.DUMMYFUNCTION("""COMPUTED_VALUE"""),58917.669)</f>
        <v>58917.669</v>
      </c>
      <c r="J332" s="1" t="str">
        <f>IFERROR(__xludf.DUMMYFUNCTION("""COMPUTED_VALUE"""),"оплатили в QUGO")</f>
        <v>оплатили в QUGO</v>
      </c>
      <c r="K332" s="1"/>
      <c r="L332" s="1">
        <f>IFERROR(__xludf.DUMMYFUNCTION("""COMPUTED_VALUE"""),2.46415369245E11)</f>
        <v>246415369245</v>
      </c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>
        <f>IFERROR(__xludf.DUMMYFUNCTION("""COMPUTED_VALUE"""),2025.0)</f>
        <v>2025</v>
      </c>
      <c r="B333" s="1" t="str">
        <f>IFERROR(__xludf.DUMMYFUNCTION("""COMPUTED_VALUE"""),"01.12-15.12")</f>
        <v>01.12-15.12</v>
      </c>
      <c r="C333" s="2" t="str">
        <f>IFERROR(__xludf.DUMMYFUNCTION("""COMPUTED_VALUE"""),"Исмаилов Хусанбой")</f>
        <v>Исмаилов Хусанбой</v>
      </c>
      <c r="D333" s="1" t="str">
        <f>IFERROR(__xludf.DUMMYFUNCTION("""COMPUTED_VALUE"""),"79969888664")</f>
        <v>79969888664</v>
      </c>
      <c r="E333" s="3">
        <f>IFERROR(__xludf.DUMMYFUNCTION("""COMPUTED_VALUE"""),43000.0)</f>
        <v>43000</v>
      </c>
      <c r="F333" s="1"/>
      <c r="G333" s="4"/>
      <c r="H333" s="1">
        <f>IFERROR(__xludf.DUMMYFUNCTION("""COMPUTED_VALUE"""),300.99999999999994)</f>
        <v>301</v>
      </c>
      <c r="I333" s="5">
        <f>IFERROR(__xludf.DUMMYFUNCTION("""COMPUTED_VALUE"""),42699.0)</f>
        <v>42699</v>
      </c>
      <c r="J333" s="1" t="str">
        <f>IFERROR(__xludf.DUMMYFUNCTION("""COMPUTED_VALUE"""),"Оплатили")</f>
        <v>Оплатили</v>
      </c>
      <c r="K333" s="1" t="str">
        <f>IFERROR(__xludf.DUMMYFUNCTION("""COMPUTED_VALUE"""),"Оплатили в Джамп")</f>
        <v>Оплатили в Джамп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>
        <f>IFERROR(__xludf.DUMMYFUNCTION("""COMPUTED_VALUE"""),2025.0)</f>
        <v>2025</v>
      </c>
      <c r="B334" s="1" t="str">
        <f>IFERROR(__xludf.DUMMYFUNCTION("""COMPUTED_VALUE"""),"01.12-15.12")</f>
        <v>01.12-15.12</v>
      </c>
      <c r="C334" s="2" t="str">
        <f>IFERROR(__xludf.DUMMYFUNCTION("""COMPUTED_VALUE"""),"Сулейманов Санжар")</f>
        <v>Сулейманов Санжар</v>
      </c>
      <c r="D334" s="1" t="str">
        <f>IFERROR(__xludf.DUMMYFUNCTION("""COMPUTED_VALUE"""),"79313709033")</f>
        <v>79313709033</v>
      </c>
      <c r="E334" s="3">
        <f>IFERROR(__xludf.DUMMYFUNCTION("""COMPUTED_VALUE"""),93430.0)</f>
        <v>93430</v>
      </c>
      <c r="F334" s="1"/>
      <c r="G334" s="4"/>
      <c r="H334" s="1">
        <f>IFERROR(__xludf.DUMMYFUNCTION("""COMPUTED_VALUE"""),654.0099999999999)</f>
        <v>654.01</v>
      </c>
      <c r="I334" s="5">
        <f>IFERROR(__xludf.DUMMYFUNCTION("""COMPUTED_VALUE"""),92775.99)</f>
        <v>92775.99</v>
      </c>
      <c r="J334" s="1" t="str">
        <f>IFERROR(__xludf.DUMMYFUNCTION("""COMPUTED_VALUE"""),"оплатили в QUGO")</f>
        <v>оплатили в QUGO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>
        <f>IFERROR(__xludf.DUMMYFUNCTION("""COMPUTED_VALUE"""),2025.0)</f>
        <v>2025</v>
      </c>
      <c r="B335" s="1" t="str">
        <f>IFERROR(__xludf.DUMMYFUNCTION("""COMPUTED_VALUE"""),"01.12-15.12")</f>
        <v>01.12-15.12</v>
      </c>
      <c r="C335" s="2" t="str">
        <f>IFERROR(__xludf.DUMMYFUNCTION("""COMPUTED_VALUE"""),"Абдурахманов Улугбек")</f>
        <v>Абдурахманов Улугбек</v>
      </c>
      <c r="D335" s="1" t="str">
        <f>IFERROR(__xludf.DUMMYFUNCTION("""COMPUTED_VALUE"""),"79775787432")</f>
        <v>79775787432</v>
      </c>
      <c r="E335" s="3">
        <f>IFERROR(__xludf.DUMMYFUNCTION("""COMPUTED_VALUE"""),46500.0)</f>
        <v>46500</v>
      </c>
      <c r="F335" s="1"/>
      <c r="G335" s="4"/>
      <c r="H335" s="1">
        <f>IFERROR(__xludf.DUMMYFUNCTION("""COMPUTED_VALUE"""),325.49999999999994)</f>
        <v>325.5</v>
      </c>
      <c r="I335" s="5">
        <f>IFERROR(__xludf.DUMMYFUNCTION("""COMPUTED_VALUE"""),46174.5)</f>
        <v>46174.5</v>
      </c>
      <c r="J335" s="1" t="str">
        <f>IFERROR(__xludf.DUMMYFUNCTION("""COMPUTED_VALUE"""),"оплатили в QUGO")</f>
        <v>оплатили в QUGO</v>
      </c>
      <c r="K335" s="1"/>
      <c r="L335" s="1">
        <f>IFERROR(__xludf.DUMMYFUNCTION("""COMPUTED_VALUE"""),4.02513629575E11)</f>
        <v>402513629575</v>
      </c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>
        <f>IFERROR(__xludf.DUMMYFUNCTION("""COMPUTED_VALUE"""),2025.0)</f>
        <v>2025</v>
      </c>
      <c r="B336" s="1" t="str">
        <f>IFERROR(__xludf.DUMMYFUNCTION("""COMPUTED_VALUE"""),"01.12-15.12")</f>
        <v>01.12-15.12</v>
      </c>
      <c r="C336" s="2" t="str">
        <f>IFERROR(__xludf.DUMMYFUNCTION("""COMPUTED_VALUE"""),"Зиятова Комила")</f>
        <v>Зиятова Комила</v>
      </c>
      <c r="D336" s="1" t="str">
        <f>IFERROR(__xludf.DUMMYFUNCTION("""COMPUTED_VALUE"""),"79969818788")</f>
        <v>79969818788</v>
      </c>
      <c r="E336" s="3">
        <f>IFERROR(__xludf.DUMMYFUNCTION("""COMPUTED_VALUE"""),46200.0)</f>
        <v>46200</v>
      </c>
      <c r="F336" s="1"/>
      <c r="G336" s="4"/>
      <c r="H336" s="1">
        <f>IFERROR(__xludf.DUMMYFUNCTION("""COMPUTED_VALUE"""),323.4)</f>
        <v>323.4</v>
      </c>
      <c r="I336" s="5">
        <f>IFERROR(__xludf.DUMMYFUNCTION("""COMPUTED_VALUE"""),45876.6)</f>
        <v>45876.6</v>
      </c>
      <c r="J336" s="1" t="str">
        <f>IFERROR(__xludf.DUMMYFUNCTION("""COMPUTED_VALUE"""),"оплатили в QUGO")</f>
        <v>оплатили в QUGO</v>
      </c>
      <c r="K336" s="1"/>
      <c r="L336" s="1">
        <f>IFERROR(__xludf.DUMMYFUNCTION("""COMPUTED_VALUE"""),7.81160795068E11)</f>
        <v>781160795068</v>
      </c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>
        <f>IFERROR(__xludf.DUMMYFUNCTION("""COMPUTED_VALUE"""),2025.0)</f>
        <v>2025</v>
      </c>
      <c r="B337" s="1" t="str">
        <f>IFERROR(__xludf.DUMMYFUNCTION("""COMPUTED_VALUE"""),"01.12-15.12")</f>
        <v>01.12-15.12</v>
      </c>
      <c r="C337" s="2" t="str">
        <f>IFERROR(__xludf.DUMMYFUNCTION("""COMPUTED_VALUE"""),"Мухидинова Ирода")</f>
        <v>Мухидинова Ирода</v>
      </c>
      <c r="D337" s="1" t="str">
        <f>IFERROR(__xludf.DUMMYFUNCTION("""COMPUTED_VALUE"""),"79055847717")</f>
        <v>79055847717</v>
      </c>
      <c r="E337" s="3">
        <f>IFERROR(__xludf.DUMMYFUNCTION("""COMPUTED_VALUE"""),52500.0)</f>
        <v>52500</v>
      </c>
      <c r="F337" s="1"/>
      <c r="G337" s="4"/>
      <c r="H337" s="1">
        <f>IFERROR(__xludf.DUMMYFUNCTION("""COMPUTED_VALUE"""),367.49999999999994)</f>
        <v>367.5</v>
      </c>
      <c r="I337" s="5">
        <f>IFERROR(__xludf.DUMMYFUNCTION("""COMPUTED_VALUE"""),52132.5)</f>
        <v>52132.5</v>
      </c>
      <c r="J337" s="1" t="str">
        <f>IFERROR(__xludf.DUMMYFUNCTION("""COMPUTED_VALUE"""),"оплатили в QUGO")</f>
        <v>оплатили в QUGO</v>
      </c>
      <c r="K337" s="1"/>
      <c r="L337" s="1">
        <f>IFERROR(__xludf.DUMMYFUNCTION("""COMPUTED_VALUE"""),7.7242950104E11)</f>
        <v>772429501040</v>
      </c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>
        <f>IFERROR(__xludf.DUMMYFUNCTION("""COMPUTED_VALUE"""),2025.0)</f>
        <v>2025</v>
      </c>
      <c r="B338" s="1" t="str">
        <f>IFERROR(__xludf.DUMMYFUNCTION("""COMPUTED_VALUE"""),"01.12-15.12")</f>
        <v>01.12-15.12</v>
      </c>
      <c r="C338" s="2" t="str">
        <f>IFERROR(__xludf.DUMMYFUNCTION("""COMPUTED_VALUE"""),"Рашид кызы Айгул")</f>
        <v>Рашид кызы Айгул</v>
      </c>
      <c r="D338" s="1" t="str">
        <f>IFERROR(__xludf.DUMMYFUNCTION("""COMPUTED_VALUE"""),"79939224735")</f>
        <v>79939224735</v>
      </c>
      <c r="E338" s="3">
        <f>IFERROR(__xludf.DUMMYFUNCTION("""COMPUTED_VALUE"""),19200.0)</f>
        <v>19200</v>
      </c>
      <c r="F338" s="1"/>
      <c r="G338" s="4"/>
      <c r="H338" s="1">
        <f>IFERROR(__xludf.DUMMYFUNCTION("""COMPUTED_VALUE"""),134.39999999999998)</f>
        <v>134.4</v>
      </c>
      <c r="I338" s="5">
        <f>IFERROR(__xludf.DUMMYFUNCTION("""COMPUTED_VALUE"""),19065.6)</f>
        <v>19065.6</v>
      </c>
      <c r="J338" s="1" t="str">
        <f>IFERROR(__xludf.DUMMYFUNCTION("""COMPUTED_VALUE"""),"оплатили в QUGO")</f>
        <v>оплатили в QUGO</v>
      </c>
      <c r="K338" s="1"/>
      <c r="L338" s="1">
        <f>IFERROR(__xludf.DUMMYFUNCTION("""COMPUTED_VALUE"""),9.10319207378E11)</f>
        <v>910319207378</v>
      </c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>
        <f>IFERROR(__xludf.DUMMYFUNCTION("""COMPUTED_VALUE"""),2025.0)</f>
        <v>2025</v>
      </c>
      <c r="B339" s="1" t="str">
        <f>IFERROR(__xludf.DUMMYFUNCTION("""COMPUTED_VALUE"""),"01.12-15.12")</f>
        <v>01.12-15.12</v>
      </c>
      <c r="C339" s="2" t="str">
        <f>IFERROR(__xludf.DUMMYFUNCTION("""COMPUTED_VALUE"""),"Нематова Мархабо")</f>
        <v>Нематова Мархабо</v>
      </c>
      <c r="D339" s="1" t="str">
        <f>IFERROR(__xludf.DUMMYFUNCTION("""COMPUTED_VALUE"""),"79955575643")</f>
        <v>79955575643</v>
      </c>
      <c r="E339" s="3">
        <f>IFERROR(__xludf.DUMMYFUNCTION("""COMPUTED_VALUE"""),22400.0)</f>
        <v>22400</v>
      </c>
      <c r="F339" s="1"/>
      <c r="G339" s="4"/>
      <c r="H339" s="1">
        <f>IFERROR(__xludf.DUMMYFUNCTION("""COMPUTED_VALUE"""),156.79999999999998)</f>
        <v>156.8</v>
      </c>
      <c r="I339" s="5">
        <f>IFERROR(__xludf.DUMMYFUNCTION("""COMPUTED_VALUE"""),22243.2)</f>
        <v>22243.2</v>
      </c>
      <c r="J339" s="1" t="str">
        <f>IFERROR(__xludf.DUMMYFUNCTION("""COMPUTED_VALUE"""),"Оплатили")</f>
        <v>Оплатили</v>
      </c>
      <c r="K339" s="1" t="str">
        <f>IFERROR(__xludf.DUMMYFUNCTION("""COMPUTED_VALUE"""),"Оплатили в Джамп")</f>
        <v>Оплатили в Джамп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>
        <f>IFERROR(__xludf.DUMMYFUNCTION("""COMPUTED_VALUE"""),2025.0)</f>
        <v>2025</v>
      </c>
      <c r="B340" s="1" t="str">
        <f>IFERROR(__xludf.DUMMYFUNCTION("""COMPUTED_VALUE"""),"01.12-15.12")</f>
        <v>01.12-15.12</v>
      </c>
      <c r="C340" s="2" t="str">
        <f>IFERROR(__xludf.DUMMYFUNCTION("""COMPUTED_VALUE"""),"Муратова Саида")</f>
        <v>Муратова Саида</v>
      </c>
      <c r="D340" s="1" t="str">
        <f>IFERROR(__xludf.DUMMYFUNCTION("""COMPUTED_VALUE"""),"79940963498")</f>
        <v>79940963498</v>
      </c>
      <c r="E340" s="3">
        <f>IFERROR(__xludf.DUMMYFUNCTION("""COMPUTED_VALUE"""),39000.0)</f>
        <v>39000</v>
      </c>
      <c r="F340" s="1"/>
      <c r="G340" s="4"/>
      <c r="H340" s="1">
        <f>IFERROR(__xludf.DUMMYFUNCTION("""COMPUTED_VALUE"""),273.0)</f>
        <v>273</v>
      </c>
      <c r="I340" s="5">
        <f>IFERROR(__xludf.DUMMYFUNCTION("""COMPUTED_VALUE"""),38727.0)</f>
        <v>38727</v>
      </c>
      <c r="J340" s="1" t="str">
        <f>IFERROR(__xludf.DUMMYFUNCTION("""COMPUTED_VALUE"""),"оплатили в QUGO")</f>
        <v>оплатили в QUGO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>
        <f>IFERROR(__xludf.DUMMYFUNCTION("""COMPUTED_VALUE"""),2025.0)</f>
        <v>2025</v>
      </c>
      <c r="B341" s="1" t="str">
        <f>IFERROR(__xludf.DUMMYFUNCTION("""COMPUTED_VALUE"""),"01.12-15.12")</f>
        <v>01.12-15.12</v>
      </c>
      <c r="C341" s="2" t="str">
        <f>IFERROR(__xludf.DUMMYFUNCTION("""COMPUTED_VALUE"""),"Холбаева Феруза")</f>
        <v>Холбаева Феруза</v>
      </c>
      <c r="D341" s="1" t="str">
        <f>IFERROR(__xludf.DUMMYFUNCTION("""COMPUTED_VALUE"""),"79694901782")</f>
        <v>79694901782</v>
      </c>
      <c r="E341" s="3">
        <f>IFERROR(__xludf.DUMMYFUNCTION("""COMPUTED_VALUE"""),45333.0)</f>
        <v>45333</v>
      </c>
      <c r="F341" s="1"/>
      <c r="G341" s="4"/>
      <c r="H341" s="1">
        <f>IFERROR(__xludf.DUMMYFUNCTION("""COMPUTED_VALUE"""),317.33099999999996)</f>
        <v>317.331</v>
      </c>
      <c r="I341" s="5">
        <f>IFERROR(__xludf.DUMMYFUNCTION("""COMPUTED_VALUE"""),45015.669)</f>
        <v>45015.669</v>
      </c>
      <c r="J341" s="1" t="str">
        <f>IFERROR(__xludf.DUMMYFUNCTION("""COMPUTED_VALUE"""),"оплатили в QUGO")</f>
        <v>оплатили в QUGO</v>
      </c>
      <c r="K341" s="1"/>
      <c r="L341" s="1">
        <f>IFERROR(__xludf.DUMMYFUNCTION("""COMPUTED_VALUE"""),7.81724641498E11)</f>
        <v>781724641498</v>
      </c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>
        <f>IFERROR(__xludf.DUMMYFUNCTION("""COMPUTED_VALUE"""),2025.0)</f>
        <v>2025</v>
      </c>
      <c r="B342" s="1" t="str">
        <f>IFERROR(__xludf.DUMMYFUNCTION("""COMPUTED_VALUE"""),"01.12-15.12")</f>
        <v>01.12-15.12</v>
      </c>
      <c r="C342" s="2" t="str">
        <f>IFERROR(__xludf.DUMMYFUNCTION("""COMPUTED_VALUE"""),"Дустназарзода Джавлонбек")</f>
        <v>Дустназарзода Джавлонбек</v>
      </c>
      <c r="D342" s="1" t="str">
        <f>IFERROR(__xludf.DUMMYFUNCTION("""COMPUTED_VALUE"""),"79774431553")</f>
        <v>79774431553</v>
      </c>
      <c r="E342" s="3">
        <f>IFERROR(__xludf.DUMMYFUNCTION("""COMPUTED_VALUE"""),48000.0)</f>
        <v>48000</v>
      </c>
      <c r="F342" s="1"/>
      <c r="G342" s="4"/>
      <c r="H342" s="1">
        <f>IFERROR(__xludf.DUMMYFUNCTION("""COMPUTED_VALUE"""),335.99999999999994)</f>
        <v>336</v>
      </c>
      <c r="I342" s="5">
        <f>IFERROR(__xludf.DUMMYFUNCTION("""COMPUTED_VALUE"""),47664.0)</f>
        <v>47664</v>
      </c>
      <c r="J342" s="1" t="str">
        <f>IFERROR(__xludf.DUMMYFUNCTION("""COMPUTED_VALUE"""),"оплатили в QUGO")</f>
        <v>оплатили в QUGO</v>
      </c>
      <c r="K342" s="1"/>
      <c r="L342" s="1">
        <f>IFERROR(__xludf.DUMMYFUNCTION("""COMPUTED_VALUE"""),5.04726268129E11)</f>
        <v>504726268129</v>
      </c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>
        <f>IFERROR(__xludf.DUMMYFUNCTION("""COMPUTED_VALUE"""),2025.0)</f>
        <v>2025</v>
      </c>
      <c r="B343" s="1" t="str">
        <f>IFERROR(__xludf.DUMMYFUNCTION("""COMPUTED_VALUE"""),"01.12-15.12")</f>
        <v>01.12-15.12</v>
      </c>
      <c r="C343" s="2" t="str">
        <f>IFERROR(__xludf.DUMMYFUNCTION("""COMPUTED_VALUE"""),"Рахимов Некбахт")</f>
        <v>Рахимов Некбахт</v>
      </c>
      <c r="D343" s="1" t="str">
        <f>IFERROR(__xludf.DUMMYFUNCTION("""COMPUTED_VALUE"""),"79890499153")</f>
        <v>79890499153</v>
      </c>
      <c r="E343" s="3">
        <f>IFERROR(__xludf.DUMMYFUNCTION("""COMPUTED_VALUE"""),50925.0)</f>
        <v>50925</v>
      </c>
      <c r="F343" s="1"/>
      <c r="G343" s="4"/>
      <c r="H343" s="1">
        <f>IFERROR(__xludf.DUMMYFUNCTION("""COMPUTED_VALUE"""),356.47499999999997)</f>
        <v>356.475</v>
      </c>
      <c r="I343" s="5">
        <f>IFERROR(__xludf.DUMMYFUNCTION("""COMPUTED_VALUE"""),50568.525)</f>
        <v>50568.525</v>
      </c>
      <c r="J343" s="1" t="str">
        <f>IFERROR(__xludf.DUMMYFUNCTION("""COMPUTED_VALUE"""),"оплатили в QUGO")</f>
        <v>оплатили в QUGO</v>
      </c>
      <c r="K343" s="1" t="str">
        <f>IFERROR(__xludf.DUMMYFUNCTION("""COMPUTED_VALUE"""),"продублировал выплату")</f>
        <v>продублировал выплату</v>
      </c>
      <c r="L343" s="1">
        <f>IFERROR(__xludf.DUMMYFUNCTION("""COMPUTED_VALUE"""),7.72281929709E11)</f>
        <v>772281929709</v>
      </c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>
        <f>IFERROR(__xludf.DUMMYFUNCTION("""COMPUTED_VALUE"""),2025.0)</f>
        <v>2025</v>
      </c>
      <c r="B344" s="1" t="str">
        <f>IFERROR(__xludf.DUMMYFUNCTION("""COMPUTED_VALUE"""),"01.12-15.12")</f>
        <v>01.12-15.12</v>
      </c>
      <c r="C344" s="2" t="str">
        <f>IFERROR(__xludf.DUMMYFUNCTION("""COMPUTED_VALUE"""),"Тураева Райхон")</f>
        <v>Тураева Райхон</v>
      </c>
      <c r="D344" s="1" t="str">
        <f>IFERROR(__xludf.DUMMYFUNCTION("""COMPUTED_VALUE"""),"79776109620")</f>
        <v>79776109620</v>
      </c>
      <c r="E344" s="3">
        <f>IFERROR(__xludf.DUMMYFUNCTION("""COMPUTED_VALUE"""),57000.0)</f>
        <v>57000</v>
      </c>
      <c r="F344" s="1"/>
      <c r="G344" s="4"/>
      <c r="H344" s="1">
        <f>IFERROR(__xludf.DUMMYFUNCTION("""COMPUTED_VALUE"""),398.99999999999994)</f>
        <v>399</v>
      </c>
      <c r="I344" s="5">
        <f>IFERROR(__xludf.DUMMYFUNCTION("""COMPUTED_VALUE"""),56601.0)</f>
        <v>56601</v>
      </c>
      <c r="J344" s="1" t="str">
        <f>IFERROR(__xludf.DUMMYFUNCTION("""COMPUTED_VALUE"""),"оплатили в QUGO")</f>
        <v>оплатили в QUGO</v>
      </c>
      <c r="K344" s="1"/>
      <c r="L344" s="1">
        <f>IFERROR(__xludf.DUMMYFUNCTION("""COMPUTED_VALUE"""),5.0072713242E11)</f>
        <v>500727132420</v>
      </c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>
        <f>IFERROR(__xludf.DUMMYFUNCTION("""COMPUTED_VALUE"""),2025.0)</f>
        <v>2025</v>
      </c>
      <c r="B345" s="1" t="str">
        <f>IFERROR(__xludf.DUMMYFUNCTION("""COMPUTED_VALUE"""),"01.12-15.12")</f>
        <v>01.12-15.12</v>
      </c>
      <c r="C345" s="2" t="str">
        <f>IFERROR(__xludf.DUMMYFUNCTION("""COMPUTED_VALUE"""),"Рахимов Сафарали")</f>
        <v>Рахимов Сафарали</v>
      </c>
      <c r="D345" s="1" t="str">
        <f>IFERROR(__xludf.DUMMYFUNCTION("""COMPUTED_VALUE"""),"79776437403")</f>
        <v>79776437403</v>
      </c>
      <c r="E345" s="3">
        <f>IFERROR(__xludf.DUMMYFUNCTION("""COMPUTED_VALUE"""),64000.0)</f>
        <v>64000</v>
      </c>
      <c r="F345" s="1"/>
      <c r="G345" s="4"/>
      <c r="H345" s="1">
        <f>IFERROR(__xludf.DUMMYFUNCTION("""COMPUTED_VALUE"""),447.99999999999994)</f>
        <v>448</v>
      </c>
      <c r="I345" s="5">
        <f>IFERROR(__xludf.DUMMYFUNCTION("""COMPUTED_VALUE"""),63552.0)</f>
        <v>63552</v>
      </c>
      <c r="J345" s="1" t="str">
        <f>IFERROR(__xludf.DUMMYFUNCTION("""COMPUTED_VALUE"""),"оплатили в QUGO")</f>
        <v>оплатили в QUGO</v>
      </c>
      <c r="K345" s="1"/>
      <c r="L345" s="1">
        <f>IFERROR(__xludf.DUMMYFUNCTION("""COMPUTED_VALUE"""),7.70979908855E11)</f>
        <v>770979908855</v>
      </c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>
        <f>IFERROR(__xludf.DUMMYFUNCTION("""COMPUTED_VALUE"""),2025.0)</f>
        <v>2025</v>
      </c>
      <c r="B346" s="1" t="str">
        <f>IFERROR(__xludf.DUMMYFUNCTION("""COMPUTED_VALUE"""),"01.12-15.12")</f>
        <v>01.12-15.12</v>
      </c>
      <c r="C346" s="2" t="str">
        <f>IFERROR(__xludf.DUMMYFUNCTION("""COMPUTED_VALUE"""),"Рахматуллаев Мухаммад")</f>
        <v>Рахматуллаев Мухаммад</v>
      </c>
      <c r="D346" s="1" t="str">
        <f>IFERROR(__xludf.DUMMYFUNCTION("""COMPUTED_VALUE"""),"79662669660")</f>
        <v>79662669660</v>
      </c>
      <c r="E346" s="3">
        <f>IFERROR(__xludf.DUMMYFUNCTION("""COMPUTED_VALUE"""),56000.0)</f>
        <v>56000</v>
      </c>
      <c r="F346" s="1"/>
      <c r="G346" s="4"/>
      <c r="H346" s="1">
        <f>IFERROR(__xludf.DUMMYFUNCTION("""COMPUTED_VALUE"""),391.99999999999994)</f>
        <v>392</v>
      </c>
      <c r="I346" s="5">
        <f>IFERROR(__xludf.DUMMYFUNCTION("""COMPUTED_VALUE"""),55608.0)</f>
        <v>55608</v>
      </c>
      <c r="J346" s="1" t="str">
        <f>IFERROR(__xludf.DUMMYFUNCTION("""COMPUTED_VALUE"""),"оплатили в QUGO")</f>
        <v>оплатили в QUGO</v>
      </c>
      <c r="K346" s="1"/>
      <c r="L346" s="1">
        <f>IFERROR(__xludf.DUMMYFUNCTION("""COMPUTED_VALUE"""),7.75175953769E11)</f>
        <v>775175953769</v>
      </c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>
        <f>IFERROR(__xludf.DUMMYFUNCTION("""COMPUTED_VALUE"""),2025.0)</f>
        <v>2025</v>
      </c>
      <c r="B347" s="1" t="str">
        <f>IFERROR(__xludf.DUMMYFUNCTION("""COMPUTED_VALUE"""),"01.12-15.12")</f>
        <v>01.12-15.12</v>
      </c>
      <c r="C347" s="2" t="str">
        <f>IFERROR(__xludf.DUMMYFUNCTION("""COMPUTED_VALUE"""),"Сайдуллаев Музаффар")</f>
        <v>Сайдуллаев Музаффар</v>
      </c>
      <c r="D347" s="1" t="str">
        <f>IFERROR(__xludf.DUMMYFUNCTION("""COMPUTED_VALUE"""),"79997977857")</f>
        <v>79997977857</v>
      </c>
      <c r="E347" s="3">
        <f>IFERROR(__xludf.DUMMYFUNCTION("""COMPUTED_VALUE"""),53925.0)</f>
        <v>53925</v>
      </c>
      <c r="F347" s="1"/>
      <c r="G347" s="4"/>
      <c r="H347" s="1">
        <f>IFERROR(__xludf.DUMMYFUNCTION("""COMPUTED_VALUE"""),377.47499999999997)</f>
        <v>377.475</v>
      </c>
      <c r="I347" s="5">
        <f>IFERROR(__xludf.DUMMYFUNCTION("""COMPUTED_VALUE"""),53547.525)</f>
        <v>53547.525</v>
      </c>
      <c r="J347" s="1" t="str">
        <f>IFERROR(__xludf.DUMMYFUNCTION("""COMPUTED_VALUE"""),"оплатили в QUGO")</f>
        <v>оплатили в QUGO</v>
      </c>
      <c r="K347" s="1"/>
      <c r="L347" s="1">
        <f>IFERROR(__xludf.DUMMYFUNCTION("""COMPUTED_VALUE"""),7.75123675454E11)</f>
        <v>775123675454</v>
      </c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>
        <f>IFERROR(__xludf.DUMMYFUNCTION("""COMPUTED_VALUE"""),2025.0)</f>
        <v>2025</v>
      </c>
      <c r="B348" s="1" t="str">
        <f>IFERROR(__xludf.DUMMYFUNCTION("""COMPUTED_VALUE"""),"01.12-15.12")</f>
        <v>01.12-15.12</v>
      </c>
      <c r="C348" s="2" t="str">
        <f>IFERROR(__xludf.DUMMYFUNCTION("""COMPUTED_VALUE"""),"Муратова Алие")</f>
        <v>Муратова Алие</v>
      </c>
      <c r="D348" s="1" t="str">
        <f>IFERROR(__xludf.DUMMYFUNCTION("""COMPUTED_VALUE"""),"79129707604")</f>
        <v>79129707604</v>
      </c>
      <c r="E348" s="3">
        <f>IFERROR(__xludf.DUMMYFUNCTION("""COMPUTED_VALUE"""),46200.0)</f>
        <v>46200</v>
      </c>
      <c r="F348" s="1"/>
      <c r="G348" s="4"/>
      <c r="H348" s="1">
        <f>IFERROR(__xludf.DUMMYFUNCTION("""COMPUTED_VALUE"""),323.4)</f>
        <v>323.4</v>
      </c>
      <c r="I348" s="5">
        <f>IFERROR(__xludf.DUMMYFUNCTION("""COMPUTED_VALUE"""),45876.6)</f>
        <v>45876.6</v>
      </c>
      <c r="J348" s="1" t="str">
        <f>IFERROR(__xludf.DUMMYFUNCTION("""COMPUTED_VALUE"""),"оплатили в QUGO")</f>
        <v>оплатили в QUGO</v>
      </c>
      <c r="K348" s="1"/>
      <c r="L348" s="1">
        <f>IFERROR(__xludf.DUMMYFUNCTION("""COMPUTED_VALUE"""),2.30412983604E11)</f>
        <v>230412983604</v>
      </c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>
        <f>IFERROR(__xludf.DUMMYFUNCTION("""COMPUTED_VALUE"""),2025.0)</f>
        <v>2025</v>
      </c>
      <c r="B349" s="1" t="str">
        <f>IFERROR(__xludf.DUMMYFUNCTION("""COMPUTED_VALUE"""),"01.12-15.12")</f>
        <v>01.12-15.12</v>
      </c>
      <c r="C349" s="2" t="str">
        <f>IFERROR(__xludf.DUMMYFUNCTION("""COMPUTED_VALUE"""),"Рахимова Нигора")</f>
        <v>Рахимова Нигора</v>
      </c>
      <c r="D349" s="1" t="str">
        <f>IFERROR(__xludf.DUMMYFUNCTION("""COMPUTED_VALUE"""),"79032802321")</f>
        <v>79032802321</v>
      </c>
      <c r="E349" s="3">
        <f>IFERROR(__xludf.DUMMYFUNCTION("""COMPUTED_VALUE"""),42900.0)</f>
        <v>42900</v>
      </c>
      <c r="F349" s="1"/>
      <c r="G349" s="4"/>
      <c r="H349" s="1">
        <f>IFERROR(__xludf.DUMMYFUNCTION("""COMPUTED_VALUE"""),300.29999999999995)</f>
        <v>300.3</v>
      </c>
      <c r="I349" s="5">
        <f>IFERROR(__xludf.DUMMYFUNCTION("""COMPUTED_VALUE"""),42599.7)</f>
        <v>42599.7</v>
      </c>
      <c r="J349" s="1" t="str">
        <f>IFERROR(__xludf.DUMMYFUNCTION("""COMPUTED_VALUE"""),"оплатили в QUGO")</f>
        <v>оплатили в QUGO</v>
      </c>
      <c r="K349" s="1"/>
      <c r="L349" s="1">
        <f>IFERROR(__xludf.DUMMYFUNCTION("""COMPUTED_VALUE"""),7.7515166163E11)</f>
        <v>775151661630</v>
      </c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>
        <f>IFERROR(__xludf.DUMMYFUNCTION("""COMPUTED_VALUE"""),2025.0)</f>
        <v>2025</v>
      </c>
      <c r="B350" s="1" t="str">
        <f>IFERROR(__xludf.DUMMYFUNCTION("""COMPUTED_VALUE"""),"01.12-15.12")</f>
        <v>01.12-15.12</v>
      </c>
      <c r="C350" s="2" t="str">
        <f>IFERROR(__xludf.DUMMYFUNCTION("""COMPUTED_VALUE"""),"Нурбаева Умеда")</f>
        <v>Нурбаева Умеда</v>
      </c>
      <c r="D350" s="1" t="str">
        <f>IFERROR(__xludf.DUMMYFUNCTION("""COMPUTED_VALUE"""),"79250388417")</f>
        <v>79250388417</v>
      </c>
      <c r="E350" s="3">
        <f>IFERROR(__xludf.DUMMYFUNCTION("""COMPUTED_VALUE"""),53200.0)</f>
        <v>53200</v>
      </c>
      <c r="F350" s="1"/>
      <c r="G350" s="4"/>
      <c r="H350" s="1">
        <f>IFERROR(__xludf.DUMMYFUNCTION("""COMPUTED_VALUE"""),372.4)</f>
        <v>372.4</v>
      </c>
      <c r="I350" s="5">
        <f>IFERROR(__xludf.DUMMYFUNCTION("""COMPUTED_VALUE"""),52827.6)</f>
        <v>52827.6</v>
      </c>
      <c r="J350" s="1" t="str">
        <f>IFERROR(__xludf.DUMMYFUNCTION("""COMPUTED_VALUE"""),"оплатили в QUGO")</f>
        <v>оплатили в QUGO</v>
      </c>
      <c r="K350" s="1"/>
      <c r="L350" s="1">
        <f>IFERROR(__xludf.DUMMYFUNCTION("""COMPUTED_VALUE"""),9.71521363276E11)</f>
        <v>971521363276</v>
      </c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>
        <f>IFERROR(__xludf.DUMMYFUNCTION("""COMPUTED_VALUE"""),2025.0)</f>
        <v>2025</v>
      </c>
      <c r="B351" s="1" t="str">
        <f>IFERROR(__xludf.DUMMYFUNCTION("""COMPUTED_VALUE"""),"01.12-15.12")</f>
        <v>01.12-15.12</v>
      </c>
      <c r="C351" s="2" t="str">
        <f>IFERROR(__xludf.DUMMYFUNCTION("""COMPUTED_VALUE"""),"Ходжаев Мухаммад")</f>
        <v>Ходжаев Мухаммад</v>
      </c>
      <c r="D351" s="1" t="str">
        <f>IFERROR(__xludf.DUMMYFUNCTION("""COMPUTED_VALUE"""),"79851400399")</f>
        <v>79851400399</v>
      </c>
      <c r="E351" s="3">
        <f>IFERROR(__xludf.DUMMYFUNCTION("""COMPUTED_VALUE"""),46625.0)</f>
        <v>46625</v>
      </c>
      <c r="F351" s="1"/>
      <c r="G351" s="4"/>
      <c r="H351" s="1">
        <f>IFERROR(__xludf.DUMMYFUNCTION("""COMPUTED_VALUE"""),326.37499999999994)</f>
        <v>326.375</v>
      </c>
      <c r="I351" s="5">
        <f>IFERROR(__xludf.DUMMYFUNCTION("""COMPUTED_VALUE"""),46298.625)</f>
        <v>46298.625</v>
      </c>
      <c r="J351" s="1" t="str">
        <f>IFERROR(__xludf.DUMMYFUNCTION("""COMPUTED_VALUE"""),"оплатили в QUGO")</f>
        <v>оплатили в QUGO</v>
      </c>
      <c r="K351" s="1"/>
      <c r="L351" s="1">
        <f>IFERROR(__xludf.DUMMYFUNCTION("""COMPUTED_VALUE"""),7.7515935605E11)</f>
        <v>775159356050</v>
      </c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>
        <f>IFERROR(__xludf.DUMMYFUNCTION("""COMPUTED_VALUE"""),2025.0)</f>
        <v>2025</v>
      </c>
      <c r="B352" s="1" t="str">
        <f>IFERROR(__xludf.DUMMYFUNCTION("""COMPUTED_VALUE"""),"01.12-15.12")</f>
        <v>01.12-15.12</v>
      </c>
      <c r="C352" s="2" t="str">
        <f>IFERROR(__xludf.DUMMYFUNCTION("""COMPUTED_VALUE"""),"Камолзода Саидабону")</f>
        <v>Камолзода Саидабону</v>
      </c>
      <c r="D352" s="1" t="str">
        <f>IFERROR(__xludf.DUMMYFUNCTION("""COMPUTED_VALUE"""),"79776328956")</f>
        <v>79776328956</v>
      </c>
      <c r="E352" s="3">
        <f>IFERROR(__xludf.DUMMYFUNCTION("""COMPUTED_VALUE"""),55000.0)</f>
        <v>55000</v>
      </c>
      <c r="F352" s="1"/>
      <c r="G352" s="4"/>
      <c r="H352" s="1">
        <f>IFERROR(__xludf.DUMMYFUNCTION("""COMPUTED_VALUE"""),384.99999999999994)</f>
        <v>385</v>
      </c>
      <c r="I352" s="5">
        <f>IFERROR(__xludf.DUMMYFUNCTION("""COMPUTED_VALUE"""),54615.0)</f>
        <v>54615</v>
      </c>
      <c r="J352" s="1" t="str">
        <f>IFERROR(__xludf.DUMMYFUNCTION("""COMPUTED_VALUE"""),"оплатили в QUGO")</f>
        <v>оплатили в QUGO</v>
      </c>
      <c r="K352" s="1" t="str">
        <f>IFERROR(__xludf.DUMMYFUNCTION("""COMPUTED_VALUE"""),"Халил оплатил единично")</f>
        <v>Халил оплатил единично</v>
      </c>
      <c r="L352" s="1">
        <f>IFERROR(__xludf.DUMMYFUNCTION("""COMPUTED_VALUE"""),7.72844070731E11)</f>
        <v>772844070731</v>
      </c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>
        <f>IFERROR(__xludf.DUMMYFUNCTION("""COMPUTED_VALUE"""),2025.0)</f>
        <v>2025</v>
      </c>
      <c r="B353" s="1" t="str">
        <f>IFERROR(__xludf.DUMMYFUNCTION("""COMPUTED_VALUE"""),"01.12-15.12")</f>
        <v>01.12-15.12</v>
      </c>
      <c r="C353" s="2" t="str">
        <f>IFERROR(__xludf.DUMMYFUNCTION("""COMPUTED_VALUE"""),"Холмирзаев Сахиб")</f>
        <v>Холмирзаев Сахиб</v>
      </c>
      <c r="D353" s="1" t="str">
        <f>IFERROR(__xludf.DUMMYFUNCTION("""COMPUTED_VALUE"""),"79969750701")</f>
        <v>79969750701</v>
      </c>
      <c r="E353" s="3">
        <f>IFERROR(__xludf.DUMMYFUNCTION("""COMPUTED_VALUE"""),60000.0)</f>
        <v>60000</v>
      </c>
      <c r="F353" s="1"/>
      <c r="G353" s="4"/>
      <c r="H353" s="1">
        <f>IFERROR(__xludf.DUMMYFUNCTION("""COMPUTED_VALUE"""),419.99999999999994)</f>
        <v>420</v>
      </c>
      <c r="I353" s="5">
        <f>IFERROR(__xludf.DUMMYFUNCTION("""COMPUTED_VALUE"""),59580.0)</f>
        <v>59580</v>
      </c>
      <c r="J353" s="1" t="str">
        <f>IFERROR(__xludf.DUMMYFUNCTION("""COMPUTED_VALUE"""),"оплатили в QUGO")</f>
        <v>оплатили в QUGO</v>
      </c>
      <c r="K353" s="1"/>
      <c r="L353" s="1">
        <f>IFERROR(__xludf.DUMMYFUNCTION("""COMPUTED_VALUE"""),7.84210910349E11)</f>
        <v>784210910349</v>
      </c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>
        <f>IFERROR(__xludf.DUMMYFUNCTION("""COMPUTED_VALUE"""),2025.0)</f>
        <v>2025</v>
      </c>
      <c r="B354" s="1" t="str">
        <f>IFERROR(__xludf.DUMMYFUNCTION("""COMPUTED_VALUE"""),"01.12-15.12")</f>
        <v>01.12-15.12</v>
      </c>
      <c r="C354" s="2" t="str">
        <f>IFERROR(__xludf.DUMMYFUNCTION("""COMPUTED_VALUE"""),"Джуманиязова Саида")</f>
        <v>Джуманиязова Саида</v>
      </c>
      <c r="D354" s="1" t="str">
        <f>IFERROR(__xludf.DUMMYFUNCTION("""COMPUTED_VALUE"""),"79686192625")</f>
        <v>79686192625</v>
      </c>
      <c r="E354" s="3">
        <f>IFERROR(__xludf.DUMMYFUNCTION("""COMPUTED_VALUE"""),60000.0)</f>
        <v>60000</v>
      </c>
      <c r="F354" s="1"/>
      <c r="G354" s="4"/>
      <c r="H354" s="1">
        <f>IFERROR(__xludf.DUMMYFUNCTION("""COMPUTED_VALUE"""),419.99999999999994)</f>
        <v>420</v>
      </c>
      <c r="I354" s="5">
        <f>IFERROR(__xludf.DUMMYFUNCTION("""COMPUTED_VALUE"""),59580.0)</f>
        <v>59580</v>
      </c>
      <c r="J354" s="1" t="str">
        <f>IFERROR(__xludf.DUMMYFUNCTION("""COMPUTED_VALUE"""),"оплатили в QUGO")</f>
        <v>оплатили в QUGO</v>
      </c>
      <c r="K354" s="1"/>
      <c r="L354" s="1">
        <f>IFERROR(__xludf.DUMMYFUNCTION("""COMPUTED_VALUE"""),7.7343164594E11)</f>
        <v>773431645940</v>
      </c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>
        <f>IFERROR(__xludf.DUMMYFUNCTION("""COMPUTED_VALUE"""),2025.0)</f>
        <v>2025</v>
      </c>
      <c r="B355" s="1" t="str">
        <f>IFERROR(__xludf.DUMMYFUNCTION("""COMPUTED_VALUE"""),"01.12-15.12")</f>
        <v>01.12-15.12</v>
      </c>
      <c r="C355" s="2" t="str">
        <f>IFERROR(__xludf.DUMMYFUNCTION("""COMPUTED_VALUE"""),"Камолов Асилбек")</f>
        <v>Камолов Асилбек</v>
      </c>
      <c r="D355" s="1" t="str">
        <f>IFERROR(__xludf.DUMMYFUNCTION("""COMPUTED_VALUE"""),"79231408041")</f>
        <v>79231408041</v>
      </c>
      <c r="E355" s="3">
        <f>IFERROR(__xludf.DUMMYFUNCTION("""COMPUTED_VALUE"""),60000.0)</f>
        <v>60000</v>
      </c>
      <c r="F355" s="1"/>
      <c r="G355" s="4"/>
      <c r="H355" s="1">
        <f>IFERROR(__xludf.DUMMYFUNCTION("""COMPUTED_VALUE"""),419.99999999999994)</f>
        <v>420</v>
      </c>
      <c r="I355" s="5">
        <f>IFERROR(__xludf.DUMMYFUNCTION("""COMPUTED_VALUE"""),59580.0)</f>
        <v>59580</v>
      </c>
      <c r="J355" s="1" t="str">
        <f>IFERROR(__xludf.DUMMYFUNCTION("""COMPUTED_VALUE"""),"оплатили в QUGO")</f>
        <v>оплатили в QUGO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>
        <f>IFERROR(__xludf.DUMMYFUNCTION("""COMPUTED_VALUE"""),2025.0)</f>
        <v>2025</v>
      </c>
      <c r="B356" s="1" t="str">
        <f>IFERROR(__xludf.DUMMYFUNCTION("""COMPUTED_VALUE"""),"01.12-15.12")</f>
        <v>01.12-15.12</v>
      </c>
      <c r="C356" s="2" t="str">
        <f>IFERROR(__xludf.DUMMYFUNCTION("""COMPUTED_VALUE"""),"Юлдашева Нигора")</f>
        <v>Юлдашева Нигора</v>
      </c>
      <c r="D356" s="1" t="str">
        <f>IFERROR(__xludf.DUMMYFUNCTION("""COMPUTED_VALUE"""),"79963682991")</f>
        <v>79963682991</v>
      </c>
      <c r="E356" s="3">
        <f>IFERROR(__xludf.DUMMYFUNCTION("""COMPUTED_VALUE"""),40700.0)</f>
        <v>40700</v>
      </c>
      <c r="F356" s="1"/>
      <c r="G356" s="4"/>
      <c r="H356" s="1">
        <f>IFERROR(__xludf.DUMMYFUNCTION("""COMPUTED_VALUE"""),284.9)</f>
        <v>284.9</v>
      </c>
      <c r="I356" s="5">
        <f>IFERROR(__xludf.DUMMYFUNCTION("""COMPUTED_VALUE"""),40415.1)</f>
        <v>40415.1</v>
      </c>
      <c r="J356" s="1" t="str">
        <f>IFERROR(__xludf.DUMMYFUNCTION("""COMPUTED_VALUE"""),"Оплатили")</f>
        <v>Оплатили</v>
      </c>
      <c r="K356" s="1" t="str">
        <f>IFERROR(__xludf.DUMMYFUNCTION("""COMPUTED_VALUE"""),"Джамп")</f>
        <v>Джамп</v>
      </c>
      <c r="L356" s="1">
        <f>IFERROR(__xludf.DUMMYFUNCTION("""COMPUTED_VALUE"""),7.7512017364E11)</f>
        <v>775120173640</v>
      </c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>
        <f>IFERROR(__xludf.DUMMYFUNCTION("""COMPUTED_VALUE"""),2025.0)</f>
        <v>2025</v>
      </c>
      <c r="B357" s="1" t="str">
        <f>IFERROR(__xludf.DUMMYFUNCTION("""COMPUTED_VALUE"""),"01.12-15.12")</f>
        <v>01.12-15.12</v>
      </c>
      <c r="C357" s="2" t="str">
        <f>IFERROR(__xludf.DUMMYFUNCTION("""COMPUTED_VALUE"""),"Камилова Назира")</f>
        <v>Камилова Назира</v>
      </c>
      <c r="D357" s="1" t="str">
        <f>IFERROR(__xludf.DUMMYFUNCTION("""COMPUTED_VALUE"""),"79035139996")</f>
        <v>79035139996</v>
      </c>
      <c r="E357" s="3">
        <f>IFERROR(__xludf.DUMMYFUNCTION("""COMPUTED_VALUE"""),51800.0)</f>
        <v>51800</v>
      </c>
      <c r="F357" s="1"/>
      <c r="G357" s="4"/>
      <c r="H357" s="1">
        <f>IFERROR(__xludf.DUMMYFUNCTION("""COMPUTED_VALUE"""),362.59999999999997)</f>
        <v>362.6</v>
      </c>
      <c r="I357" s="5">
        <f>IFERROR(__xludf.DUMMYFUNCTION("""COMPUTED_VALUE"""),51437.4)</f>
        <v>51437.4</v>
      </c>
      <c r="J357" s="1" t="str">
        <f>IFERROR(__xludf.DUMMYFUNCTION("""COMPUTED_VALUE"""),"оплатили в QUGO")</f>
        <v>оплатили в QUGO</v>
      </c>
      <c r="K357" s="1" t="str">
        <f>IFERROR(__xludf.DUMMYFUNCTION("""COMPUTED_VALUE"""),"повторил выплату должна точно прийти")</f>
        <v>повторил выплату должна точно прийти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>
        <f>IFERROR(__xludf.DUMMYFUNCTION("""COMPUTED_VALUE"""),2025.0)</f>
        <v>2025</v>
      </c>
      <c r="B358" s="1" t="str">
        <f>IFERROR(__xludf.DUMMYFUNCTION("""COMPUTED_VALUE"""),"01.12-15.12")</f>
        <v>01.12-15.12</v>
      </c>
      <c r="C358" s="2" t="str">
        <f>IFERROR(__xludf.DUMMYFUNCTION("""COMPUTED_VALUE"""),"Мамадалиев Шамшод")</f>
        <v>Мамадалиев Шамшод</v>
      </c>
      <c r="D358" s="1" t="str">
        <f>IFERROR(__xludf.DUMMYFUNCTION("""COMPUTED_VALUE"""),"79309907663")</f>
        <v>79309907663</v>
      </c>
      <c r="E358" s="3">
        <f>IFERROR(__xludf.DUMMYFUNCTION("""COMPUTED_VALUE"""),50000.0)</f>
        <v>50000</v>
      </c>
      <c r="F358" s="1"/>
      <c r="G358" s="4"/>
      <c r="H358" s="1">
        <f>IFERROR(__xludf.DUMMYFUNCTION("""COMPUTED_VALUE"""),349.99999999999994)</f>
        <v>350</v>
      </c>
      <c r="I358" s="5">
        <f>IFERROR(__xludf.DUMMYFUNCTION("""COMPUTED_VALUE"""),49650.0)</f>
        <v>49650</v>
      </c>
      <c r="J358" s="1" t="str">
        <f>IFERROR(__xludf.DUMMYFUNCTION("""COMPUTED_VALUE"""),"оплатили в QUGO")</f>
        <v>оплатили в QUGO</v>
      </c>
      <c r="K358" s="1"/>
      <c r="L358" s="1">
        <f>IFERROR(__xludf.DUMMYFUNCTION("""COMPUTED_VALUE"""),7.75163599087E11)</f>
        <v>775163599087</v>
      </c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>
        <f>IFERROR(__xludf.DUMMYFUNCTION("""COMPUTED_VALUE"""),2025.0)</f>
        <v>2025</v>
      </c>
      <c r="B359" s="1" t="str">
        <f>IFERROR(__xludf.DUMMYFUNCTION("""COMPUTED_VALUE"""),"01.12-15.12")</f>
        <v>01.12-15.12</v>
      </c>
      <c r="C359" s="2" t="str">
        <f>IFERROR(__xludf.DUMMYFUNCTION("""COMPUTED_VALUE"""),"Сатаров Адхам")</f>
        <v>Сатаров Адхам</v>
      </c>
      <c r="D359" s="1" t="str">
        <f>IFERROR(__xludf.DUMMYFUNCTION("""COMPUTED_VALUE"""),"79057456061")</f>
        <v>79057456061</v>
      </c>
      <c r="E359" s="3">
        <f>IFERROR(__xludf.DUMMYFUNCTION("""COMPUTED_VALUE"""),62500.0)</f>
        <v>62500</v>
      </c>
      <c r="F359" s="1"/>
      <c r="G359" s="4"/>
      <c r="H359" s="1">
        <f>IFERROR(__xludf.DUMMYFUNCTION("""COMPUTED_VALUE"""),437.49999999999994)</f>
        <v>437.5</v>
      </c>
      <c r="I359" s="5">
        <f>IFERROR(__xludf.DUMMYFUNCTION("""COMPUTED_VALUE"""),62062.5)</f>
        <v>62062.5</v>
      </c>
      <c r="J359" s="1" t="str">
        <f>IFERROR(__xludf.DUMMYFUNCTION("""COMPUTED_VALUE"""),"оплатили в QUGO")</f>
        <v>оплатили в QUGO</v>
      </c>
      <c r="K359" s="1"/>
      <c r="L359" s="1">
        <f>IFERROR(__xludf.DUMMYFUNCTION("""COMPUTED_VALUE"""),7.75117173632E11)</f>
        <v>775117173632</v>
      </c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>
        <f>IFERROR(__xludf.DUMMYFUNCTION("""COMPUTED_VALUE"""),2025.0)</f>
        <v>2025</v>
      </c>
      <c r="B360" s="1" t="str">
        <f>IFERROR(__xludf.DUMMYFUNCTION("""COMPUTED_VALUE"""),"01.12-15.12")</f>
        <v>01.12-15.12</v>
      </c>
      <c r="C360" s="2" t="str">
        <f>IFERROR(__xludf.DUMMYFUNCTION("""COMPUTED_VALUE"""),"Мухмудов Ботиржон")</f>
        <v>Мухмудов Ботиржон</v>
      </c>
      <c r="D360" s="1" t="str">
        <f>IFERROR(__xludf.DUMMYFUNCTION("""COMPUTED_VALUE"""),"79688236466")</f>
        <v>79688236466</v>
      </c>
      <c r="E360" s="3">
        <f>IFERROR(__xludf.DUMMYFUNCTION("""COMPUTED_VALUE"""),62500.0)</f>
        <v>62500</v>
      </c>
      <c r="F360" s="1"/>
      <c r="G360" s="4"/>
      <c r="H360" s="1">
        <f>IFERROR(__xludf.DUMMYFUNCTION("""COMPUTED_VALUE"""),437.49999999999994)</f>
        <v>437.5</v>
      </c>
      <c r="I360" s="5">
        <f>IFERROR(__xludf.DUMMYFUNCTION("""COMPUTED_VALUE"""),62062.5)</f>
        <v>62062.5</v>
      </c>
      <c r="J360" s="1" t="str">
        <f>IFERROR(__xludf.DUMMYFUNCTION("""COMPUTED_VALUE"""),"оплатили в QUGO")</f>
        <v>оплатили в QUGO</v>
      </c>
      <c r="K360" s="1"/>
      <c r="L360" s="1">
        <f>IFERROR(__xludf.DUMMYFUNCTION("""COMPUTED_VALUE"""),5.02776294258E11)</f>
        <v>502776294258</v>
      </c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>
        <f>IFERROR(__xludf.DUMMYFUNCTION("""COMPUTED_VALUE"""),2025.0)</f>
        <v>2025</v>
      </c>
      <c r="B361" s="1" t="str">
        <f>IFERROR(__xludf.DUMMYFUNCTION("""COMPUTED_VALUE"""),"01.12-15.12")</f>
        <v>01.12-15.12</v>
      </c>
      <c r="C361" s="2" t="str">
        <f>IFERROR(__xludf.DUMMYFUNCTION("""COMPUTED_VALUE"""),"Абдуллаев Маруф")</f>
        <v>Абдуллаев Маруф</v>
      </c>
      <c r="D361" s="1" t="str">
        <f>IFERROR(__xludf.DUMMYFUNCTION("""COMPUTED_VALUE"""),"79036164768")</f>
        <v>79036164768</v>
      </c>
      <c r="E361" s="3">
        <f>IFERROR(__xludf.DUMMYFUNCTION("""COMPUTED_VALUE"""),50000.0)</f>
        <v>50000</v>
      </c>
      <c r="F361" s="1"/>
      <c r="G361" s="4"/>
      <c r="H361" s="1">
        <f>IFERROR(__xludf.DUMMYFUNCTION("""COMPUTED_VALUE"""),349.99999999999994)</f>
        <v>350</v>
      </c>
      <c r="I361" s="5">
        <f>IFERROR(__xludf.DUMMYFUNCTION("""COMPUTED_VALUE"""),49650.0)</f>
        <v>49650</v>
      </c>
      <c r="J361" s="1" t="str">
        <f>IFERROR(__xludf.DUMMYFUNCTION("""COMPUTED_VALUE"""),"оплатили в QUGO")</f>
        <v>оплатили в QUGO</v>
      </c>
      <c r="K361" s="1"/>
      <c r="L361" s="1">
        <f>IFERROR(__xludf.DUMMYFUNCTION("""COMPUTED_VALUE"""),5.61020333756E11)</f>
        <v>561020333756</v>
      </c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>
        <f>IFERROR(__xludf.DUMMYFUNCTION("""COMPUTED_VALUE"""),2025.0)</f>
        <v>2025</v>
      </c>
      <c r="B362" s="1" t="str">
        <f>IFERROR(__xludf.DUMMYFUNCTION("""COMPUTED_VALUE"""),"01.12-15.12")</f>
        <v>01.12-15.12</v>
      </c>
      <c r="C362" s="2" t="str">
        <f>IFERROR(__xludf.DUMMYFUNCTION("""COMPUTED_VALUE"""),"Хакимханов Мухаммадхон")</f>
        <v>Хакимханов Мухаммадхон</v>
      </c>
      <c r="D362" s="1" t="str">
        <f>IFERROR(__xludf.DUMMYFUNCTION("""COMPUTED_VALUE"""),"79955063157")</f>
        <v>79955063157</v>
      </c>
      <c r="E362" s="3">
        <f>IFERROR(__xludf.DUMMYFUNCTION("""COMPUTED_VALUE"""),62500.0)</f>
        <v>62500</v>
      </c>
      <c r="F362" s="1"/>
      <c r="G362" s="4"/>
      <c r="H362" s="1">
        <f>IFERROR(__xludf.DUMMYFUNCTION("""COMPUTED_VALUE"""),437.49999999999994)</f>
        <v>437.5</v>
      </c>
      <c r="I362" s="5">
        <f>IFERROR(__xludf.DUMMYFUNCTION("""COMPUTED_VALUE"""),62062.5)</f>
        <v>62062.5</v>
      </c>
      <c r="J362" s="1" t="str">
        <f>IFERROR(__xludf.DUMMYFUNCTION("""COMPUTED_VALUE"""),"оплатили в QUGO")</f>
        <v>оплатили в QUGO</v>
      </c>
      <c r="K362" s="1"/>
      <c r="L362" s="1">
        <f>IFERROR(__xludf.DUMMYFUNCTION("""COMPUTED_VALUE"""),7.72323442638E11)</f>
        <v>772323442638</v>
      </c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>
        <f>IFERROR(__xludf.DUMMYFUNCTION("""COMPUTED_VALUE"""),2025.0)</f>
        <v>2025</v>
      </c>
      <c r="B363" s="1" t="str">
        <f>IFERROR(__xludf.DUMMYFUNCTION("""COMPUTED_VALUE"""),"01.12-15.12")</f>
        <v>01.12-15.12</v>
      </c>
      <c r="C363" s="2" t="str">
        <f>IFERROR(__xludf.DUMMYFUNCTION("""COMPUTED_VALUE"""),"Жуманиязова Гулшод Базарбаевна")</f>
        <v>Жуманиязова Гулшод Базарбаевна</v>
      </c>
      <c r="D363" s="1" t="str">
        <f>IFERROR(__xludf.DUMMYFUNCTION("""COMPUTED_VALUE"""),"79255937717")</f>
        <v>79255937717</v>
      </c>
      <c r="E363" s="3">
        <f>IFERROR(__xludf.DUMMYFUNCTION("""COMPUTED_VALUE"""),60000.0)</f>
        <v>60000</v>
      </c>
      <c r="F363" s="1"/>
      <c r="G363" s="4"/>
      <c r="H363" s="1">
        <f>IFERROR(__xludf.DUMMYFUNCTION("""COMPUTED_VALUE"""),419.99999999999994)</f>
        <v>420</v>
      </c>
      <c r="I363" s="5">
        <f>IFERROR(__xludf.DUMMYFUNCTION("""COMPUTED_VALUE"""),59580.0)</f>
        <v>59580</v>
      </c>
      <c r="J363" s="1" t="str">
        <f>IFERROR(__xludf.DUMMYFUNCTION("""COMPUTED_VALUE"""),"оплатили в QUGO")</f>
        <v>оплатили в QUGO</v>
      </c>
      <c r="K363" s="1"/>
      <c r="L363" s="1">
        <f>IFERROR(__xludf.DUMMYFUNCTION("""COMPUTED_VALUE"""),9.71901898983E11)</f>
        <v>971901898983</v>
      </c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>
        <f>IFERROR(__xludf.DUMMYFUNCTION("""COMPUTED_VALUE"""),2025.0)</f>
        <v>2025</v>
      </c>
      <c r="B364" s="1" t="str">
        <f>IFERROR(__xludf.DUMMYFUNCTION("""COMPUTED_VALUE"""),"01.12-15.12")</f>
        <v>01.12-15.12</v>
      </c>
      <c r="C364" s="2" t="str">
        <f>IFERROR(__xludf.DUMMYFUNCTION("""COMPUTED_VALUE"""),"Зуфарова Дилбар")</f>
        <v>Зуфарова Дилбар</v>
      </c>
      <c r="D364" s="1" t="str">
        <f>IFERROR(__xludf.DUMMYFUNCTION("""COMPUTED_VALUE"""),"79057468188")</f>
        <v>79057468188</v>
      </c>
      <c r="E364" s="3">
        <f>IFERROR(__xludf.DUMMYFUNCTION("""COMPUTED_VALUE"""),60000.0)</f>
        <v>60000</v>
      </c>
      <c r="F364" s="1"/>
      <c r="G364" s="4"/>
      <c r="H364" s="1">
        <f>IFERROR(__xludf.DUMMYFUNCTION("""COMPUTED_VALUE"""),419.99999999999994)</f>
        <v>420</v>
      </c>
      <c r="I364" s="5">
        <f>IFERROR(__xludf.DUMMYFUNCTION("""COMPUTED_VALUE"""),59580.0)</f>
        <v>59580</v>
      </c>
      <c r="J364" s="1" t="str">
        <f>IFERROR(__xludf.DUMMYFUNCTION("""COMPUTED_VALUE"""),"оплатили в QUGO")</f>
        <v>оплатили в QUGO</v>
      </c>
      <c r="K364" s="1"/>
      <c r="L364" s="1">
        <f>IFERROR(__xludf.DUMMYFUNCTION("""COMPUTED_VALUE"""),2.3101357277E11)</f>
        <v>231013572770</v>
      </c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>
        <f>IFERROR(__xludf.DUMMYFUNCTION("""COMPUTED_VALUE"""),2025.0)</f>
        <v>2025</v>
      </c>
      <c r="B365" s="1" t="str">
        <f>IFERROR(__xludf.DUMMYFUNCTION("""COMPUTED_VALUE"""),"01.12-15.12")</f>
        <v>01.12-15.12</v>
      </c>
      <c r="C365" s="2" t="str">
        <f>IFERROR(__xludf.DUMMYFUNCTION("""COMPUTED_VALUE"""),"Муминзода Абдувахит")</f>
        <v>Муминзода Абдувахит</v>
      </c>
      <c r="D365" s="1" t="str">
        <f>IFERROR(__xludf.DUMMYFUNCTION("""COMPUTED_VALUE"""),"79857578782")</f>
        <v>79857578782</v>
      </c>
      <c r="E365" s="3">
        <f>IFERROR(__xludf.DUMMYFUNCTION("""COMPUTED_VALUE"""),60000.0)</f>
        <v>60000</v>
      </c>
      <c r="F365" s="1"/>
      <c r="G365" s="4"/>
      <c r="H365" s="1">
        <f>IFERROR(__xludf.DUMMYFUNCTION("""COMPUTED_VALUE"""),419.99999999999994)</f>
        <v>420</v>
      </c>
      <c r="I365" s="5">
        <f>IFERROR(__xludf.DUMMYFUNCTION("""COMPUTED_VALUE"""),59580.0)</f>
        <v>59580</v>
      </c>
      <c r="J365" s="1" t="str">
        <f>IFERROR(__xludf.DUMMYFUNCTION("""COMPUTED_VALUE"""),"оплатили в QUGO")</f>
        <v>оплатили в QUGO</v>
      </c>
      <c r="K365" s="1"/>
      <c r="L365" s="1">
        <f>IFERROR(__xludf.DUMMYFUNCTION("""COMPUTED_VALUE"""),7.72674121545E11)</f>
        <v>772674121545</v>
      </c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>
        <f>IFERROR(__xludf.DUMMYFUNCTION("""COMPUTED_VALUE"""),2025.0)</f>
        <v>2025</v>
      </c>
      <c r="B366" s="1" t="str">
        <f>IFERROR(__xludf.DUMMYFUNCTION("""COMPUTED_VALUE"""),"01.12-15.12")</f>
        <v>01.12-15.12</v>
      </c>
      <c r="C366" s="2" t="str">
        <f>IFERROR(__xludf.DUMMYFUNCTION("""COMPUTED_VALUE"""),"Солихов Мирзоёкуб ")</f>
        <v>Солихов Мирзоёкуб </v>
      </c>
      <c r="D366" s="1" t="str">
        <f>IFERROR(__xludf.DUMMYFUNCTION("""COMPUTED_VALUE"""),"79856342020")</f>
        <v>79856342020</v>
      </c>
      <c r="E366" s="3">
        <f>IFERROR(__xludf.DUMMYFUNCTION("""COMPUTED_VALUE"""),60000.0)</f>
        <v>60000</v>
      </c>
      <c r="F366" s="1"/>
      <c r="G366" s="4"/>
      <c r="H366" s="1">
        <f>IFERROR(__xludf.DUMMYFUNCTION("""COMPUTED_VALUE"""),419.99999999999994)</f>
        <v>420</v>
      </c>
      <c r="I366" s="5">
        <f>IFERROR(__xludf.DUMMYFUNCTION("""COMPUTED_VALUE"""),59580.0)</f>
        <v>59580</v>
      </c>
      <c r="J366" s="1" t="str">
        <f>IFERROR(__xludf.DUMMYFUNCTION("""COMPUTED_VALUE"""),"оплатили в QUGO")</f>
        <v>оплатили в QUGO</v>
      </c>
      <c r="K366" s="1"/>
      <c r="L366" s="1">
        <f>IFERROR(__xludf.DUMMYFUNCTION("""COMPUTED_VALUE"""),9.72713172982E11)</f>
        <v>972713172982</v>
      </c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6">
        <f>IFERROR(__xludf.DUMMYFUNCTION("""COMPUTED_VALUE"""),2025.0)</f>
        <v>2025</v>
      </c>
      <c r="B367" s="7" t="str">
        <f>IFERROR(__xludf.DUMMYFUNCTION("""COMPUTED_VALUE"""),"01.12-15.12")</f>
        <v>01.12-15.12</v>
      </c>
      <c r="C367" s="8" t="str">
        <f>IFERROR(__xludf.DUMMYFUNCTION("""COMPUTED_VALUE"""),"Мухамадиев Нуъмон")</f>
        <v>Мухамадиев Нуъмон</v>
      </c>
      <c r="D367" s="6" t="str">
        <f>IFERROR(__xludf.DUMMYFUNCTION("""COMPUTED_VALUE"""),"79775957136")</f>
        <v>79775957136</v>
      </c>
      <c r="E367" s="9">
        <f>IFERROR(__xludf.DUMMYFUNCTION("""COMPUTED_VALUE"""),60000.0)</f>
        <v>60000</v>
      </c>
      <c r="F367" s="6"/>
      <c r="G367" s="10"/>
      <c r="H367" s="6">
        <f>IFERROR(__xludf.DUMMYFUNCTION("""COMPUTED_VALUE"""),419.99999999999994)</f>
        <v>420</v>
      </c>
      <c r="I367" s="11">
        <f>IFERROR(__xludf.DUMMYFUNCTION("""COMPUTED_VALUE"""),59580.0)</f>
        <v>59580</v>
      </c>
      <c r="J367" s="6" t="str">
        <f>IFERROR(__xludf.DUMMYFUNCTION("""COMPUTED_VALUE"""),"оплатили в QUGO")</f>
        <v>оплатили в QUGO</v>
      </c>
      <c r="K367" s="6"/>
      <c r="L367" s="6">
        <f>IFERROR(__xludf.DUMMYFUNCTION("""COMPUTED_VALUE"""),7.71479794633E11)</f>
        <v>771479794633</v>
      </c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>
        <f>IFERROR(__xludf.DUMMYFUNCTION("""COMPUTED_VALUE"""),2025.0)</f>
        <v>2025</v>
      </c>
      <c r="B368" s="7" t="str">
        <f>IFERROR(__xludf.DUMMYFUNCTION("""COMPUTED_VALUE"""),"01.12-15.12")</f>
        <v>01.12-15.12</v>
      </c>
      <c r="C368" s="8" t="str">
        <f>IFERROR(__xludf.DUMMYFUNCTION("""COMPUTED_VALUE"""),"Бокизода Наджибуллохи")</f>
        <v>Бокизода Наджибуллохи</v>
      </c>
      <c r="D368" s="6" t="str">
        <f>IFERROR(__xludf.DUMMYFUNCTION("""COMPUTED_VALUE"""),"79916830745")</f>
        <v>79916830745</v>
      </c>
      <c r="E368" s="9">
        <f>IFERROR(__xludf.DUMMYFUNCTION("""COMPUTED_VALUE"""),48000.0)</f>
        <v>48000</v>
      </c>
      <c r="F368" s="6"/>
      <c r="G368" s="10"/>
      <c r="H368" s="6">
        <f>IFERROR(__xludf.DUMMYFUNCTION("""COMPUTED_VALUE"""),335.99999999999994)</f>
        <v>336</v>
      </c>
      <c r="I368" s="11">
        <f>IFERROR(__xludf.DUMMYFUNCTION("""COMPUTED_VALUE"""),47664.0)</f>
        <v>47664</v>
      </c>
      <c r="J368" s="6" t="str">
        <f>IFERROR(__xludf.DUMMYFUNCTION("""COMPUTED_VALUE"""),"Оплатили")</f>
        <v>Оплатили</v>
      </c>
      <c r="K368" s="6" t="str">
        <f>IFERROR(__xludf.DUMMYFUNCTION("""COMPUTED_VALUE"""),"Оплатили в Джамп")</f>
        <v>Оплатили в Джамп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>
        <f>IFERROR(__xludf.DUMMYFUNCTION("""COMPUTED_VALUE"""),2025.0)</f>
        <v>2025</v>
      </c>
      <c r="B369" s="7" t="str">
        <f>IFERROR(__xludf.DUMMYFUNCTION("""COMPUTED_VALUE"""),"16.12-31.12")</f>
        <v>16.12-31.12</v>
      </c>
      <c r="C369" s="8" t="str">
        <f>IFERROR(__xludf.DUMMYFUNCTION("""COMPUTED_VALUE"""),"Раджабова Мавджуда")</f>
        <v>Раджабова Мавджуда</v>
      </c>
      <c r="D369" s="6" t="str">
        <f>IFERROR(__xludf.DUMMYFUNCTION("""COMPUTED_VALUE"""),"79915623943")</f>
        <v>79915623943</v>
      </c>
      <c r="E369" s="9">
        <f>IFERROR(__xludf.DUMMYFUNCTION("""COMPUTED_VALUE"""),34633.0)</f>
        <v>34633</v>
      </c>
      <c r="F369" s="6"/>
      <c r="G369" s="10"/>
      <c r="H369" s="6">
        <f>IFERROR(__xludf.DUMMYFUNCTION("""COMPUTED_VALUE"""),242.43099999999998)</f>
        <v>242.431</v>
      </c>
      <c r="I369" s="11">
        <f>IFERROR(__xludf.DUMMYFUNCTION("""COMPUTED_VALUE"""),34390.569)</f>
        <v>34390.569</v>
      </c>
      <c r="J369" s="6" t="str">
        <f>IFERROR(__xludf.DUMMYFUNCTION("""COMPUTED_VALUE"""),"оплатили в QUGO")</f>
        <v>оплатили в QUGO</v>
      </c>
      <c r="K369" s="6"/>
      <c r="L369" s="6">
        <f>IFERROR(__xludf.DUMMYFUNCTION("""COMPUTED_VALUE"""),7.75116699528E11)</f>
        <v>775116699528</v>
      </c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>
        <f>IFERROR(__xludf.DUMMYFUNCTION("""COMPUTED_VALUE"""),2025.0)</f>
        <v>2025</v>
      </c>
      <c r="B370" s="7" t="str">
        <f>IFERROR(__xludf.DUMMYFUNCTION("""COMPUTED_VALUE"""),"16.12-31.12")</f>
        <v>16.12-31.12</v>
      </c>
      <c r="C370" s="8" t="str">
        <f>IFERROR(__xludf.DUMMYFUNCTION("""COMPUTED_VALUE"""),"Дониерзода Сурайе")</f>
        <v>Дониерзода Сурайе</v>
      </c>
      <c r="D370" s="6" t="str">
        <f>IFERROR(__xludf.DUMMYFUNCTION("""COMPUTED_VALUE"""),"79377648587")</f>
        <v>79377648587</v>
      </c>
      <c r="E370" s="9">
        <f>IFERROR(__xludf.DUMMYFUNCTION("""COMPUTED_VALUE"""),11400.0)</f>
        <v>11400</v>
      </c>
      <c r="F370" s="6"/>
      <c r="G370" s="10"/>
      <c r="H370" s="6">
        <f>IFERROR(__xludf.DUMMYFUNCTION("""COMPUTED_VALUE"""),79.8)</f>
        <v>79.8</v>
      </c>
      <c r="I370" s="11">
        <f>IFERROR(__xludf.DUMMYFUNCTION("""COMPUTED_VALUE"""),11320.2)</f>
        <v>11320.2</v>
      </c>
      <c r="J370" s="6" t="str">
        <f>IFERROR(__xludf.DUMMYFUNCTION("""COMPUTED_VALUE"""),"Оплатили")</f>
        <v>Оплатили</v>
      </c>
      <c r="K370" s="6" t="str">
        <f>IFERROR(__xludf.DUMMYFUNCTION("""COMPUTED_VALUE"""),"оплачено через - Нематов Мухаммад")</f>
        <v>оплачено через - Нематов Мухаммад</v>
      </c>
      <c r="L370" s="6">
        <f>IFERROR(__xludf.DUMMYFUNCTION("""COMPUTED_VALUE"""),7.71487989675E11)</f>
        <v>771487989675</v>
      </c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>
        <f>IFERROR(__xludf.DUMMYFUNCTION("""COMPUTED_VALUE"""),2025.0)</f>
        <v>2025</v>
      </c>
      <c r="B371" s="7" t="str">
        <f>IFERROR(__xludf.DUMMYFUNCTION("""COMPUTED_VALUE"""),"16.12-31.12")</f>
        <v>16.12-31.12</v>
      </c>
      <c r="C371" s="8" t="str">
        <f>IFERROR(__xludf.DUMMYFUNCTION("""COMPUTED_VALUE"""),"Нематов Мухаммад")</f>
        <v>Нематов Мухаммад</v>
      </c>
      <c r="D371" s="6" t="str">
        <f>IFERROR(__xludf.DUMMYFUNCTION("""COMPUTED_VALUE"""),"79932625819")</f>
        <v>79932625819</v>
      </c>
      <c r="E371" s="9">
        <f>IFERROR(__xludf.DUMMYFUNCTION("""COMPUTED_VALUE"""),63017.0)</f>
        <v>63017</v>
      </c>
      <c r="F371" s="6"/>
      <c r="G371" s="10"/>
      <c r="H371" s="6">
        <f>IFERROR(__xludf.DUMMYFUNCTION("""COMPUTED_VALUE"""),441.11899999999997)</f>
        <v>441.119</v>
      </c>
      <c r="I371" s="11">
        <f>IFERROR(__xludf.DUMMYFUNCTION("""COMPUTED_VALUE"""),62575.881)</f>
        <v>62575.881</v>
      </c>
      <c r="J371" s="6" t="str">
        <f>IFERROR(__xludf.DUMMYFUNCTION("""COMPUTED_VALUE"""),"оплатили в QUGO")</f>
        <v>оплатили в QUGO</v>
      </c>
      <c r="K371" s="6" t="str">
        <f>IFERROR(__xludf.DUMMYFUNCTION("""COMPUTED_VALUE"""),"+ получил за Аюбова Мухайе и Дониерзода Сурайе")</f>
        <v>+ получил за Аюбова Мухайе и Дониерзода Сурайе</v>
      </c>
      <c r="L371" s="6">
        <f>IFERROR(__xludf.DUMMYFUNCTION("""COMPUTED_VALUE"""),7.75147436504E11)</f>
        <v>775147436504</v>
      </c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>
        <f>IFERROR(__xludf.DUMMYFUNCTION("""COMPUTED_VALUE"""),2025.0)</f>
        <v>2025</v>
      </c>
      <c r="B372" s="7" t="str">
        <f>IFERROR(__xludf.DUMMYFUNCTION("""COMPUTED_VALUE"""),"16.12-31.12")</f>
        <v>16.12-31.12</v>
      </c>
      <c r="C372" s="8" t="str">
        <f>IFERROR(__xludf.DUMMYFUNCTION("""COMPUTED_VALUE"""),"Нематов Рузимухаммад")</f>
        <v>Нематов Рузимухаммад</v>
      </c>
      <c r="D372" s="6" t="str">
        <f>IFERROR(__xludf.DUMMYFUNCTION("""COMPUTED_VALUE"""),"79891066937")</f>
        <v>79891066937</v>
      </c>
      <c r="E372" s="9">
        <f>IFERROR(__xludf.DUMMYFUNCTION("""COMPUTED_VALUE"""),45100.0)</f>
        <v>45100</v>
      </c>
      <c r="F372" s="6"/>
      <c r="G372" s="10"/>
      <c r="H372" s="6">
        <f>IFERROR(__xludf.DUMMYFUNCTION("""COMPUTED_VALUE"""),315.7)</f>
        <v>315.7</v>
      </c>
      <c r="I372" s="11">
        <f>IFERROR(__xludf.DUMMYFUNCTION("""COMPUTED_VALUE"""),44784.3)</f>
        <v>44784.3</v>
      </c>
      <c r="J372" s="6" t="str">
        <f>IFERROR(__xludf.DUMMYFUNCTION("""COMPUTED_VALUE"""),"оплатили в QUGO")</f>
        <v>оплатили в QUGO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>
        <f>IFERROR(__xludf.DUMMYFUNCTION("""COMPUTED_VALUE"""),2025.0)</f>
        <v>2025</v>
      </c>
      <c r="B373" s="7" t="str">
        <f>IFERROR(__xludf.DUMMYFUNCTION("""COMPUTED_VALUE"""),"16.12-31.12")</f>
        <v>16.12-31.12</v>
      </c>
      <c r="C373" s="8" t="str">
        <f>IFERROR(__xludf.DUMMYFUNCTION("""COMPUTED_VALUE"""),"Султонзода Нодира")</f>
        <v>Султонзода Нодира</v>
      </c>
      <c r="D373" s="6" t="str">
        <f>IFERROR(__xludf.DUMMYFUNCTION("""COMPUTED_VALUE"""),"79891031216")</f>
        <v>79891031216</v>
      </c>
      <c r="E373" s="9">
        <f>IFERROR(__xludf.DUMMYFUNCTION("""COMPUTED_VALUE"""),62700.0)</f>
        <v>62700</v>
      </c>
      <c r="F373" s="6"/>
      <c r="G373" s="10"/>
      <c r="H373" s="6">
        <f>IFERROR(__xludf.DUMMYFUNCTION("""COMPUTED_VALUE"""),438.9)</f>
        <v>438.9</v>
      </c>
      <c r="I373" s="11">
        <f>IFERROR(__xludf.DUMMYFUNCTION("""COMPUTED_VALUE"""),62261.1)</f>
        <v>62261.1</v>
      </c>
      <c r="J373" s="6" t="str">
        <f>IFERROR(__xludf.DUMMYFUNCTION("""COMPUTED_VALUE"""),"оплатили в QUGO")</f>
        <v>оплатили в QUGO</v>
      </c>
      <c r="K373" s="6"/>
      <c r="L373" s="6">
        <f>IFERROR(__xludf.DUMMYFUNCTION("""COMPUTED_VALUE"""),7.75184127705E11)</f>
        <v>775184127705</v>
      </c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>
        <f>IFERROR(__xludf.DUMMYFUNCTION("""COMPUTED_VALUE"""),2025.0)</f>
        <v>2025</v>
      </c>
      <c r="B374" s="7" t="str">
        <f>IFERROR(__xludf.DUMMYFUNCTION("""COMPUTED_VALUE"""),"16.12-31.12")</f>
        <v>16.12-31.12</v>
      </c>
      <c r="C374" s="8" t="str">
        <f>IFERROR(__xludf.DUMMYFUNCTION("""COMPUTED_VALUE"""),"Баратова Хадича")</f>
        <v>Баратова Хадича</v>
      </c>
      <c r="D374" s="6" t="str">
        <f>IFERROR(__xludf.DUMMYFUNCTION("""COMPUTED_VALUE"""),"79991129048")</f>
        <v>79991129048</v>
      </c>
      <c r="E374" s="9">
        <f>IFERROR(__xludf.DUMMYFUNCTION("""COMPUTED_VALUE"""),115052.0)</f>
        <v>115052</v>
      </c>
      <c r="F374" s="6"/>
      <c r="G374" s="10"/>
      <c r="H374" s="6">
        <f>IFERROR(__xludf.DUMMYFUNCTION("""COMPUTED_VALUE"""),805.3639999999999)</f>
        <v>805.364</v>
      </c>
      <c r="I374" s="11">
        <f>IFERROR(__xludf.DUMMYFUNCTION("""COMPUTED_VALUE"""),114246.636)</f>
        <v>114246.636</v>
      </c>
      <c r="J374" s="6" t="str">
        <f>IFERROR(__xludf.DUMMYFUNCTION("""COMPUTED_VALUE"""),"оплатили в QUGO")</f>
        <v>оплатили в QUGO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>
        <f>IFERROR(__xludf.DUMMYFUNCTION("""COMPUTED_VALUE"""),2025.0)</f>
        <v>2025</v>
      </c>
      <c r="B375" s="7" t="str">
        <f>IFERROR(__xludf.DUMMYFUNCTION("""COMPUTED_VALUE"""),"16.12-31.12")</f>
        <v>16.12-31.12</v>
      </c>
      <c r="C375" s="8" t="str">
        <f>IFERROR(__xludf.DUMMYFUNCTION("""COMPUTED_VALUE"""),"Исманов Мухаммадкодир")</f>
        <v>Исманов Мухаммадкодир</v>
      </c>
      <c r="D375" s="6" t="str">
        <f>IFERROR(__xludf.DUMMYFUNCTION("""COMPUTED_VALUE"""),"79255086393")</f>
        <v>79255086393</v>
      </c>
      <c r="E375" s="9">
        <f>IFERROR(__xludf.DUMMYFUNCTION("""COMPUTED_VALUE"""),64000.0)</f>
        <v>64000</v>
      </c>
      <c r="F375" s="6"/>
      <c r="G375" s="10"/>
      <c r="H375" s="6">
        <f>IFERROR(__xludf.DUMMYFUNCTION("""COMPUTED_VALUE"""),447.99999999999994)</f>
        <v>448</v>
      </c>
      <c r="I375" s="11">
        <f>IFERROR(__xludf.DUMMYFUNCTION("""COMPUTED_VALUE"""),63552.0)</f>
        <v>63552</v>
      </c>
      <c r="J375" s="6" t="str">
        <f>IFERROR(__xludf.DUMMYFUNCTION("""COMPUTED_VALUE"""),"оплатили в QUGO")</f>
        <v>оплатили в QUGO</v>
      </c>
      <c r="K375" s="6"/>
      <c r="L375" s="6">
        <f>IFERROR(__xludf.DUMMYFUNCTION("""COMPUTED_VALUE"""),5.0024439455E10)</f>
        <v>50024439455</v>
      </c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>
        <f>IFERROR(__xludf.DUMMYFUNCTION("""COMPUTED_VALUE"""),2025.0)</f>
        <v>2025</v>
      </c>
      <c r="B376" s="7" t="str">
        <f>IFERROR(__xludf.DUMMYFUNCTION("""COMPUTED_VALUE"""),"16.12-31.12")</f>
        <v>16.12-31.12</v>
      </c>
      <c r="C376" s="8" t="str">
        <f>IFERROR(__xludf.DUMMYFUNCTION("""COMPUTED_VALUE"""),"Пулатов Фарид")</f>
        <v>Пулатов Фарид</v>
      </c>
      <c r="D376" s="6" t="str">
        <f>IFERROR(__xludf.DUMMYFUNCTION("""COMPUTED_VALUE"""),"79694688670")</f>
        <v>79694688670</v>
      </c>
      <c r="E376" s="9">
        <f>IFERROR(__xludf.DUMMYFUNCTION("""COMPUTED_VALUE"""),80728.0)</f>
        <v>80728</v>
      </c>
      <c r="F376" s="6"/>
      <c r="G376" s="10"/>
      <c r="H376" s="6">
        <f>IFERROR(__xludf.DUMMYFUNCTION("""COMPUTED_VALUE"""),565.0959999999999)</f>
        <v>565.096</v>
      </c>
      <c r="I376" s="11">
        <f>IFERROR(__xludf.DUMMYFUNCTION("""COMPUTED_VALUE"""),80162.904)</f>
        <v>80162.904</v>
      </c>
      <c r="J376" s="6" t="str">
        <f>IFERROR(__xludf.DUMMYFUNCTION("""COMPUTED_VALUE"""),"оплатили в QUGO")</f>
        <v>оплатили в QUGO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>
        <f>IFERROR(__xludf.DUMMYFUNCTION("""COMPUTED_VALUE"""),2025.0)</f>
        <v>2025</v>
      </c>
      <c r="B377" s="7" t="str">
        <f>IFERROR(__xludf.DUMMYFUNCTION("""COMPUTED_VALUE"""),"16.12-31.12")</f>
        <v>16.12-31.12</v>
      </c>
      <c r="C377" s="8" t="str">
        <f>IFERROR(__xludf.DUMMYFUNCTION("""COMPUTED_VALUE"""),"Усманов Нодир")</f>
        <v>Усманов Нодир</v>
      </c>
      <c r="D377" s="6" t="str">
        <f>IFERROR(__xludf.DUMMYFUNCTION("""COMPUTED_VALUE"""),"79800015369")</f>
        <v>79800015369</v>
      </c>
      <c r="E377" s="9">
        <f>IFERROR(__xludf.DUMMYFUNCTION("""COMPUTED_VALUE"""),64000.0)</f>
        <v>64000</v>
      </c>
      <c r="F377" s="6"/>
      <c r="G377" s="10"/>
      <c r="H377" s="6">
        <f>IFERROR(__xludf.DUMMYFUNCTION("""COMPUTED_VALUE"""),447.99999999999994)</f>
        <v>448</v>
      </c>
      <c r="I377" s="11">
        <f>IFERROR(__xludf.DUMMYFUNCTION("""COMPUTED_VALUE"""),63552.0)</f>
        <v>63552</v>
      </c>
      <c r="J377" s="6" t="str">
        <f>IFERROR(__xludf.DUMMYFUNCTION("""COMPUTED_VALUE"""),"оплатили в QUGO")</f>
        <v>оплатили в QUGO</v>
      </c>
      <c r="K377" s="6"/>
      <c r="L377" s="6">
        <f>IFERROR(__xludf.DUMMYFUNCTION("""COMPUTED_VALUE"""),7.75155901184E11)</f>
        <v>775155901184</v>
      </c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>
        <f>IFERROR(__xludf.DUMMYFUNCTION("""COMPUTED_VALUE"""),2025.0)</f>
        <v>2025</v>
      </c>
      <c r="B378" s="7" t="str">
        <f>IFERROR(__xludf.DUMMYFUNCTION("""COMPUTED_VALUE"""),"16.12-31.12")</f>
        <v>16.12-31.12</v>
      </c>
      <c r="C378" s="8" t="str">
        <f>IFERROR(__xludf.DUMMYFUNCTION("""COMPUTED_VALUE"""),"Усманов Ислом")</f>
        <v>Усманов Ислом</v>
      </c>
      <c r="D378" s="6" t="str">
        <f>IFERROR(__xludf.DUMMYFUNCTION("""COMPUTED_VALUE"""),"79067107159")</f>
        <v>79067107159</v>
      </c>
      <c r="E378" s="9">
        <f>IFERROR(__xludf.DUMMYFUNCTION("""COMPUTED_VALUE"""),64000.0)</f>
        <v>64000</v>
      </c>
      <c r="F378" s="6"/>
      <c r="G378" s="10"/>
      <c r="H378" s="6">
        <f>IFERROR(__xludf.DUMMYFUNCTION("""COMPUTED_VALUE"""),447.99999999999994)</f>
        <v>448</v>
      </c>
      <c r="I378" s="11">
        <f>IFERROR(__xludf.DUMMYFUNCTION("""COMPUTED_VALUE"""),63552.0)</f>
        <v>63552</v>
      </c>
      <c r="J378" s="6" t="str">
        <f>IFERROR(__xludf.DUMMYFUNCTION("""COMPUTED_VALUE"""),"оплатили в QUGO")</f>
        <v>оплатили в QUGO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>
        <f>IFERROR(__xludf.DUMMYFUNCTION("""COMPUTED_VALUE"""),2025.0)</f>
        <v>2025</v>
      </c>
      <c r="B379" s="7" t="str">
        <f>IFERROR(__xludf.DUMMYFUNCTION("""COMPUTED_VALUE"""),"16.12-31.12")</f>
        <v>16.12-31.12</v>
      </c>
      <c r="C379" s="8" t="str">
        <f>IFERROR(__xludf.DUMMYFUNCTION("""COMPUTED_VALUE"""),"Примова Нилюфер")</f>
        <v>Примова Нилюфер</v>
      </c>
      <c r="D379" s="6" t="str">
        <f>IFERROR(__xludf.DUMMYFUNCTION("""COMPUTED_VALUE"""),"79775621896")</f>
        <v>79775621896</v>
      </c>
      <c r="E379" s="9">
        <f>IFERROR(__xludf.DUMMYFUNCTION("""COMPUTED_VALUE"""),62400.0)</f>
        <v>62400</v>
      </c>
      <c r="F379" s="6"/>
      <c r="G379" s="10"/>
      <c r="H379" s="6">
        <f>IFERROR(__xludf.DUMMYFUNCTION("""COMPUTED_VALUE"""),436.79999999999995)</f>
        <v>436.8</v>
      </c>
      <c r="I379" s="11">
        <f>IFERROR(__xludf.DUMMYFUNCTION("""COMPUTED_VALUE"""),61963.2)</f>
        <v>61963.2</v>
      </c>
      <c r="J379" s="6" t="str">
        <f>IFERROR(__xludf.DUMMYFUNCTION("""COMPUTED_VALUE"""),"оплатили в QUGO")</f>
        <v>оплатили в QUGO</v>
      </c>
      <c r="K379" s="6"/>
      <c r="L379" s="6">
        <f>IFERROR(__xludf.DUMMYFUNCTION("""COMPUTED_VALUE"""),7.72312047604E11)</f>
        <v>772312047604</v>
      </c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>
        <f>IFERROR(__xludf.DUMMYFUNCTION("""COMPUTED_VALUE"""),2025.0)</f>
        <v>2025</v>
      </c>
      <c r="B380" s="7" t="str">
        <f>IFERROR(__xludf.DUMMYFUNCTION("""COMPUTED_VALUE"""),"16.12-31.12")</f>
        <v>16.12-31.12</v>
      </c>
      <c r="C380" s="8" t="str">
        <f>IFERROR(__xludf.DUMMYFUNCTION("""COMPUTED_VALUE"""),"Тешабоев Расулжон")</f>
        <v>Тешабоев Расулжон</v>
      </c>
      <c r="D380" s="6" t="str">
        <f>IFERROR(__xludf.DUMMYFUNCTION("""COMPUTED_VALUE"""),"79777013390")</f>
        <v>79777013390</v>
      </c>
      <c r="E380" s="9">
        <f>IFERROR(__xludf.DUMMYFUNCTION("""COMPUTED_VALUE"""),54575.0)</f>
        <v>54575</v>
      </c>
      <c r="F380" s="6"/>
      <c r="G380" s="10"/>
      <c r="H380" s="6">
        <f>IFERROR(__xludf.DUMMYFUNCTION("""COMPUTED_VALUE"""),382.025)</f>
        <v>382.025</v>
      </c>
      <c r="I380" s="11">
        <f>IFERROR(__xludf.DUMMYFUNCTION("""COMPUTED_VALUE"""),54192.975)</f>
        <v>54192.975</v>
      </c>
      <c r="J380" s="6" t="str">
        <f>IFERROR(__xludf.DUMMYFUNCTION("""COMPUTED_VALUE"""),"оплатили в QUGO")</f>
        <v>оплатили в QUGO</v>
      </c>
      <c r="K380" s="6"/>
      <c r="L380" s="6">
        <f>IFERROR(__xludf.DUMMYFUNCTION("""COMPUTED_VALUE"""),7.75171178607E11)</f>
        <v>775171178607</v>
      </c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>
        <f>IFERROR(__xludf.DUMMYFUNCTION("""COMPUTED_VALUE"""),2025.0)</f>
        <v>2025</v>
      </c>
      <c r="B381" s="7" t="str">
        <f>IFERROR(__xludf.DUMMYFUNCTION("""COMPUTED_VALUE"""),"16.12-31.12")</f>
        <v>16.12-31.12</v>
      </c>
      <c r="C381" s="8" t="str">
        <f>IFERROR(__xludf.DUMMYFUNCTION("""COMPUTED_VALUE"""),"Рахмонов Сухроб")</f>
        <v>Рахмонов Сухроб</v>
      </c>
      <c r="D381" s="6" t="str">
        <f>IFERROR(__xludf.DUMMYFUNCTION("""COMPUTED_VALUE"""),"79336934364")</f>
        <v>79336934364</v>
      </c>
      <c r="E381" s="9">
        <f>IFERROR(__xludf.DUMMYFUNCTION("""COMPUTED_VALUE"""),70300.0)</f>
        <v>70300</v>
      </c>
      <c r="F381" s="6"/>
      <c r="G381" s="10"/>
      <c r="H381" s="6">
        <f>IFERROR(__xludf.DUMMYFUNCTION("""COMPUTED_VALUE"""),492.09999999999997)</f>
        <v>492.1</v>
      </c>
      <c r="I381" s="11">
        <f>IFERROR(__xludf.DUMMYFUNCTION("""COMPUTED_VALUE"""),69807.9)</f>
        <v>69807.9</v>
      </c>
      <c r="J381" s="6" t="str">
        <f>IFERROR(__xludf.DUMMYFUNCTION("""COMPUTED_VALUE"""),"оплатили в QUGO")</f>
        <v>оплатили в QUGO</v>
      </c>
      <c r="K381" s="6"/>
      <c r="L381" s="6">
        <f>IFERROR(__xludf.DUMMYFUNCTION("""COMPUTED_VALUE"""),7.75185498484E11)</f>
        <v>775185498484</v>
      </c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>
        <f>IFERROR(__xludf.DUMMYFUNCTION("""COMPUTED_VALUE"""),2025.0)</f>
        <v>2025</v>
      </c>
      <c r="B382" s="7" t="str">
        <f>IFERROR(__xludf.DUMMYFUNCTION("""COMPUTED_VALUE"""),"16.12-31.12")</f>
        <v>16.12-31.12</v>
      </c>
      <c r="C382" s="8" t="str">
        <f>IFERROR(__xludf.DUMMYFUNCTION("""COMPUTED_VALUE"""),"Аюбова Мухайе")</f>
        <v>Аюбова Мухайе</v>
      </c>
      <c r="D382" s="6" t="str">
        <f>IFERROR(__xludf.DUMMYFUNCTION("""COMPUTED_VALUE"""),"79969645979")</f>
        <v>79969645979</v>
      </c>
      <c r="E382" s="9">
        <f>IFERROR(__xludf.DUMMYFUNCTION("""COMPUTED_VALUE"""),17000.0)</f>
        <v>17000</v>
      </c>
      <c r="F382" s="6"/>
      <c r="G382" s="10"/>
      <c r="H382" s="6">
        <f>IFERROR(__xludf.DUMMYFUNCTION("""COMPUTED_VALUE"""),118.99999999999999)</f>
        <v>119</v>
      </c>
      <c r="I382" s="11">
        <f>IFERROR(__xludf.DUMMYFUNCTION("""COMPUTED_VALUE"""),16881.0)</f>
        <v>16881</v>
      </c>
      <c r="J382" s="6" t="str">
        <f>IFERROR(__xludf.DUMMYFUNCTION("""COMPUTED_VALUE"""),"Оплатили")</f>
        <v>Оплатили</v>
      </c>
      <c r="K382" s="6" t="str">
        <f>IFERROR(__xludf.DUMMYFUNCTION("""COMPUTED_VALUE"""),"получила на Нематова Мухаммада")</f>
        <v>получила на Нематова Мухаммада</v>
      </c>
      <c r="L382" s="6">
        <f>IFERROR(__xludf.DUMMYFUNCTION("""COMPUTED_VALUE"""),6.67803019045E11)</f>
        <v>667803019045</v>
      </c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>
        <f>IFERROR(__xludf.DUMMYFUNCTION("""COMPUTED_VALUE"""),2025.0)</f>
        <v>2025</v>
      </c>
      <c r="B383" s="7" t="str">
        <f>IFERROR(__xludf.DUMMYFUNCTION("""COMPUTED_VALUE"""),"16.12-31.12")</f>
        <v>16.12-31.12</v>
      </c>
      <c r="C383" s="8" t="str">
        <f>IFERROR(__xludf.DUMMYFUNCTION("""COMPUTED_VALUE"""),"Мусаева Мавтуна")</f>
        <v>Мусаева Мавтуна</v>
      </c>
      <c r="D383" s="6" t="str">
        <f>IFERROR(__xludf.DUMMYFUNCTION("""COMPUTED_VALUE"""),"79057784048")</f>
        <v>79057784048</v>
      </c>
      <c r="E383" s="9">
        <f>IFERROR(__xludf.DUMMYFUNCTION("""COMPUTED_VALUE"""),51200.0)</f>
        <v>51200</v>
      </c>
      <c r="F383" s="6"/>
      <c r="G383" s="10"/>
      <c r="H383" s="6">
        <f>IFERROR(__xludf.DUMMYFUNCTION("""COMPUTED_VALUE"""),358.4)</f>
        <v>358.4</v>
      </c>
      <c r="I383" s="11">
        <f>IFERROR(__xludf.DUMMYFUNCTION("""COMPUTED_VALUE"""),50841.6)</f>
        <v>50841.6</v>
      </c>
      <c r="J383" s="6" t="str">
        <f>IFERROR(__xludf.DUMMYFUNCTION("""COMPUTED_VALUE"""),"оплатили в QUGO")</f>
        <v>оплатили в QUGO</v>
      </c>
      <c r="K383" s="6"/>
      <c r="L383" s="6">
        <f>IFERROR(__xludf.DUMMYFUNCTION("""COMPUTED_VALUE"""),5.00726635205E11)</f>
        <v>500726635205</v>
      </c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>
        <f>IFERROR(__xludf.DUMMYFUNCTION("""COMPUTED_VALUE"""),2025.0)</f>
        <v>2025</v>
      </c>
      <c r="B384" s="7" t="str">
        <f>IFERROR(__xludf.DUMMYFUNCTION("""COMPUTED_VALUE"""),"16.12-31.12")</f>
        <v>16.12-31.12</v>
      </c>
      <c r="C384" s="8" t="str">
        <f>IFERROR(__xludf.DUMMYFUNCTION("""COMPUTED_VALUE"""),"Джовлиева Дильфруз")</f>
        <v>Джовлиева Дильфруз</v>
      </c>
      <c r="D384" s="6" t="str">
        <f>IFERROR(__xludf.DUMMYFUNCTION("""COMPUTED_VALUE"""),"79031409201")</f>
        <v>79031409201</v>
      </c>
      <c r="E384" s="9">
        <f>IFERROR(__xludf.DUMMYFUNCTION("""COMPUTED_VALUE"""),52800.0)</f>
        <v>52800</v>
      </c>
      <c r="F384" s="6"/>
      <c r="G384" s="10"/>
      <c r="H384" s="6">
        <f>IFERROR(__xludf.DUMMYFUNCTION("""COMPUTED_VALUE"""),369.59999999999997)</f>
        <v>369.6</v>
      </c>
      <c r="I384" s="11">
        <f>IFERROR(__xludf.DUMMYFUNCTION("""COMPUTED_VALUE"""),52430.4)</f>
        <v>52430.4</v>
      </c>
      <c r="J384" s="6" t="str">
        <f>IFERROR(__xludf.DUMMYFUNCTION("""COMPUTED_VALUE"""),"оплатили в QUGO")</f>
        <v>оплатили в QUGO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>
        <f>IFERROR(__xludf.DUMMYFUNCTION("""COMPUTED_VALUE"""),2025.0)</f>
        <v>2025</v>
      </c>
      <c r="B385" s="7" t="str">
        <f>IFERROR(__xludf.DUMMYFUNCTION("""COMPUTED_VALUE"""),"16.12-31.12")</f>
        <v>16.12-31.12</v>
      </c>
      <c r="C385" s="8" t="str">
        <f>IFERROR(__xludf.DUMMYFUNCTION("""COMPUTED_VALUE"""),"Боева Фируза")</f>
        <v>Боева Фируза</v>
      </c>
      <c r="D385" s="6" t="str">
        <f>IFERROR(__xludf.DUMMYFUNCTION("""COMPUTED_VALUE"""),"79969660345")</f>
        <v>79969660345</v>
      </c>
      <c r="E385" s="9">
        <f>IFERROR(__xludf.DUMMYFUNCTION("""COMPUTED_VALUE"""),20000.0)</f>
        <v>20000</v>
      </c>
      <c r="F385" s="6"/>
      <c r="G385" s="10"/>
      <c r="H385" s="6">
        <f>IFERROR(__xludf.DUMMYFUNCTION("""COMPUTED_VALUE"""),139.99999999999997)</f>
        <v>140</v>
      </c>
      <c r="I385" s="11">
        <f>IFERROR(__xludf.DUMMYFUNCTION("""COMPUTED_VALUE"""),19860.0)</f>
        <v>19860</v>
      </c>
      <c r="J385" s="6" t="str">
        <f>IFERROR(__xludf.DUMMYFUNCTION("""COMPUTED_VALUE"""),"Оплатили")</f>
        <v>Оплатили</v>
      </c>
      <c r="K385" s="6" t="str">
        <f>IFERROR(__xludf.DUMMYFUNCTION("""COMPUTED_VALUE"""),"Сотрудник зарегистрировался, повторим выплату")</f>
        <v>Сотрудник зарегистрировался, повторим выплату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>
        <f>IFERROR(__xludf.DUMMYFUNCTION("""COMPUTED_VALUE"""),2025.0)</f>
        <v>2025</v>
      </c>
      <c r="B386" s="7" t="str">
        <f>IFERROR(__xludf.DUMMYFUNCTION("""COMPUTED_VALUE"""),"16.12-31.12")</f>
        <v>16.12-31.12</v>
      </c>
      <c r="C386" s="8" t="str">
        <f>IFERROR(__xludf.DUMMYFUNCTION("""COMPUTED_VALUE"""),"Куватова Холбека Зокировна")</f>
        <v>Куватова Холбека Зокировна</v>
      </c>
      <c r="D386" s="6" t="str">
        <f>IFERROR(__xludf.DUMMYFUNCTION("""COMPUTED_VALUE"""),"79060885518")</f>
        <v>79060885518</v>
      </c>
      <c r="E386" s="9">
        <f>IFERROR(__xludf.DUMMYFUNCTION("""COMPUTED_VALUE"""),56000.0)</f>
        <v>56000</v>
      </c>
      <c r="F386" s="6"/>
      <c r="G386" s="10"/>
      <c r="H386" s="6">
        <f>IFERROR(__xludf.DUMMYFUNCTION("""COMPUTED_VALUE"""),391.99999999999994)</f>
        <v>392</v>
      </c>
      <c r="I386" s="11">
        <f>IFERROR(__xludf.DUMMYFUNCTION("""COMPUTED_VALUE"""),55608.0)</f>
        <v>55608</v>
      </c>
      <c r="J386" s="6" t="str">
        <f>IFERROR(__xludf.DUMMYFUNCTION("""COMPUTED_VALUE"""),"оплатили в QUGO")</f>
        <v>оплатили в QUGO</v>
      </c>
      <c r="K386" s="6"/>
      <c r="L386" s="6">
        <f>IFERROR(__xludf.DUMMYFUNCTION("""COMPUTED_VALUE"""),7.74354320506E11)</f>
        <v>774354320506</v>
      </c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>
        <f>IFERROR(__xludf.DUMMYFUNCTION("""COMPUTED_VALUE"""),2025.0)</f>
        <v>2025</v>
      </c>
      <c r="B387" s="7" t="str">
        <f>IFERROR(__xludf.DUMMYFUNCTION("""COMPUTED_VALUE"""),"16.12-31.12")</f>
        <v>16.12-31.12</v>
      </c>
      <c r="C387" s="8" t="str">
        <f>IFERROR(__xludf.DUMMYFUNCTION("""COMPUTED_VALUE"""),"Джовлиева Чаман")</f>
        <v>Джовлиева Чаман</v>
      </c>
      <c r="D387" s="6" t="str">
        <f>IFERROR(__xludf.DUMMYFUNCTION("""COMPUTED_VALUE"""),"79099908237")</f>
        <v>79099908237</v>
      </c>
      <c r="E387" s="9">
        <f>IFERROR(__xludf.DUMMYFUNCTION("""COMPUTED_VALUE"""),51200.0)</f>
        <v>51200</v>
      </c>
      <c r="F387" s="6"/>
      <c r="G387" s="10"/>
      <c r="H387" s="6">
        <f>IFERROR(__xludf.DUMMYFUNCTION("""COMPUTED_VALUE"""),358.4)</f>
        <v>358.4</v>
      </c>
      <c r="I387" s="11">
        <f>IFERROR(__xludf.DUMMYFUNCTION("""COMPUTED_VALUE"""),50841.6)</f>
        <v>50841.6</v>
      </c>
      <c r="J387" s="6" t="str">
        <f>IFERROR(__xludf.DUMMYFUNCTION("""COMPUTED_VALUE"""),"оплатили в QUGO")</f>
        <v>оплатили в QUGO</v>
      </c>
      <c r="K387" s="6"/>
      <c r="L387" s="6">
        <f>IFERROR(__xludf.DUMMYFUNCTION("""COMPUTED_VALUE"""),7.71392768519E11)</f>
        <v>771392768519</v>
      </c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>
        <f>IFERROR(__xludf.DUMMYFUNCTION("""COMPUTED_VALUE"""),2025.0)</f>
        <v>2025</v>
      </c>
      <c r="B388" s="7" t="str">
        <f>IFERROR(__xludf.DUMMYFUNCTION("""COMPUTED_VALUE"""),"16.12-31.12")</f>
        <v>16.12-31.12</v>
      </c>
      <c r="C388" s="8" t="str">
        <f>IFERROR(__xludf.DUMMYFUNCTION("""COMPUTED_VALUE"""),"Зулунов Акбарали Шухратбек угли")</f>
        <v>Зулунов Акбарали Шухратбек угли</v>
      </c>
      <c r="D388" s="6" t="str">
        <f>IFERROR(__xludf.DUMMYFUNCTION("""COMPUTED_VALUE"""),"79684325555")</f>
        <v>79684325555</v>
      </c>
      <c r="E388" s="9">
        <f>IFERROR(__xludf.DUMMYFUNCTION("""COMPUTED_VALUE"""),52015.0)</f>
        <v>52015</v>
      </c>
      <c r="F388" s="6"/>
      <c r="G388" s="10"/>
      <c r="H388" s="6">
        <f>IFERROR(__xludf.DUMMYFUNCTION("""COMPUTED_VALUE"""),364.10499999999996)</f>
        <v>364.105</v>
      </c>
      <c r="I388" s="11">
        <f>IFERROR(__xludf.DUMMYFUNCTION("""COMPUTED_VALUE"""),51650.895)</f>
        <v>51650.895</v>
      </c>
      <c r="J388" s="6" t="str">
        <f>IFERROR(__xludf.DUMMYFUNCTION("""COMPUTED_VALUE"""),"оплатили в QUGO")</f>
        <v>оплатили в QUGO</v>
      </c>
      <c r="K388" s="6"/>
      <c r="L388" s="6">
        <f>IFERROR(__xludf.DUMMYFUNCTION("""COMPUTED_VALUE"""),5.02765439695E11)</f>
        <v>502765439695</v>
      </c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>
        <f>IFERROR(__xludf.DUMMYFUNCTION("""COMPUTED_VALUE"""),2025.0)</f>
        <v>2025</v>
      </c>
      <c r="B389" s="7" t="str">
        <f>IFERROR(__xludf.DUMMYFUNCTION("""COMPUTED_VALUE"""),"16.12-31.12")</f>
        <v>16.12-31.12</v>
      </c>
      <c r="C389" s="8" t="str">
        <f>IFERROR(__xludf.DUMMYFUNCTION("""COMPUTED_VALUE"""),"Рустамов Дониёр Абдукахорович")</f>
        <v>Рустамов Дониёр Абдукахорович</v>
      </c>
      <c r="D389" s="6" t="str">
        <f>IFERROR(__xludf.DUMMYFUNCTION("""COMPUTED_VALUE"""),"79776800074")</f>
        <v>79776800074</v>
      </c>
      <c r="E389" s="9">
        <f>IFERROR(__xludf.DUMMYFUNCTION("""COMPUTED_VALUE"""),62595.0)</f>
        <v>62595</v>
      </c>
      <c r="F389" s="6"/>
      <c r="G389" s="10"/>
      <c r="H389" s="6">
        <f>IFERROR(__xludf.DUMMYFUNCTION("""COMPUTED_VALUE"""),438.16499999999996)</f>
        <v>438.165</v>
      </c>
      <c r="I389" s="11">
        <f>IFERROR(__xludf.DUMMYFUNCTION("""COMPUTED_VALUE"""),62156.835)</f>
        <v>62156.835</v>
      </c>
      <c r="J389" s="6" t="str">
        <f>IFERROR(__xludf.DUMMYFUNCTION("""COMPUTED_VALUE"""),"оплатили в QUGO")</f>
        <v>оплатили в QUGO</v>
      </c>
      <c r="K389" s="6"/>
      <c r="L389" s="6">
        <f>IFERROR(__xludf.DUMMYFUNCTION("""COMPUTED_VALUE"""),9.7180693062E11)</f>
        <v>971806930620</v>
      </c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>
        <f>IFERROR(__xludf.DUMMYFUNCTION("""COMPUTED_VALUE"""),2025.0)</f>
        <v>2025</v>
      </c>
      <c r="B390" s="7" t="str">
        <f>IFERROR(__xludf.DUMMYFUNCTION("""COMPUTED_VALUE"""),"16.12-31.12")</f>
        <v>16.12-31.12</v>
      </c>
      <c r="C390" s="8" t="str">
        <f>IFERROR(__xludf.DUMMYFUNCTION("""COMPUTED_VALUE"""),"Юсупов Илхомидин Гозиевич")</f>
        <v>Юсупов Илхомидин Гозиевич</v>
      </c>
      <c r="D390" s="6" t="str">
        <f>IFERROR(__xludf.DUMMYFUNCTION("""COMPUTED_VALUE"""),"79162515030")</f>
        <v>79162515030</v>
      </c>
      <c r="E390" s="9">
        <f>IFERROR(__xludf.DUMMYFUNCTION("""COMPUTED_VALUE"""),68800.0)</f>
        <v>68800</v>
      </c>
      <c r="F390" s="6"/>
      <c r="G390" s="10"/>
      <c r="H390" s="6">
        <f>IFERROR(__xludf.DUMMYFUNCTION("""COMPUTED_VALUE"""),481.59999999999997)</f>
        <v>481.6</v>
      </c>
      <c r="I390" s="11">
        <f>IFERROR(__xludf.DUMMYFUNCTION("""COMPUTED_VALUE"""),68318.4)</f>
        <v>68318.4</v>
      </c>
      <c r="J390" s="6" t="str">
        <f>IFERROR(__xludf.DUMMYFUNCTION("""COMPUTED_VALUE"""),"оплатили в QUGO")</f>
        <v>оплатили в QUGO</v>
      </c>
      <c r="K390" s="6"/>
      <c r="L390" s="6">
        <f>IFERROR(__xludf.DUMMYFUNCTION("""COMPUTED_VALUE"""),7.72418658586E11)</f>
        <v>772418658586</v>
      </c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>
        <f>IFERROR(__xludf.DUMMYFUNCTION("""COMPUTED_VALUE"""),2025.0)</f>
        <v>2025</v>
      </c>
      <c r="B391" s="7" t="str">
        <f>IFERROR(__xludf.DUMMYFUNCTION("""COMPUTED_VALUE"""),"16.12-31.12")</f>
        <v>16.12-31.12</v>
      </c>
      <c r="C391" s="8" t="str">
        <f>IFERROR(__xludf.DUMMYFUNCTION("""COMPUTED_VALUE"""),"Иброхимзода Юсуф")</f>
        <v>Иброхимзода Юсуф</v>
      </c>
      <c r="D391" s="6" t="str">
        <f>IFERROR(__xludf.DUMMYFUNCTION("""COMPUTED_VALUE"""),"79694795092")</f>
        <v>79694795092</v>
      </c>
      <c r="E391" s="9">
        <f>IFERROR(__xludf.DUMMYFUNCTION("""COMPUTED_VALUE"""),68800.0)</f>
        <v>68800</v>
      </c>
      <c r="F391" s="6"/>
      <c r="G391" s="10"/>
      <c r="H391" s="6">
        <f>IFERROR(__xludf.DUMMYFUNCTION("""COMPUTED_VALUE"""),481.59999999999997)</f>
        <v>481.6</v>
      </c>
      <c r="I391" s="11">
        <f>IFERROR(__xludf.DUMMYFUNCTION("""COMPUTED_VALUE"""),68318.4)</f>
        <v>68318.4</v>
      </c>
      <c r="J391" s="6" t="str">
        <f>IFERROR(__xludf.DUMMYFUNCTION("""COMPUTED_VALUE"""),"оплатили в QUGO")</f>
        <v>оплатили в QUGO</v>
      </c>
      <c r="K391" s="6"/>
      <c r="L391" s="6">
        <f>IFERROR(__xludf.DUMMYFUNCTION("""COMPUTED_VALUE"""),7.72321986304E11)</f>
        <v>772321986304</v>
      </c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>
        <f>IFERROR(__xludf.DUMMYFUNCTION("""COMPUTED_VALUE"""),2025.0)</f>
        <v>2025</v>
      </c>
      <c r="B392" s="7" t="str">
        <f>IFERROR(__xludf.DUMMYFUNCTION("""COMPUTED_VALUE"""),"16.12-31.12")</f>
        <v>16.12-31.12</v>
      </c>
      <c r="C392" s="8" t="str">
        <f>IFERROR(__xludf.DUMMYFUNCTION("""COMPUTED_VALUE"""),"Хаитова Лайло Норбоевна")</f>
        <v>Хаитова Лайло Норбоевна</v>
      </c>
      <c r="D392" s="6" t="str">
        <f>IFERROR(__xludf.DUMMYFUNCTION("""COMPUTED_VALUE"""),"79694748125")</f>
        <v>79694748125</v>
      </c>
      <c r="E392" s="9">
        <f>IFERROR(__xludf.DUMMYFUNCTION("""COMPUTED_VALUE"""),56000.0)</f>
        <v>56000</v>
      </c>
      <c r="F392" s="6"/>
      <c r="G392" s="10"/>
      <c r="H392" s="6">
        <f>IFERROR(__xludf.DUMMYFUNCTION("""COMPUTED_VALUE"""),391.99999999999994)</f>
        <v>392</v>
      </c>
      <c r="I392" s="11">
        <f>IFERROR(__xludf.DUMMYFUNCTION("""COMPUTED_VALUE"""),55608.0)</f>
        <v>55608</v>
      </c>
      <c r="J392" s="6" t="str">
        <f>IFERROR(__xludf.DUMMYFUNCTION("""COMPUTED_VALUE"""),"оплатили в QUGO")</f>
        <v>оплатили в QUGO</v>
      </c>
      <c r="K392" s="6"/>
      <c r="L392" s="6">
        <f>IFERROR(__xludf.DUMMYFUNCTION("""COMPUTED_VALUE"""),7.71778280523E11)</f>
        <v>771778280523</v>
      </c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>
        <f>IFERROR(__xludf.DUMMYFUNCTION("""COMPUTED_VALUE"""),2025.0)</f>
        <v>2025</v>
      </c>
      <c r="B393" s="7" t="str">
        <f>IFERROR(__xludf.DUMMYFUNCTION("""COMPUTED_VALUE"""),"16.12-31.12")</f>
        <v>16.12-31.12</v>
      </c>
      <c r="C393" s="8" t="str">
        <f>IFERROR(__xludf.DUMMYFUNCTION("""COMPUTED_VALUE"""),"Солиев Алимардон Акбаралиевич")</f>
        <v>Солиев Алимардон Акбаралиевич</v>
      </c>
      <c r="D393" s="6" t="str">
        <f>IFERROR(__xludf.DUMMYFUNCTION("""COMPUTED_VALUE"""),"79161154264")</f>
        <v>79161154264</v>
      </c>
      <c r="E393" s="9">
        <f>IFERROR(__xludf.DUMMYFUNCTION("""COMPUTED_VALUE"""),72375.0)</f>
        <v>72375</v>
      </c>
      <c r="F393" s="6"/>
      <c r="G393" s="10"/>
      <c r="H393" s="6">
        <f>IFERROR(__xludf.DUMMYFUNCTION("""COMPUTED_VALUE"""),506.62499999999994)</f>
        <v>506.625</v>
      </c>
      <c r="I393" s="11">
        <f>IFERROR(__xludf.DUMMYFUNCTION("""COMPUTED_VALUE"""),71868.375)</f>
        <v>71868.375</v>
      </c>
      <c r="J393" s="6" t="str">
        <f>IFERROR(__xludf.DUMMYFUNCTION("""COMPUTED_VALUE"""),"оплатили в QUGO")</f>
        <v>оплатили в QUGO</v>
      </c>
      <c r="K393" s="6"/>
      <c r="L393" s="6">
        <f>IFERROR(__xludf.DUMMYFUNCTION("""COMPUTED_VALUE"""),4.02818158835E11)</f>
        <v>402818158835</v>
      </c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>
        <f>IFERROR(__xludf.DUMMYFUNCTION("""COMPUTED_VALUE"""),2025.0)</f>
        <v>2025</v>
      </c>
      <c r="B394" s="7" t="str">
        <f>IFERROR(__xludf.DUMMYFUNCTION("""COMPUTED_VALUE"""),"16.12-31.12")</f>
        <v>16.12-31.12</v>
      </c>
      <c r="C394" s="8" t="str">
        <f>IFERROR(__xludf.DUMMYFUNCTION("""COMPUTED_VALUE"""),"Нуруллаев Нодирбек")</f>
        <v>Нуруллаев Нодирбек</v>
      </c>
      <c r="D394" s="6" t="str">
        <f>IFERROR(__xludf.DUMMYFUNCTION("""COMPUTED_VALUE"""),"79801360139")</f>
        <v>79801360139</v>
      </c>
      <c r="E394" s="9">
        <f>IFERROR(__xludf.DUMMYFUNCTION("""COMPUTED_VALUE"""),48100.0)</f>
        <v>48100</v>
      </c>
      <c r="F394" s="6"/>
      <c r="G394" s="10"/>
      <c r="H394" s="6">
        <f>IFERROR(__xludf.DUMMYFUNCTION("""COMPUTED_VALUE"""),336.7)</f>
        <v>336.7</v>
      </c>
      <c r="I394" s="11">
        <f>IFERROR(__xludf.DUMMYFUNCTION("""COMPUTED_VALUE"""),47763.3)</f>
        <v>47763.3</v>
      </c>
      <c r="J394" s="6" t="str">
        <f>IFERROR(__xludf.DUMMYFUNCTION("""COMPUTED_VALUE"""),"оплатили в QUGO")</f>
        <v>оплатили в QUGO</v>
      </c>
      <c r="K394" s="6"/>
      <c r="L394" s="6">
        <f>IFERROR(__xludf.DUMMYFUNCTION("""COMPUTED_VALUE"""),7.7518750507E11)</f>
        <v>775187505070</v>
      </c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>
        <f>IFERROR(__xludf.DUMMYFUNCTION("""COMPUTED_VALUE"""),2025.0)</f>
        <v>2025</v>
      </c>
      <c r="B395" s="7" t="str">
        <f>IFERROR(__xludf.DUMMYFUNCTION("""COMPUTED_VALUE"""),"16.12-31.12")</f>
        <v>16.12-31.12</v>
      </c>
      <c r="C395" s="8" t="str">
        <f>IFERROR(__xludf.DUMMYFUNCTION("""COMPUTED_VALUE"""),"Жураев Бахриддин Фахриддинович")</f>
        <v>Жураев Бахриддин Фахриддинович</v>
      </c>
      <c r="D395" s="6" t="str">
        <f>IFERROR(__xludf.DUMMYFUNCTION("""COMPUTED_VALUE"""),"79260684763")</f>
        <v>79260684763</v>
      </c>
      <c r="E395" s="9">
        <f>IFERROR(__xludf.DUMMYFUNCTION("""COMPUTED_VALUE"""),60500.0)</f>
        <v>60500</v>
      </c>
      <c r="F395" s="6"/>
      <c r="G395" s="10"/>
      <c r="H395" s="6">
        <f>IFERROR(__xludf.DUMMYFUNCTION("""COMPUTED_VALUE"""),423.49999999999994)</f>
        <v>423.5</v>
      </c>
      <c r="I395" s="11">
        <f>IFERROR(__xludf.DUMMYFUNCTION("""COMPUTED_VALUE"""),60076.5)</f>
        <v>60076.5</v>
      </c>
      <c r="J395" s="6" t="str">
        <f>IFERROR(__xludf.DUMMYFUNCTION("""COMPUTED_VALUE"""),"Оплатили")</f>
        <v>Оплатили</v>
      </c>
      <c r="K395" s="6" t="str">
        <f>IFERROR(__xludf.DUMMYFUNCTION("""COMPUTED_VALUE"""),"продублировали")</f>
        <v>продублировали</v>
      </c>
      <c r="L395" s="6">
        <f>IFERROR(__xludf.DUMMYFUNCTION("""COMPUTED_VALUE"""),7.75182197834E11)</f>
        <v>775182197834</v>
      </c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>
        <f>IFERROR(__xludf.DUMMYFUNCTION("""COMPUTED_VALUE"""),2025.0)</f>
        <v>2025</v>
      </c>
      <c r="B396" s="7" t="str">
        <f>IFERROR(__xludf.DUMMYFUNCTION("""COMPUTED_VALUE"""),"16.12-31.12")</f>
        <v>16.12-31.12</v>
      </c>
      <c r="C396" s="8" t="str">
        <f>IFERROR(__xludf.DUMMYFUNCTION("""COMPUTED_VALUE"""),"Мажитова Диляфруз Юлдашевна")</f>
        <v>Мажитова Диляфруз Юлдашевна</v>
      </c>
      <c r="D396" s="6" t="str">
        <f>IFERROR(__xludf.DUMMYFUNCTION("""COMPUTED_VALUE"""),"79031479284")</f>
        <v>79031479284</v>
      </c>
      <c r="E396" s="9">
        <f>IFERROR(__xludf.DUMMYFUNCTION("""COMPUTED_VALUE"""),54400.0)</f>
        <v>54400</v>
      </c>
      <c r="F396" s="6"/>
      <c r="G396" s="10"/>
      <c r="H396" s="6">
        <f>IFERROR(__xludf.DUMMYFUNCTION("""COMPUTED_VALUE"""),380.79999999999995)</f>
        <v>380.8</v>
      </c>
      <c r="I396" s="11">
        <f>IFERROR(__xludf.DUMMYFUNCTION("""COMPUTED_VALUE"""),54019.2)</f>
        <v>54019.2</v>
      </c>
      <c r="J396" s="6" t="str">
        <f>IFERROR(__xludf.DUMMYFUNCTION("""COMPUTED_VALUE"""),"оплатили в QUGO")</f>
        <v>оплатили в QUGO</v>
      </c>
      <c r="K396" s="6"/>
      <c r="L396" s="6">
        <f>IFERROR(__xludf.DUMMYFUNCTION("""COMPUTED_VALUE"""),5.02776500895E11)</f>
        <v>502776500895</v>
      </c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>
        <f>IFERROR(__xludf.DUMMYFUNCTION("""COMPUTED_VALUE"""),2025.0)</f>
        <v>2025</v>
      </c>
      <c r="B397" s="7" t="str">
        <f>IFERROR(__xludf.DUMMYFUNCTION("""COMPUTED_VALUE"""),"16.12-31.12")</f>
        <v>16.12-31.12</v>
      </c>
      <c r="C397" s="8" t="str">
        <f>IFERROR(__xludf.DUMMYFUNCTION("""COMPUTED_VALUE"""),"Тожиева Наргиза Аминова")</f>
        <v>Тожиева Наргиза Аминова</v>
      </c>
      <c r="D397" s="6" t="str">
        <f>IFERROR(__xludf.DUMMYFUNCTION("""COMPUTED_VALUE"""),"79856292007")</f>
        <v>79856292007</v>
      </c>
      <c r="E397" s="9">
        <f>IFERROR(__xludf.DUMMYFUNCTION("""COMPUTED_VALUE"""),54400.0)</f>
        <v>54400</v>
      </c>
      <c r="F397" s="6"/>
      <c r="G397" s="10"/>
      <c r="H397" s="6">
        <f>IFERROR(__xludf.DUMMYFUNCTION("""COMPUTED_VALUE"""),380.79999999999995)</f>
        <v>380.8</v>
      </c>
      <c r="I397" s="11">
        <f>IFERROR(__xludf.DUMMYFUNCTION("""COMPUTED_VALUE"""),54019.2)</f>
        <v>54019.2</v>
      </c>
      <c r="J397" s="6" t="str">
        <f>IFERROR(__xludf.DUMMYFUNCTION("""COMPUTED_VALUE"""),"оплатили в QUGO")</f>
        <v>оплатили в QUGO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>
        <f>IFERROR(__xludf.DUMMYFUNCTION("""COMPUTED_VALUE"""),2025.0)</f>
        <v>2025</v>
      </c>
      <c r="B398" s="7" t="str">
        <f>IFERROR(__xludf.DUMMYFUNCTION("""COMPUTED_VALUE"""),"16.12-31.12")</f>
        <v>16.12-31.12</v>
      </c>
      <c r="C398" s="8" t="str">
        <f>IFERROR(__xludf.DUMMYFUNCTION("""COMPUTED_VALUE"""),"Курбонова Гулжахон Абдуразоковна")</f>
        <v>Курбонова Гулжахон Абдуразоковна</v>
      </c>
      <c r="D398" s="6" t="str">
        <f>IFERROR(__xludf.DUMMYFUNCTION("""COMPUTED_VALUE"""),"79255103455")</f>
        <v>79255103455</v>
      </c>
      <c r="E398" s="9">
        <f>IFERROR(__xludf.DUMMYFUNCTION("""COMPUTED_VALUE"""),60333.0)</f>
        <v>60333</v>
      </c>
      <c r="F398" s="6"/>
      <c r="G398" s="10"/>
      <c r="H398" s="6">
        <f>IFERROR(__xludf.DUMMYFUNCTION("""COMPUTED_VALUE"""),422.33099999999996)</f>
        <v>422.331</v>
      </c>
      <c r="I398" s="11">
        <f>IFERROR(__xludf.DUMMYFUNCTION("""COMPUTED_VALUE"""),59910.669)</f>
        <v>59910.669</v>
      </c>
      <c r="J398" s="6" t="str">
        <f>IFERROR(__xludf.DUMMYFUNCTION("""COMPUTED_VALUE"""),"оплатили в QUGO")</f>
        <v>оплатили в QUGO</v>
      </c>
      <c r="K398" s="6"/>
      <c r="L398" s="6">
        <f>IFERROR(__xludf.DUMMYFUNCTION("""COMPUTED_VALUE"""),7.75151914986E11)</f>
        <v>775151914986</v>
      </c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>
        <f>IFERROR(__xludf.DUMMYFUNCTION("""COMPUTED_VALUE"""),2025.0)</f>
        <v>2025</v>
      </c>
      <c r="B399" s="7" t="str">
        <f>IFERROR(__xludf.DUMMYFUNCTION("""COMPUTED_VALUE"""),"16.12-31.12")</f>
        <v>16.12-31.12</v>
      </c>
      <c r="C399" s="8" t="str">
        <f>IFERROR(__xludf.DUMMYFUNCTION("""COMPUTED_VALUE"""),"Курбанов Мехробджон Манучехрович")</f>
        <v>Курбанов Мехробджон Манучехрович</v>
      </c>
      <c r="D399" s="6" t="str">
        <f>IFERROR(__xludf.DUMMYFUNCTION("""COMPUTED_VALUE"""),"79939246738")</f>
        <v>79939246738</v>
      </c>
      <c r="E399" s="9">
        <f>IFERROR(__xludf.DUMMYFUNCTION("""COMPUTED_VALUE"""),55500.0)</f>
        <v>55500</v>
      </c>
      <c r="F399" s="6"/>
      <c r="G399" s="10"/>
      <c r="H399" s="6">
        <f>IFERROR(__xludf.DUMMYFUNCTION("""COMPUTED_VALUE"""),388.49999999999994)</f>
        <v>388.5</v>
      </c>
      <c r="I399" s="11">
        <f>IFERROR(__xludf.DUMMYFUNCTION("""COMPUTED_VALUE"""),55111.5)</f>
        <v>55111.5</v>
      </c>
      <c r="J399" s="6" t="str">
        <f>IFERROR(__xludf.DUMMYFUNCTION("""COMPUTED_VALUE"""),"оплатили в QUGO")</f>
        <v>оплатили в QUGO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>
        <f>IFERROR(__xludf.DUMMYFUNCTION("""COMPUTED_VALUE"""),2025.0)</f>
        <v>2025</v>
      </c>
      <c r="B400" s="7" t="str">
        <f>IFERROR(__xludf.DUMMYFUNCTION("""COMPUTED_VALUE"""),"16.12-31.12")</f>
        <v>16.12-31.12</v>
      </c>
      <c r="C400" s="8" t="str">
        <f>IFERROR(__xludf.DUMMYFUNCTION("""COMPUTED_VALUE"""),"Мухммадиев Аббосджон Хуснидин Угли")</f>
        <v>Мухммадиев Аббосджон Хуснидин Угли</v>
      </c>
      <c r="D400" s="6" t="str">
        <f>IFERROR(__xludf.DUMMYFUNCTION("""COMPUTED_VALUE"""),"79255971906")</f>
        <v>79255971906</v>
      </c>
      <c r="E400" s="9">
        <f>IFERROR(__xludf.DUMMYFUNCTION("""COMPUTED_VALUE"""),64000.0)</f>
        <v>64000</v>
      </c>
      <c r="F400" s="6"/>
      <c r="G400" s="10"/>
      <c r="H400" s="6">
        <f>IFERROR(__xludf.DUMMYFUNCTION("""COMPUTED_VALUE"""),447.99999999999994)</f>
        <v>448</v>
      </c>
      <c r="I400" s="11">
        <f>IFERROR(__xludf.DUMMYFUNCTION("""COMPUTED_VALUE"""),63552.0)</f>
        <v>63552</v>
      </c>
      <c r="J400" s="6" t="str">
        <f>IFERROR(__xludf.DUMMYFUNCTION("""COMPUTED_VALUE"""),"оплатили в QUGO")</f>
        <v>оплатили в QUGO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>
        <f>IFERROR(__xludf.DUMMYFUNCTION("""COMPUTED_VALUE"""),2025.0)</f>
        <v>2025</v>
      </c>
      <c r="B401" s="7" t="str">
        <f>IFERROR(__xludf.DUMMYFUNCTION("""COMPUTED_VALUE"""),"16.12-31.12")</f>
        <v>16.12-31.12</v>
      </c>
      <c r="C401" s="8" t="str">
        <f>IFERROR(__xludf.DUMMYFUNCTION("""COMPUTED_VALUE"""),"Расулова Махфуза Зайниддиновна")</f>
        <v>Расулова Махфуза Зайниддиновна</v>
      </c>
      <c r="D401" s="6" t="str">
        <f>IFERROR(__xludf.DUMMYFUNCTION("""COMPUTED_VALUE"""),"79854583155")</f>
        <v>79854583155</v>
      </c>
      <c r="E401" s="9">
        <f>IFERROR(__xludf.DUMMYFUNCTION("""COMPUTED_VALUE"""),64000.0)</f>
        <v>64000</v>
      </c>
      <c r="F401" s="6"/>
      <c r="G401" s="10"/>
      <c r="H401" s="6">
        <f>IFERROR(__xludf.DUMMYFUNCTION("""COMPUTED_VALUE"""),447.99999999999994)</f>
        <v>448</v>
      </c>
      <c r="I401" s="11">
        <f>IFERROR(__xludf.DUMMYFUNCTION("""COMPUTED_VALUE"""),63552.0)</f>
        <v>63552</v>
      </c>
      <c r="J401" s="6" t="str">
        <f>IFERROR(__xludf.DUMMYFUNCTION("""COMPUTED_VALUE"""),"оплатили в QUGO")</f>
        <v>оплатили в QUGO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>
        <f>IFERROR(__xludf.DUMMYFUNCTION("""COMPUTED_VALUE"""),2025.0)</f>
        <v>2025</v>
      </c>
      <c r="B402" s="7" t="str">
        <f>IFERROR(__xludf.DUMMYFUNCTION("""COMPUTED_VALUE"""),"16.12-31.12")</f>
        <v>16.12-31.12</v>
      </c>
      <c r="C402" s="8" t="str">
        <f>IFERROR(__xludf.DUMMYFUNCTION("""COMPUTED_VALUE"""),"Курбанова Умида Юсуб Кизи")</f>
        <v>Курбанова Умида Юсуб Кизи</v>
      </c>
      <c r="D402" s="6" t="str">
        <f>IFERROR(__xludf.DUMMYFUNCTION("""COMPUTED_VALUE"""),"79969669203")</f>
        <v>79969669203</v>
      </c>
      <c r="E402" s="9">
        <f>IFERROR(__xludf.DUMMYFUNCTION("""COMPUTED_VALUE"""),65600.0)</f>
        <v>65600</v>
      </c>
      <c r="F402" s="6"/>
      <c r="G402" s="10"/>
      <c r="H402" s="6">
        <f>IFERROR(__xludf.DUMMYFUNCTION("""COMPUTED_VALUE"""),459.19999999999993)</f>
        <v>459.2</v>
      </c>
      <c r="I402" s="11">
        <f>IFERROR(__xludf.DUMMYFUNCTION("""COMPUTED_VALUE"""),65140.8)</f>
        <v>65140.8</v>
      </c>
      <c r="J402" s="6" t="str">
        <f>IFERROR(__xludf.DUMMYFUNCTION("""COMPUTED_VALUE"""),"оплатили в QUGO")</f>
        <v>оплатили в QUGO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>
        <f>IFERROR(__xludf.DUMMYFUNCTION("""COMPUTED_VALUE"""),2025.0)</f>
        <v>2025</v>
      </c>
      <c r="B403" s="7" t="str">
        <f>IFERROR(__xludf.DUMMYFUNCTION("""COMPUTED_VALUE"""),"16.12-31.12")</f>
        <v>16.12-31.12</v>
      </c>
      <c r="C403" s="8" t="str">
        <f>IFERROR(__xludf.DUMMYFUNCTION("""COMPUTED_VALUE"""),"Амииров Субхон Сафолходжаевич")</f>
        <v>Амииров Субхон Сафолходжаевич</v>
      </c>
      <c r="D403" s="6" t="str">
        <f>IFERROR(__xludf.DUMMYFUNCTION("""COMPUTED_VALUE"""),"79990030384")</f>
        <v>79990030384</v>
      </c>
      <c r="E403" s="9">
        <f>IFERROR(__xludf.DUMMYFUNCTION("""COMPUTED_VALUE"""),47400.0)</f>
        <v>47400</v>
      </c>
      <c r="F403" s="6"/>
      <c r="G403" s="10"/>
      <c r="H403" s="6">
        <f>IFERROR(__xludf.DUMMYFUNCTION("""COMPUTED_VALUE"""),331.79999999999995)</f>
        <v>331.8</v>
      </c>
      <c r="I403" s="11">
        <f>IFERROR(__xludf.DUMMYFUNCTION("""COMPUTED_VALUE"""),47068.2)</f>
        <v>47068.2</v>
      </c>
      <c r="J403" s="6" t="str">
        <f>IFERROR(__xludf.DUMMYFUNCTION("""COMPUTED_VALUE"""),"оплатили в QUGO")</f>
        <v>оплатили в QUGO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>
        <f>IFERROR(__xludf.DUMMYFUNCTION("""COMPUTED_VALUE"""),2025.0)</f>
        <v>2025</v>
      </c>
      <c r="B404" s="7" t="str">
        <f>IFERROR(__xludf.DUMMYFUNCTION("""COMPUTED_VALUE"""),"16.12-31.12")</f>
        <v>16.12-31.12</v>
      </c>
      <c r="C404" s="8" t="str">
        <f>IFERROR(__xludf.DUMMYFUNCTION("""COMPUTED_VALUE"""),"Эшонкулов Шердил Асроркулович")</f>
        <v>Эшонкулов Шердил Асроркулович</v>
      </c>
      <c r="D404" s="6" t="str">
        <f>IFERROR(__xludf.DUMMYFUNCTION("""COMPUTED_VALUE"""),"79683257111")</f>
        <v>79683257111</v>
      </c>
      <c r="E404" s="9">
        <f>IFERROR(__xludf.DUMMYFUNCTION("""COMPUTED_VALUE"""),60000.0)</f>
        <v>60000</v>
      </c>
      <c r="F404" s="6"/>
      <c r="G404" s="10"/>
      <c r="H404" s="6">
        <f>IFERROR(__xludf.DUMMYFUNCTION("""COMPUTED_VALUE"""),419.99999999999994)</f>
        <v>420</v>
      </c>
      <c r="I404" s="11">
        <f>IFERROR(__xludf.DUMMYFUNCTION("""COMPUTED_VALUE"""),59580.0)</f>
        <v>59580</v>
      </c>
      <c r="J404" s="6" t="str">
        <f>IFERROR(__xludf.DUMMYFUNCTION("""COMPUTED_VALUE"""),"оплатили в QUGO")</f>
        <v>оплатили в QUGO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>
        <f>IFERROR(__xludf.DUMMYFUNCTION("""COMPUTED_VALUE"""),2025.0)</f>
        <v>2025</v>
      </c>
      <c r="B405" s="7" t="str">
        <f>IFERROR(__xludf.DUMMYFUNCTION("""COMPUTED_VALUE"""),"16.12-31.12")</f>
        <v>16.12-31.12</v>
      </c>
      <c r="C405" s="8" t="str">
        <f>IFERROR(__xludf.DUMMYFUNCTION("""COMPUTED_VALUE"""),"Маматханов Дилмурод")</f>
        <v>Маматханов Дилмурод</v>
      </c>
      <c r="D405" s="6" t="str">
        <f>IFERROR(__xludf.DUMMYFUNCTION("""COMPUTED_VALUE"""),"79997168584")</f>
        <v>79997168584</v>
      </c>
      <c r="E405" s="9">
        <f>IFERROR(__xludf.DUMMYFUNCTION("""COMPUTED_VALUE"""),72000.0)</f>
        <v>72000</v>
      </c>
      <c r="F405" s="6"/>
      <c r="G405" s="10"/>
      <c r="H405" s="6">
        <f>IFERROR(__xludf.DUMMYFUNCTION("""COMPUTED_VALUE"""),503.99999999999994)</f>
        <v>504</v>
      </c>
      <c r="I405" s="11">
        <f>IFERROR(__xludf.DUMMYFUNCTION("""COMPUTED_VALUE"""),71496.0)</f>
        <v>71496</v>
      </c>
      <c r="J405" s="6" t="str">
        <f>IFERROR(__xludf.DUMMYFUNCTION("""COMPUTED_VALUE"""),"оплатили в QUGO")</f>
        <v>оплатили в QUGO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>
        <f>IFERROR(__xludf.DUMMYFUNCTION("""COMPUTED_VALUE"""),2025.0)</f>
        <v>2025</v>
      </c>
      <c r="B406" s="7" t="str">
        <f>IFERROR(__xludf.DUMMYFUNCTION("""COMPUTED_VALUE"""),"16.12-31.12")</f>
        <v>16.12-31.12</v>
      </c>
      <c r="C406" s="8" t="str">
        <f>IFERROR(__xludf.DUMMYFUNCTION("""COMPUTED_VALUE"""),"Бобожонова Фарида")</f>
        <v>Бобожонова Фарида</v>
      </c>
      <c r="D406" s="6" t="str">
        <f>IFERROR(__xludf.DUMMYFUNCTION("""COMPUTED_VALUE"""),"79689414254")</f>
        <v>79689414254</v>
      </c>
      <c r="E406" s="9">
        <f>IFERROR(__xludf.DUMMYFUNCTION("""COMPUTED_VALUE"""),57600.0)</f>
        <v>57600</v>
      </c>
      <c r="F406" s="6"/>
      <c r="G406" s="10"/>
      <c r="H406" s="6">
        <f>IFERROR(__xludf.DUMMYFUNCTION("""COMPUTED_VALUE"""),403.19999999999993)</f>
        <v>403.2</v>
      </c>
      <c r="I406" s="11">
        <f>IFERROR(__xludf.DUMMYFUNCTION("""COMPUTED_VALUE"""),57196.8)</f>
        <v>57196.8</v>
      </c>
      <c r="J406" s="6" t="str">
        <f>IFERROR(__xludf.DUMMYFUNCTION("""COMPUTED_VALUE"""),"Оплатили")</f>
        <v>Оплатили</v>
      </c>
      <c r="K406" s="6" t="str">
        <f>IFERROR(__xludf.DUMMYFUNCTION("""COMPUTED_VALUE"""),"попросил одобрить выплату")</f>
        <v>попросил одобрить выплату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>
        <f>IFERROR(__xludf.DUMMYFUNCTION("""COMPUTED_VALUE"""),2025.0)</f>
        <v>2025</v>
      </c>
      <c r="B407" s="7" t="str">
        <f>IFERROR(__xludf.DUMMYFUNCTION("""COMPUTED_VALUE"""),"16.12-31.12")</f>
        <v>16.12-31.12</v>
      </c>
      <c r="C407" s="8" t="str">
        <f>IFERROR(__xludf.DUMMYFUNCTION("""COMPUTED_VALUE"""),"Уринова Гульсара")</f>
        <v>Уринова Гульсара</v>
      </c>
      <c r="D407" s="6" t="str">
        <f>IFERROR(__xludf.DUMMYFUNCTION("""COMPUTED_VALUE"""),"79969800138")</f>
        <v>79969800138</v>
      </c>
      <c r="E407" s="9">
        <f>IFERROR(__xludf.DUMMYFUNCTION("""COMPUTED_VALUE"""),60000.0)</f>
        <v>60000</v>
      </c>
      <c r="F407" s="6"/>
      <c r="G407" s="10"/>
      <c r="H407" s="6">
        <f>IFERROR(__xludf.DUMMYFUNCTION("""COMPUTED_VALUE"""),419.99999999999994)</f>
        <v>420</v>
      </c>
      <c r="I407" s="11">
        <f>IFERROR(__xludf.DUMMYFUNCTION("""COMPUTED_VALUE"""),59580.0)</f>
        <v>59580</v>
      </c>
      <c r="J407" s="6" t="str">
        <f>IFERROR(__xludf.DUMMYFUNCTION("""COMPUTED_VALUE"""),"оплатили в QUGO")</f>
        <v>оплатили в QUGO</v>
      </c>
      <c r="K407" s="6"/>
      <c r="L407" s="6">
        <f>IFERROR(__xludf.DUMMYFUNCTION("""COMPUTED_VALUE"""),7.75175950165E11)</f>
        <v>775175950165</v>
      </c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>
        <f>IFERROR(__xludf.DUMMYFUNCTION("""COMPUTED_VALUE"""),2025.0)</f>
        <v>2025</v>
      </c>
      <c r="B408" s="7" t="str">
        <f>IFERROR(__xludf.DUMMYFUNCTION("""COMPUTED_VALUE"""),"16.12-31.12")</f>
        <v>16.12-31.12</v>
      </c>
      <c r="C408" s="8" t="str">
        <f>IFERROR(__xludf.DUMMYFUNCTION("""COMPUTED_VALUE"""),"Азиззода Джамшед")</f>
        <v>Азиззода Джамшед</v>
      </c>
      <c r="D408" s="6" t="str">
        <f>IFERROR(__xludf.DUMMYFUNCTION("""COMPUTED_VALUE"""),"79116699346")</f>
        <v>79116699346</v>
      </c>
      <c r="E408" s="9">
        <f>IFERROR(__xludf.DUMMYFUNCTION("""COMPUTED_VALUE"""),45230.0)</f>
        <v>45230</v>
      </c>
      <c r="F408" s="6"/>
      <c r="G408" s="10"/>
      <c r="H408" s="6">
        <f>IFERROR(__xludf.DUMMYFUNCTION("""COMPUTED_VALUE"""),316.60999999999996)</f>
        <v>316.61</v>
      </c>
      <c r="I408" s="11">
        <f>IFERROR(__xludf.DUMMYFUNCTION("""COMPUTED_VALUE"""),44913.39)</f>
        <v>44913.39</v>
      </c>
      <c r="J408" s="6" t="str">
        <f>IFERROR(__xludf.DUMMYFUNCTION("""COMPUTED_VALUE"""),"Оплатили")</f>
        <v>Оплатили</v>
      </c>
      <c r="K408" s="6" t="str">
        <f>IFERROR(__xludf.DUMMYFUNCTION("""COMPUTED_VALUE"""),"Ошибка выплаты, карту сменили – продублировали")</f>
        <v>Ошибка выплаты, карту сменили – продублировали</v>
      </c>
      <c r="L408" s="6">
        <f>IFERROR(__xludf.DUMMYFUNCTION("""COMPUTED_VALUE"""),1.00000868544E11)</f>
        <v>100000868544</v>
      </c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>
        <f>IFERROR(__xludf.DUMMYFUNCTION("""COMPUTED_VALUE"""),2025.0)</f>
        <v>2025</v>
      </c>
      <c r="B409" s="7" t="str">
        <f>IFERROR(__xludf.DUMMYFUNCTION("""COMPUTED_VALUE"""),"16.12-31.12")</f>
        <v>16.12-31.12</v>
      </c>
      <c r="C409" s="8" t="str">
        <f>IFERROR(__xludf.DUMMYFUNCTION("""COMPUTED_VALUE"""),"Азимбай уулу Умар")</f>
        <v>Азимбай уулу Умар</v>
      </c>
      <c r="D409" s="6" t="str">
        <f>IFERROR(__xludf.DUMMYFUNCTION("""COMPUTED_VALUE"""),"79031140181")</f>
        <v>79031140181</v>
      </c>
      <c r="E409" s="9">
        <f>IFERROR(__xludf.DUMMYFUNCTION("""COMPUTED_VALUE"""),52260.0)</f>
        <v>52260</v>
      </c>
      <c r="F409" s="6"/>
      <c r="G409" s="10"/>
      <c r="H409" s="6">
        <f>IFERROR(__xludf.DUMMYFUNCTION("""COMPUTED_VALUE"""),365.81999999999994)</f>
        <v>365.82</v>
      </c>
      <c r="I409" s="11">
        <f>IFERROR(__xludf.DUMMYFUNCTION("""COMPUTED_VALUE"""),51894.18)</f>
        <v>51894.18</v>
      </c>
      <c r="J409" s="6" t="str">
        <f>IFERROR(__xludf.DUMMYFUNCTION("""COMPUTED_VALUE"""),"Оплатили")</f>
        <v>Оплатили</v>
      </c>
      <c r="K409" s="6" t="str">
        <f>IFERROR(__xludf.DUMMYFUNCTION("""COMPUTED_VALUE"""),"продублировали 14.01.26")</f>
        <v>продублировали 14.01.26</v>
      </c>
      <c r="L409" s="6">
        <f>IFERROR(__xludf.DUMMYFUNCTION("""COMPUTED_VALUE"""),5.0277590954E11)</f>
        <v>502775909540</v>
      </c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>
        <f>IFERROR(__xludf.DUMMYFUNCTION("""COMPUTED_VALUE"""),2025.0)</f>
        <v>2025</v>
      </c>
      <c r="B410" s="7" t="str">
        <f>IFERROR(__xludf.DUMMYFUNCTION("""COMPUTED_VALUE"""),"16.12-31.12")</f>
        <v>16.12-31.12</v>
      </c>
      <c r="C410" s="8" t="str">
        <f>IFERROR(__xludf.DUMMYFUNCTION("""COMPUTED_VALUE"""),"Гапарова Бегимай")</f>
        <v>Гапарова Бегимай</v>
      </c>
      <c r="D410" s="6" t="str">
        <f>IFERROR(__xludf.DUMMYFUNCTION("""COMPUTED_VALUE"""),"79257537783")</f>
        <v>79257537783</v>
      </c>
      <c r="E410" s="9">
        <f>IFERROR(__xludf.DUMMYFUNCTION("""COMPUTED_VALUE"""),47100.0)</f>
        <v>47100</v>
      </c>
      <c r="F410" s="6"/>
      <c r="G410" s="10"/>
      <c r="H410" s="6">
        <f>IFERROR(__xludf.DUMMYFUNCTION("""COMPUTED_VALUE"""),329.7)</f>
        <v>329.7</v>
      </c>
      <c r="I410" s="11">
        <f>IFERROR(__xludf.DUMMYFUNCTION("""COMPUTED_VALUE"""),46770.3)</f>
        <v>46770.3</v>
      </c>
      <c r="J410" s="6" t="str">
        <f>IFERROR(__xludf.DUMMYFUNCTION("""COMPUTED_VALUE"""),"оплатили в QUGO")</f>
        <v>оплатили в QUGO</v>
      </c>
      <c r="K410" s="6"/>
      <c r="L410" s="6">
        <f>IFERROR(__xludf.DUMMYFUNCTION("""COMPUTED_VALUE"""),7.72065375012E11)</f>
        <v>772065375012</v>
      </c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>
        <f>IFERROR(__xludf.DUMMYFUNCTION("""COMPUTED_VALUE"""),2025.0)</f>
        <v>2025</v>
      </c>
      <c r="B411" s="7" t="str">
        <f>IFERROR(__xludf.DUMMYFUNCTION("""COMPUTED_VALUE"""),"16.12-31.12")</f>
        <v>16.12-31.12</v>
      </c>
      <c r="C411" s="8" t="str">
        <f>IFERROR(__xludf.DUMMYFUNCTION("""COMPUTED_VALUE"""),"Оторбаев Бектурган")</f>
        <v>Оторбаев Бектурган</v>
      </c>
      <c r="D411" s="6" t="str">
        <f>IFERROR(__xludf.DUMMYFUNCTION("""COMPUTED_VALUE"""),"79777540107")</f>
        <v>79777540107</v>
      </c>
      <c r="E411" s="9">
        <f>IFERROR(__xludf.DUMMYFUNCTION("""COMPUTED_VALUE"""),64760.0)</f>
        <v>64760</v>
      </c>
      <c r="F411" s="6"/>
      <c r="G411" s="10"/>
      <c r="H411" s="6">
        <f>IFERROR(__xludf.DUMMYFUNCTION("""COMPUTED_VALUE"""),453.31999999999994)</f>
        <v>453.32</v>
      </c>
      <c r="I411" s="11">
        <f>IFERROR(__xludf.DUMMYFUNCTION("""COMPUTED_VALUE"""),64306.68)</f>
        <v>64306.68</v>
      </c>
      <c r="J411" s="6" t="str">
        <f>IFERROR(__xludf.DUMMYFUNCTION("""COMPUTED_VALUE"""),"Оплатили")</f>
        <v>Оплатили</v>
      </c>
      <c r="K411" s="6" t="str">
        <f>IFERROR(__xludf.DUMMYFUNCTION("""COMPUTED_VALUE"""),"продублировали")</f>
        <v>продублировали</v>
      </c>
      <c r="L411" s="6">
        <f>IFERROR(__xludf.DUMMYFUNCTION("""COMPUTED_VALUE"""),5.01220476256E11)</f>
        <v>501220476256</v>
      </c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>
        <f>IFERROR(__xludf.DUMMYFUNCTION("""COMPUTED_VALUE"""),2025.0)</f>
        <v>2025</v>
      </c>
      <c r="B412" s="7" t="str">
        <f>IFERROR(__xludf.DUMMYFUNCTION("""COMPUTED_VALUE"""),"16.12-31.12")</f>
        <v>16.12-31.12</v>
      </c>
      <c r="C412" s="8" t="str">
        <f>IFERROR(__xludf.DUMMYFUNCTION("""COMPUTED_VALUE"""),"Курманбаева Назиира")</f>
        <v>Курманбаева Назиира</v>
      </c>
      <c r="D412" s="6" t="str">
        <f>IFERROR(__xludf.DUMMYFUNCTION("""COMPUTED_VALUE"""),"79254475417")</f>
        <v>79254475417</v>
      </c>
      <c r="E412" s="9">
        <f>IFERROR(__xludf.DUMMYFUNCTION("""COMPUTED_VALUE"""),66093.0)</f>
        <v>66093</v>
      </c>
      <c r="F412" s="6"/>
      <c r="G412" s="10"/>
      <c r="H412" s="6">
        <f>IFERROR(__xludf.DUMMYFUNCTION("""COMPUTED_VALUE"""),462.65099999999995)</f>
        <v>462.651</v>
      </c>
      <c r="I412" s="11">
        <f>IFERROR(__xludf.DUMMYFUNCTION("""COMPUTED_VALUE"""),65630.349)</f>
        <v>65630.349</v>
      </c>
      <c r="J412" s="6" t="str">
        <f>IFERROR(__xludf.DUMMYFUNCTION("""COMPUTED_VALUE"""),"оплатили в QUGO")</f>
        <v>оплатили в QUGO</v>
      </c>
      <c r="K412" s="6"/>
      <c r="L412" s="6">
        <f>IFERROR(__xludf.DUMMYFUNCTION("""COMPUTED_VALUE"""),7.71487450668E11)</f>
        <v>771487450668</v>
      </c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>
        <f>IFERROR(__xludf.DUMMYFUNCTION("""COMPUTED_VALUE"""),2025.0)</f>
        <v>2025</v>
      </c>
      <c r="B413" s="7" t="str">
        <f>IFERROR(__xludf.DUMMYFUNCTION("""COMPUTED_VALUE"""),"16.12-31.12")</f>
        <v>16.12-31.12</v>
      </c>
      <c r="C413" s="8" t="str">
        <f>IFERROR(__xludf.DUMMYFUNCTION("""COMPUTED_VALUE"""),"Сайдалиев Салмон")</f>
        <v>Сайдалиев Салмон</v>
      </c>
      <c r="D413" s="6" t="str">
        <f>IFERROR(__xludf.DUMMYFUNCTION("""COMPUTED_VALUE"""),"79309826676")</f>
        <v>79309826676</v>
      </c>
      <c r="E413" s="9">
        <f>IFERROR(__xludf.DUMMYFUNCTION("""COMPUTED_VALUE"""),69767.0)</f>
        <v>69767</v>
      </c>
      <c r="F413" s="6"/>
      <c r="G413" s="10"/>
      <c r="H413" s="6">
        <f>IFERROR(__xludf.DUMMYFUNCTION("""COMPUTED_VALUE"""),488.36899999999997)</f>
        <v>488.369</v>
      </c>
      <c r="I413" s="11">
        <f>IFERROR(__xludf.DUMMYFUNCTION("""COMPUTED_VALUE"""),69278.631)</f>
        <v>69278.631</v>
      </c>
      <c r="J413" s="6" t="str">
        <f>IFERROR(__xludf.DUMMYFUNCTION("""COMPUTED_VALUE"""),"оплатили в QUGO")</f>
        <v>оплатили в QUGO</v>
      </c>
      <c r="K413" s="6"/>
      <c r="L413" s="6">
        <f>IFERROR(__xludf.DUMMYFUNCTION("""COMPUTED_VALUE"""),5.00924497331E11)</f>
        <v>500924497331</v>
      </c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>
        <f>IFERROR(__xludf.DUMMYFUNCTION("""COMPUTED_VALUE"""),2025.0)</f>
        <v>2025</v>
      </c>
      <c r="B414" s="7" t="str">
        <f>IFERROR(__xludf.DUMMYFUNCTION("""COMPUTED_VALUE"""),"16.12-31.12")</f>
        <v>16.12-31.12</v>
      </c>
      <c r="C414" s="8" t="str">
        <f>IFERROR(__xludf.DUMMYFUNCTION("""COMPUTED_VALUE"""),"Атаев Иброхим")</f>
        <v>Атаев Иброхим</v>
      </c>
      <c r="D414" s="6" t="str">
        <f>IFERROR(__xludf.DUMMYFUNCTION("""COMPUTED_VALUE"""),"79776848725")</f>
        <v>79776848725</v>
      </c>
      <c r="E414" s="9">
        <f>IFERROR(__xludf.DUMMYFUNCTION("""COMPUTED_VALUE"""),64333.0)</f>
        <v>64333</v>
      </c>
      <c r="F414" s="6"/>
      <c r="G414" s="10"/>
      <c r="H414" s="6">
        <f>IFERROR(__xludf.DUMMYFUNCTION("""COMPUTED_VALUE"""),450.33099999999996)</f>
        <v>450.331</v>
      </c>
      <c r="I414" s="11">
        <f>IFERROR(__xludf.DUMMYFUNCTION("""COMPUTED_VALUE"""),63882.669)</f>
        <v>63882.669</v>
      </c>
      <c r="J414" s="6" t="str">
        <f>IFERROR(__xludf.DUMMYFUNCTION("""COMPUTED_VALUE"""),"оплатили в QUGO")</f>
        <v>оплатили в QUGO</v>
      </c>
      <c r="K414" s="6"/>
      <c r="L414" s="6">
        <f>IFERROR(__xludf.DUMMYFUNCTION("""COMPUTED_VALUE"""),2.46415369245E11)</f>
        <v>246415369245</v>
      </c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>
        <f>IFERROR(__xludf.DUMMYFUNCTION("""COMPUTED_VALUE"""),2025.0)</f>
        <v>2025</v>
      </c>
      <c r="B415" s="7" t="str">
        <f>IFERROR(__xludf.DUMMYFUNCTION("""COMPUTED_VALUE"""),"16.12-31.12")</f>
        <v>16.12-31.12</v>
      </c>
      <c r="C415" s="8" t="str">
        <f>IFERROR(__xludf.DUMMYFUNCTION("""COMPUTED_VALUE"""),"Сулейманов Санжар")</f>
        <v>Сулейманов Санжар</v>
      </c>
      <c r="D415" s="6" t="str">
        <f>IFERROR(__xludf.DUMMYFUNCTION("""COMPUTED_VALUE"""),"79313709033")</f>
        <v>79313709033</v>
      </c>
      <c r="E415" s="9">
        <f>IFERROR(__xludf.DUMMYFUNCTION("""COMPUTED_VALUE"""),97510.0)</f>
        <v>97510</v>
      </c>
      <c r="F415" s="6"/>
      <c r="G415" s="10"/>
      <c r="H415" s="6">
        <f>IFERROR(__xludf.DUMMYFUNCTION("""COMPUTED_VALUE"""),682.5699999999999)</f>
        <v>682.57</v>
      </c>
      <c r="I415" s="11">
        <f>IFERROR(__xludf.DUMMYFUNCTION("""COMPUTED_VALUE"""),96827.43)</f>
        <v>96827.43</v>
      </c>
      <c r="J415" s="6" t="str">
        <f>IFERROR(__xludf.DUMMYFUNCTION("""COMPUTED_VALUE"""),"оплатили в QUGO")</f>
        <v>оплатили в QUGO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>
        <f>IFERROR(__xludf.DUMMYFUNCTION("""COMPUTED_VALUE"""),2025.0)</f>
        <v>2025</v>
      </c>
      <c r="B416" s="7" t="str">
        <f>IFERROR(__xludf.DUMMYFUNCTION("""COMPUTED_VALUE"""),"16.12-31.12")</f>
        <v>16.12-31.12</v>
      </c>
      <c r="C416" s="8" t="str">
        <f>IFERROR(__xludf.DUMMYFUNCTION("""COMPUTED_VALUE"""),"Абдурахманов Улугбек")</f>
        <v>Абдурахманов Улугбек</v>
      </c>
      <c r="D416" s="6" t="str">
        <f>IFERROR(__xludf.DUMMYFUNCTION("""COMPUTED_VALUE"""),"79775787432")</f>
        <v>79775787432</v>
      </c>
      <c r="E416" s="9">
        <f>IFERROR(__xludf.DUMMYFUNCTION("""COMPUTED_VALUE"""),71625.0)</f>
        <v>71625</v>
      </c>
      <c r="F416" s="6"/>
      <c r="G416" s="10"/>
      <c r="H416" s="6">
        <f>IFERROR(__xludf.DUMMYFUNCTION("""COMPUTED_VALUE"""),501.37499999999994)</f>
        <v>501.375</v>
      </c>
      <c r="I416" s="11">
        <f>IFERROR(__xludf.DUMMYFUNCTION("""COMPUTED_VALUE"""),71123.625)</f>
        <v>71123.625</v>
      </c>
      <c r="J416" s="6" t="str">
        <f>IFERROR(__xludf.DUMMYFUNCTION("""COMPUTED_VALUE"""),"оплатили в QUGO")</f>
        <v>оплатили в QUGO</v>
      </c>
      <c r="K416" s="6"/>
      <c r="L416" s="6">
        <f>IFERROR(__xludf.DUMMYFUNCTION("""COMPUTED_VALUE"""),4.02513629575E11)</f>
        <v>402513629575</v>
      </c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>
        <f>IFERROR(__xludf.DUMMYFUNCTION("""COMPUTED_VALUE"""),2025.0)</f>
        <v>2025</v>
      </c>
      <c r="B417" s="7" t="str">
        <f>IFERROR(__xludf.DUMMYFUNCTION("""COMPUTED_VALUE"""),"16.12-31.12")</f>
        <v>16.12-31.12</v>
      </c>
      <c r="C417" s="8" t="str">
        <f>IFERROR(__xludf.DUMMYFUNCTION("""COMPUTED_VALUE"""),"Акбарова Зылола")</f>
        <v>Акбарова Зылола</v>
      </c>
      <c r="D417" s="6" t="str">
        <f>IFERROR(__xludf.DUMMYFUNCTION("""COMPUTED_VALUE"""),"79912261183")</f>
        <v>79912261183</v>
      </c>
      <c r="E417" s="9">
        <f>IFERROR(__xludf.DUMMYFUNCTION("""COMPUTED_VALUE"""),55500.0)</f>
        <v>55500</v>
      </c>
      <c r="F417" s="6"/>
      <c r="G417" s="10"/>
      <c r="H417" s="6">
        <f>IFERROR(__xludf.DUMMYFUNCTION("""COMPUTED_VALUE"""),388.49999999999994)</f>
        <v>388.5</v>
      </c>
      <c r="I417" s="11">
        <f>IFERROR(__xludf.DUMMYFUNCTION("""COMPUTED_VALUE"""),55111.5)</f>
        <v>55111.5</v>
      </c>
      <c r="J417" s="6" t="str">
        <f>IFERROR(__xludf.DUMMYFUNCTION("""COMPUTED_VALUE"""),"оплатили в QUGO")</f>
        <v>оплатили в QUGO</v>
      </c>
      <c r="K417" s="6"/>
      <c r="L417" s="6">
        <f>IFERROR(__xludf.DUMMYFUNCTION("""COMPUTED_VALUE"""),5.0423296544E11)</f>
        <v>504232965440</v>
      </c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>
        <f>IFERROR(__xludf.DUMMYFUNCTION("""COMPUTED_VALUE"""),2025.0)</f>
        <v>2025</v>
      </c>
      <c r="B418" s="7" t="str">
        <f>IFERROR(__xludf.DUMMYFUNCTION("""COMPUTED_VALUE"""),"16.12-31.12")</f>
        <v>16.12-31.12</v>
      </c>
      <c r="C418" s="8" t="str">
        <f>IFERROR(__xludf.DUMMYFUNCTION("""COMPUTED_VALUE"""),"Зиятова Комила")</f>
        <v>Зиятова Комила</v>
      </c>
      <c r="D418" s="6" t="str">
        <f>IFERROR(__xludf.DUMMYFUNCTION("""COMPUTED_VALUE"""),"79969818788")</f>
        <v>79969818788</v>
      </c>
      <c r="E418" s="9">
        <f>IFERROR(__xludf.DUMMYFUNCTION("""COMPUTED_VALUE"""),49500.0)</f>
        <v>49500</v>
      </c>
      <c r="F418" s="6"/>
      <c r="G418" s="10"/>
      <c r="H418" s="6">
        <f>IFERROR(__xludf.DUMMYFUNCTION("""COMPUTED_VALUE"""),346.49999999999994)</f>
        <v>346.5</v>
      </c>
      <c r="I418" s="11">
        <f>IFERROR(__xludf.DUMMYFUNCTION("""COMPUTED_VALUE"""),49153.5)</f>
        <v>49153.5</v>
      </c>
      <c r="J418" s="6" t="str">
        <f>IFERROR(__xludf.DUMMYFUNCTION("""COMPUTED_VALUE"""),"оплатили в QUGO")</f>
        <v>оплатили в QUGO</v>
      </c>
      <c r="K418" s="6"/>
      <c r="L418" s="6">
        <f>IFERROR(__xludf.DUMMYFUNCTION("""COMPUTED_VALUE"""),7.81160795068E11)</f>
        <v>781160795068</v>
      </c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>
        <f>IFERROR(__xludf.DUMMYFUNCTION("""COMPUTED_VALUE"""),2025.0)</f>
        <v>2025</v>
      </c>
      <c r="B419" s="7" t="str">
        <f>IFERROR(__xludf.DUMMYFUNCTION("""COMPUTED_VALUE"""),"16.12-31.12")</f>
        <v>16.12-31.12</v>
      </c>
      <c r="C419" s="8" t="str">
        <f>IFERROR(__xludf.DUMMYFUNCTION("""COMPUTED_VALUE"""),"Мухидинова Ирода")</f>
        <v>Мухидинова Ирода</v>
      </c>
      <c r="D419" s="6" t="str">
        <f>IFERROR(__xludf.DUMMYFUNCTION("""COMPUTED_VALUE"""),"79055847717")</f>
        <v>79055847717</v>
      </c>
      <c r="E419" s="9">
        <f>IFERROR(__xludf.DUMMYFUNCTION("""COMPUTED_VALUE"""),56000.0)</f>
        <v>56000</v>
      </c>
      <c r="F419" s="6"/>
      <c r="G419" s="10"/>
      <c r="H419" s="6">
        <f>IFERROR(__xludf.DUMMYFUNCTION("""COMPUTED_VALUE"""),391.99999999999994)</f>
        <v>392</v>
      </c>
      <c r="I419" s="11">
        <f>IFERROR(__xludf.DUMMYFUNCTION("""COMPUTED_VALUE"""),55608.0)</f>
        <v>55608</v>
      </c>
      <c r="J419" s="6" t="str">
        <f>IFERROR(__xludf.DUMMYFUNCTION("""COMPUTED_VALUE"""),"оплатили в QUGO")</f>
        <v>оплатили в QUGO</v>
      </c>
      <c r="K419" s="6"/>
      <c r="L419" s="6">
        <f>IFERROR(__xludf.DUMMYFUNCTION("""COMPUTED_VALUE"""),7.7242950104E11)</f>
        <v>772429501040</v>
      </c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>
        <f>IFERROR(__xludf.DUMMYFUNCTION("""COMPUTED_VALUE"""),2025.0)</f>
        <v>2025</v>
      </c>
      <c r="B420" s="7" t="str">
        <f>IFERROR(__xludf.DUMMYFUNCTION("""COMPUTED_VALUE"""),"16.12-31.12")</f>
        <v>16.12-31.12</v>
      </c>
      <c r="C420" s="8" t="str">
        <f>IFERROR(__xludf.DUMMYFUNCTION("""COMPUTED_VALUE"""),"Рашид кызы Айгул")</f>
        <v>Рашид кызы Айгул</v>
      </c>
      <c r="D420" s="6" t="str">
        <f>IFERROR(__xludf.DUMMYFUNCTION("""COMPUTED_VALUE"""),"79939224735")</f>
        <v>79939224735</v>
      </c>
      <c r="E420" s="9">
        <f>IFERROR(__xludf.DUMMYFUNCTION("""COMPUTED_VALUE"""),48533.0)</f>
        <v>48533</v>
      </c>
      <c r="F420" s="6"/>
      <c r="G420" s="10"/>
      <c r="H420" s="6">
        <f>IFERROR(__xludf.DUMMYFUNCTION("""COMPUTED_VALUE"""),339.73099999999994)</f>
        <v>339.731</v>
      </c>
      <c r="I420" s="11">
        <f>IFERROR(__xludf.DUMMYFUNCTION("""COMPUTED_VALUE"""),48193.269)</f>
        <v>48193.269</v>
      </c>
      <c r="J420" s="6" t="str">
        <f>IFERROR(__xludf.DUMMYFUNCTION("""COMPUTED_VALUE"""),"оплатили в QUGO")</f>
        <v>оплатили в QUGO</v>
      </c>
      <c r="K420" s="6"/>
      <c r="L420" s="6">
        <f>IFERROR(__xludf.DUMMYFUNCTION("""COMPUTED_VALUE"""),9.10319207378E11)</f>
        <v>910319207378</v>
      </c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>
        <f>IFERROR(__xludf.DUMMYFUNCTION("""COMPUTED_VALUE"""),2025.0)</f>
        <v>2025</v>
      </c>
      <c r="B421" s="7" t="str">
        <f>IFERROR(__xludf.DUMMYFUNCTION("""COMPUTED_VALUE"""),"16.12-31.12")</f>
        <v>16.12-31.12</v>
      </c>
      <c r="C421" s="8" t="str">
        <f>IFERROR(__xludf.DUMMYFUNCTION("""COMPUTED_VALUE"""),"Муратова Саида")</f>
        <v>Муратова Саида</v>
      </c>
      <c r="D421" s="6" t="str">
        <f>IFERROR(__xludf.DUMMYFUNCTION("""COMPUTED_VALUE"""),"79940963498")</f>
        <v>79940963498</v>
      </c>
      <c r="E421" s="9">
        <f>IFERROR(__xludf.DUMMYFUNCTION("""COMPUTED_VALUE"""),21000.0)</f>
        <v>21000</v>
      </c>
      <c r="F421" s="6"/>
      <c r="G421" s="10"/>
      <c r="H421" s="6">
        <f>IFERROR(__xludf.DUMMYFUNCTION("""COMPUTED_VALUE"""),146.99999999999997)</f>
        <v>147</v>
      </c>
      <c r="I421" s="11">
        <f>IFERROR(__xludf.DUMMYFUNCTION("""COMPUTED_VALUE"""),20853.0)</f>
        <v>20853</v>
      </c>
      <c r="J421" s="6" t="str">
        <f>IFERROR(__xludf.DUMMYFUNCTION("""COMPUTED_VALUE"""),"оплатили в QUGO")</f>
        <v>оплатили в QUGO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>
        <f>IFERROR(__xludf.DUMMYFUNCTION("""COMPUTED_VALUE"""),2025.0)</f>
        <v>2025</v>
      </c>
      <c r="B422" s="7" t="str">
        <f>IFERROR(__xludf.DUMMYFUNCTION("""COMPUTED_VALUE"""),"16.12-31.12")</f>
        <v>16.12-31.12</v>
      </c>
      <c r="C422" s="8" t="str">
        <f>IFERROR(__xludf.DUMMYFUNCTION("""COMPUTED_VALUE"""),"Холбаева Феруза")</f>
        <v>Холбаева Феруза</v>
      </c>
      <c r="D422" s="6" t="str">
        <f>IFERROR(__xludf.DUMMYFUNCTION("""COMPUTED_VALUE"""),"79694901782")</f>
        <v>79694901782</v>
      </c>
      <c r="E422" s="9">
        <f>IFERROR(__xludf.DUMMYFUNCTION("""COMPUTED_VALUE"""),48000.0)</f>
        <v>48000</v>
      </c>
      <c r="F422" s="6"/>
      <c r="G422" s="10"/>
      <c r="H422" s="6">
        <f>IFERROR(__xludf.DUMMYFUNCTION("""COMPUTED_VALUE"""),335.99999999999994)</f>
        <v>336</v>
      </c>
      <c r="I422" s="11">
        <f>IFERROR(__xludf.DUMMYFUNCTION("""COMPUTED_VALUE"""),47664.0)</f>
        <v>47664</v>
      </c>
      <c r="J422" s="6" t="str">
        <f>IFERROR(__xludf.DUMMYFUNCTION("""COMPUTED_VALUE"""),"оплатили в QUGO")</f>
        <v>оплатили в QUGO</v>
      </c>
      <c r="K422" s="6"/>
      <c r="L422" s="6">
        <f>IFERROR(__xludf.DUMMYFUNCTION("""COMPUTED_VALUE"""),7.81724641498E11)</f>
        <v>781724641498</v>
      </c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>
        <f>IFERROR(__xludf.DUMMYFUNCTION("""COMPUTED_VALUE"""),2025.0)</f>
        <v>2025</v>
      </c>
      <c r="B423" s="7" t="str">
        <f>IFERROR(__xludf.DUMMYFUNCTION("""COMPUTED_VALUE"""),"16.12-31.12")</f>
        <v>16.12-31.12</v>
      </c>
      <c r="C423" s="8" t="str">
        <f>IFERROR(__xludf.DUMMYFUNCTION("""COMPUTED_VALUE"""),"Дустназарзода Джавлонбек")</f>
        <v>Дустназарзода Джавлонбек</v>
      </c>
      <c r="D423" s="6" t="str">
        <f>IFERROR(__xludf.DUMMYFUNCTION("""COMPUTED_VALUE"""),"79774431553")</f>
        <v>79774431553</v>
      </c>
      <c r="E423" s="9">
        <f>IFERROR(__xludf.DUMMYFUNCTION("""COMPUTED_VALUE"""),20000.0)</f>
        <v>20000</v>
      </c>
      <c r="F423" s="6"/>
      <c r="G423" s="10"/>
      <c r="H423" s="6">
        <f>IFERROR(__xludf.DUMMYFUNCTION("""COMPUTED_VALUE"""),139.99999999999997)</f>
        <v>140</v>
      </c>
      <c r="I423" s="11">
        <f>IFERROR(__xludf.DUMMYFUNCTION("""COMPUTED_VALUE"""),19860.0)</f>
        <v>19860</v>
      </c>
      <c r="J423" s="6" t="str">
        <f>IFERROR(__xludf.DUMMYFUNCTION("""COMPUTED_VALUE"""),"оплатили в QUGO")</f>
        <v>оплатили в QUGO</v>
      </c>
      <c r="K423" s="6"/>
      <c r="L423" s="6">
        <f>IFERROR(__xludf.DUMMYFUNCTION("""COMPUTED_VALUE"""),5.04726268129E11)</f>
        <v>504726268129</v>
      </c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>
        <f>IFERROR(__xludf.DUMMYFUNCTION("""COMPUTED_VALUE"""),2025.0)</f>
        <v>2025</v>
      </c>
      <c r="B424" s="7" t="str">
        <f>IFERROR(__xludf.DUMMYFUNCTION("""COMPUTED_VALUE"""),"16.12-31.12")</f>
        <v>16.12-31.12</v>
      </c>
      <c r="C424" s="8" t="str">
        <f>IFERROR(__xludf.DUMMYFUNCTION("""COMPUTED_VALUE"""),"Рахимов Некбахт")</f>
        <v>Рахимов Некбахт</v>
      </c>
      <c r="D424" s="6" t="str">
        <f>IFERROR(__xludf.DUMMYFUNCTION("""COMPUTED_VALUE"""),"79890499153")</f>
        <v>79890499153</v>
      </c>
      <c r="E424" s="9">
        <f>IFERROR(__xludf.DUMMYFUNCTION("""COMPUTED_VALUE"""),20000.0)</f>
        <v>20000</v>
      </c>
      <c r="F424" s="6"/>
      <c r="G424" s="10"/>
      <c r="H424" s="6">
        <f>IFERROR(__xludf.DUMMYFUNCTION("""COMPUTED_VALUE"""),139.99999999999997)</f>
        <v>140</v>
      </c>
      <c r="I424" s="11">
        <f>IFERROR(__xludf.DUMMYFUNCTION("""COMPUTED_VALUE"""),19860.0)</f>
        <v>19860</v>
      </c>
      <c r="J424" s="6" t="str">
        <f>IFERROR(__xludf.DUMMYFUNCTION("""COMPUTED_VALUE"""),"оплатили в QUGO")</f>
        <v>оплатили в QUGO</v>
      </c>
      <c r="K424" s="6"/>
      <c r="L424" s="6">
        <f>IFERROR(__xludf.DUMMYFUNCTION("""COMPUTED_VALUE"""),7.72281929709E11)</f>
        <v>772281929709</v>
      </c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>
        <f>IFERROR(__xludf.DUMMYFUNCTION("""COMPUTED_VALUE"""),2025.0)</f>
        <v>2025</v>
      </c>
      <c r="B425" s="7" t="str">
        <f>IFERROR(__xludf.DUMMYFUNCTION("""COMPUTED_VALUE"""),"16.12-31.12")</f>
        <v>16.12-31.12</v>
      </c>
      <c r="C425" s="8" t="str">
        <f>IFERROR(__xludf.DUMMYFUNCTION("""COMPUTED_VALUE"""),"Тураева Райхон")</f>
        <v>Тураева Райхон</v>
      </c>
      <c r="D425" s="6" t="str">
        <f>IFERROR(__xludf.DUMMYFUNCTION("""COMPUTED_VALUE"""),"79776109620")</f>
        <v>79776109620</v>
      </c>
      <c r="E425" s="9">
        <f>IFERROR(__xludf.DUMMYFUNCTION("""COMPUTED_VALUE"""),20000.0)</f>
        <v>20000</v>
      </c>
      <c r="F425" s="6"/>
      <c r="G425" s="10"/>
      <c r="H425" s="6">
        <f>IFERROR(__xludf.DUMMYFUNCTION("""COMPUTED_VALUE"""),139.99999999999997)</f>
        <v>140</v>
      </c>
      <c r="I425" s="11">
        <f>IFERROR(__xludf.DUMMYFUNCTION("""COMPUTED_VALUE"""),19860.0)</f>
        <v>19860</v>
      </c>
      <c r="J425" s="6" t="str">
        <f>IFERROR(__xludf.DUMMYFUNCTION("""COMPUTED_VALUE"""),"оплатили в QUGO")</f>
        <v>оплатили в QUGO</v>
      </c>
      <c r="K425" s="6"/>
      <c r="L425" s="6">
        <f>IFERROR(__xludf.DUMMYFUNCTION("""COMPUTED_VALUE"""),5.0072713242E11)</f>
        <v>500727132420</v>
      </c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>
        <f>IFERROR(__xludf.DUMMYFUNCTION("""COMPUTED_VALUE"""),2025.0)</f>
        <v>2025</v>
      </c>
      <c r="B426" s="7" t="str">
        <f>IFERROR(__xludf.DUMMYFUNCTION("""COMPUTED_VALUE"""),"16.12-31.12")</f>
        <v>16.12-31.12</v>
      </c>
      <c r="C426" s="8" t="str">
        <f>IFERROR(__xludf.DUMMYFUNCTION("""COMPUTED_VALUE"""),"Узаков Рустам")</f>
        <v>Узаков Рустам</v>
      </c>
      <c r="D426" s="6" t="str">
        <f>IFERROR(__xludf.DUMMYFUNCTION("""COMPUTED_VALUE"""),"79997197785")</f>
        <v>79997197785</v>
      </c>
      <c r="E426" s="9">
        <f>IFERROR(__xludf.DUMMYFUNCTION("""COMPUTED_VALUE"""),20000.0)</f>
        <v>20000</v>
      </c>
      <c r="F426" s="6"/>
      <c r="G426" s="10"/>
      <c r="H426" s="6">
        <f>IFERROR(__xludf.DUMMYFUNCTION("""COMPUTED_VALUE"""),139.99999999999997)</f>
        <v>140</v>
      </c>
      <c r="I426" s="11">
        <f>IFERROR(__xludf.DUMMYFUNCTION("""COMPUTED_VALUE"""),19860.0)</f>
        <v>19860</v>
      </c>
      <c r="J426" s="6" t="str">
        <f>IFERROR(__xludf.DUMMYFUNCTION("""COMPUTED_VALUE"""),"оплатили в QUGO")</f>
        <v>оплатили в QUGO</v>
      </c>
      <c r="K426" s="6"/>
      <c r="L426" s="6">
        <f>IFERROR(__xludf.DUMMYFUNCTION("""COMPUTED_VALUE"""),7.000117523E10)</f>
        <v>70001175230</v>
      </c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>
        <f>IFERROR(__xludf.DUMMYFUNCTION("""COMPUTED_VALUE"""),2025.0)</f>
        <v>2025</v>
      </c>
      <c r="B427" s="7" t="str">
        <f>IFERROR(__xludf.DUMMYFUNCTION("""COMPUTED_VALUE"""),"16.12-31.12")</f>
        <v>16.12-31.12</v>
      </c>
      <c r="C427" s="8" t="str">
        <f>IFERROR(__xludf.DUMMYFUNCTION("""COMPUTED_VALUE"""),"Рахимов Сафарали")</f>
        <v>Рахимов Сафарали</v>
      </c>
      <c r="D427" s="6" t="str">
        <f>IFERROR(__xludf.DUMMYFUNCTION("""COMPUTED_VALUE"""),"79776437403")</f>
        <v>79776437403</v>
      </c>
      <c r="E427" s="9">
        <f>IFERROR(__xludf.DUMMYFUNCTION("""COMPUTED_VALUE"""),20000.0)</f>
        <v>20000</v>
      </c>
      <c r="F427" s="6"/>
      <c r="G427" s="10"/>
      <c r="H427" s="6">
        <f>IFERROR(__xludf.DUMMYFUNCTION("""COMPUTED_VALUE"""),139.99999999999997)</f>
        <v>140</v>
      </c>
      <c r="I427" s="11">
        <f>IFERROR(__xludf.DUMMYFUNCTION("""COMPUTED_VALUE"""),19860.0)</f>
        <v>19860</v>
      </c>
      <c r="J427" s="6" t="str">
        <f>IFERROR(__xludf.DUMMYFUNCTION("""COMPUTED_VALUE"""),"оплатили в QUGO")</f>
        <v>оплатили в QUGO</v>
      </c>
      <c r="K427" s="6"/>
      <c r="L427" s="6">
        <f>IFERROR(__xludf.DUMMYFUNCTION("""COMPUTED_VALUE"""),7.70979908855E11)</f>
        <v>770979908855</v>
      </c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>
        <f>IFERROR(__xludf.DUMMYFUNCTION("""COMPUTED_VALUE"""),2025.0)</f>
        <v>2025</v>
      </c>
      <c r="B428" s="7" t="str">
        <f>IFERROR(__xludf.DUMMYFUNCTION("""COMPUTED_VALUE"""),"16.12-31.12")</f>
        <v>16.12-31.12</v>
      </c>
      <c r="C428" s="8" t="str">
        <f>IFERROR(__xludf.DUMMYFUNCTION("""COMPUTED_VALUE"""),"Рахматуллаев Мухаммад")</f>
        <v>Рахматуллаев Мухаммад</v>
      </c>
      <c r="D428" s="6" t="str">
        <f>IFERROR(__xludf.DUMMYFUNCTION("""COMPUTED_VALUE"""),"79662669660")</f>
        <v>79662669660</v>
      </c>
      <c r="E428" s="9">
        <f>IFERROR(__xludf.DUMMYFUNCTION("""COMPUTED_VALUE"""),20000.0)</f>
        <v>20000</v>
      </c>
      <c r="F428" s="6"/>
      <c r="G428" s="10"/>
      <c r="H428" s="6">
        <f>IFERROR(__xludf.DUMMYFUNCTION("""COMPUTED_VALUE"""),139.99999999999997)</f>
        <v>140</v>
      </c>
      <c r="I428" s="11">
        <f>IFERROR(__xludf.DUMMYFUNCTION("""COMPUTED_VALUE"""),19860.0)</f>
        <v>19860</v>
      </c>
      <c r="J428" s="6" t="str">
        <f>IFERROR(__xludf.DUMMYFUNCTION("""COMPUTED_VALUE"""),"оплатили в QUGO")</f>
        <v>оплатили в QUGO</v>
      </c>
      <c r="K428" s="6"/>
      <c r="L428" s="6">
        <f>IFERROR(__xludf.DUMMYFUNCTION("""COMPUTED_VALUE"""),7.75175953769E11)</f>
        <v>775175953769</v>
      </c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>
        <f>IFERROR(__xludf.DUMMYFUNCTION("""COMPUTED_VALUE"""),2025.0)</f>
        <v>2025</v>
      </c>
      <c r="B429" s="7" t="str">
        <f>IFERROR(__xludf.DUMMYFUNCTION("""COMPUTED_VALUE"""),"16.12-31.12")</f>
        <v>16.12-31.12</v>
      </c>
      <c r="C429" s="8" t="str">
        <f>IFERROR(__xludf.DUMMYFUNCTION("""COMPUTED_VALUE"""),"Сайдуллаев Музаффар")</f>
        <v>Сайдуллаев Музаффар</v>
      </c>
      <c r="D429" s="6" t="str">
        <f>IFERROR(__xludf.DUMMYFUNCTION("""COMPUTED_VALUE"""),"79997977857")</f>
        <v>79997977857</v>
      </c>
      <c r="E429" s="9">
        <f>IFERROR(__xludf.DUMMYFUNCTION("""COMPUTED_VALUE"""),20000.0)</f>
        <v>20000</v>
      </c>
      <c r="F429" s="6"/>
      <c r="G429" s="10"/>
      <c r="H429" s="6">
        <f>IFERROR(__xludf.DUMMYFUNCTION("""COMPUTED_VALUE"""),139.99999999999997)</f>
        <v>140</v>
      </c>
      <c r="I429" s="11">
        <f>IFERROR(__xludf.DUMMYFUNCTION("""COMPUTED_VALUE"""),19860.0)</f>
        <v>19860</v>
      </c>
      <c r="J429" s="6" t="str">
        <f>IFERROR(__xludf.DUMMYFUNCTION("""COMPUTED_VALUE"""),"оплатили в QUGO")</f>
        <v>оплатили в QUGO</v>
      </c>
      <c r="K429" s="6"/>
      <c r="L429" s="6">
        <f>IFERROR(__xludf.DUMMYFUNCTION("""COMPUTED_VALUE"""),7.75123675454E11)</f>
        <v>775123675454</v>
      </c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>
        <f>IFERROR(__xludf.DUMMYFUNCTION("""COMPUTED_VALUE"""),2025.0)</f>
        <v>2025</v>
      </c>
      <c r="B430" s="7" t="str">
        <f>IFERROR(__xludf.DUMMYFUNCTION("""COMPUTED_VALUE"""),"16.12-31.12")</f>
        <v>16.12-31.12</v>
      </c>
      <c r="C430" s="8" t="str">
        <f>IFERROR(__xludf.DUMMYFUNCTION("""COMPUTED_VALUE"""),"Муратова Алие")</f>
        <v>Муратова Алие</v>
      </c>
      <c r="D430" s="6" t="str">
        <f>IFERROR(__xludf.DUMMYFUNCTION("""COMPUTED_VALUE"""),"79129707604")</f>
        <v>79129707604</v>
      </c>
      <c r="E430" s="9">
        <f>IFERROR(__xludf.DUMMYFUNCTION("""COMPUTED_VALUE"""),20000.0)</f>
        <v>20000</v>
      </c>
      <c r="F430" s="6"/>
      <c r="G430" s="10"/>
      <c r="H430" s="6">
        <f>IFERROR(__xludf.DUMMYFUNCTION("""COMPUTED_VALUE"""),139.99999999999997)</f>
        <v>140</v>
      </c>
      <c r="I430" s="11">
        <f>IFERROR(__xludf.DUMMYFUNCTION("""COMPUTED_VALUE"""),19860.0)</f>
        <v>19860</v>
      </c>
      <c r="J430" s="6" t="str">
        <f>IFERROR(__xludf.DUMMYFUNCTION("""COMPUTED_VALUE"""),"оплатили в QUGO")</f>
        <v>оплатили в QUGO</v>
      </c>
      <c r="K430" s="6"/>
      <c r="L430" s="6">
        <f>IFERROR(__xludf.DUMMYFUNCTION("""COMPUTED_VALUE"""),2.30412983604E11)</f>
        <v>230412983604</v>
      </c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>
        <f>IFERROR(__xludf.DUMMYFUNCTION("""COMPUTED_VALUE"""),2025.0)</f>
        <v>2025</v>
      </c>
      <c r="B431" s="7" t="str">
        <f>IFERROR(__xludf.DUMMYFUNCTION("""COMPUTED_VALUE"""),"16.12-31.12")</f>
        <v>16.12-31.12</v>
      </c>
      <c r="C431" s="8" t="str">
        <f>IFERROR(__xludf.DUMMYFUNCTION("""COMPUTED_VALUE"""),"Рахимова Нигора")</f>
        <v>Рахимова Нигора</v>
      </c>
      <c r="D431" s="6" t="str">
        <f>IFERROR(__xludf.DUMMYFUNCTION("""COMPUTED_VALUE"""),"79032802321")</f>
        <v>79032802321</v>
      </c>
      <c r="E431" s="9">
        <f>IFERROR(__xludf.DUMMYFUNCTION("""COMPUTED_VALUE"""),20000.0)</f>
        <v>20000</v>
      </c>
      <c r="F431" s="6"/>
      <c r="G431" s="10"/>
      <c r="H431" s="6">
        <f>IFERROR(__xludf.DUMMYFUNCTION("""COMPUTED_VALUE"""),139.99999999999997)</f>
        <v>140</v>
      </c>
      <c r="I431" s="11">
        <f>IFERROR(__xludf.DUMMYFUNCTION("""COMPUTED_VALUE"""),19860.0)</f>
        <v>19860</v>
      </c>
      <c r="J431" s="6" t="str">
        <f>IFERROR(__xludf.DUMMYFUNCTION("""COMPUTED_VALUE"""),"оплатили в QUGO")</f>
        <v>оплатили в QUGO</v>
      </c>
      <c r="K431" s="6"/>
      <c r="L431" s="6">
        <f>IFERROR(__xludf.DUMMYFUNCTION("""COMPUTED_VALUE"""),7.7515166163E11)</f>
        <v>775151661630</v>
      </c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>
        <f>IFERROR(__xludf.DUMMYFUNCTION("""COMPUTED_VALUE"""),2025.0)</f>
        <v>2025</v>
      </c>
      <c r="B432" s="7" t="str">
        <f>IFERROR(__xludf.DUMMYFUNCTION("""COMPUTED_VALUE"""),"16.12-31.12")</f>
        <v>16.12-31.12</v>
      </c>
      <c r="C432" s="8" t="str">
        <f>IFERROR(__xludf.DUMMYFUNCTION("""COMPUTED_VALUE"""),"Нурбаева Умеда")</f>
        <v>Нурбаева Умеда</v>
      </c>
      <c r="D432" s="6" t="str">
        <f>IFERROR(__xludf.DUMMYFUNCTION("""COMPUTED_VALUE"""),"79250388417")</f>
        <v>79250388417</v>
      </c>
      <c r="E432" s="9">
        <f>IFERROR(__xludf.DUMMYFUNCTION("""COMPUTED_VALUE"""),20000.0)</f>
        <v>20000</v>
      </c>
      <c r="F432" s="6"/>
      <c r="G432" s="10"/>
      <c r="H432" s="6">
        <f>IFERROR(__xludf.DUMMYFUNCTION("""COMPUTED_VALUE"""),139.99999999999997)</f>
        <v>140</v>
      </c>
      <c r="I432" s="11">
        <f>IFERROR(__xludf.DUMMYFUNCTION("""COMPUTED_VALUE"""),19860.0)</f>
        <v>19860</v>
      </c>
      <c r="J432" s="6" t="str">
        <f>IFERROR(__xludf.DUMMYFUNCTION("""COMPUTED_VALUE"""),"оплатили в QUGO")</f>
        <v>оплатили в QUGO</v>
      </c>
      <c r="K432" s="6"/>
      <c r="L432" s="6">
        <f>IFERROR(__xludf.DUMMYFUNCTION("""COMPUTED_VALUE"""),9.71521363276E11)</f>
        <v>971521363276</v>
      </c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>
        <f>IFERROR(__xludf.DUMMYFUNCTION("""COMPUTED_VALUE"""),2025.0)</f>
        <v>2025</v>
      </c>
      <c r="B433" s="7" t="str">
        <f>IFERROR(__xludf.DUMMYFUNCTION("""COMPUTED_VALUE"""),"16.12-31.12")</f>
        <v>16.12-31.12</v>
      </c>
      <c r="C433" s="8" t="str">
        <f>IFERROR(__xludf.DUMMYFUNCTION("""COMPUTED_VALUE"""),"Мамадалиев Шамшод")</f>
        <v>Мамадалиев Шамшод</v>
      </c>
      <c r="D433" s="6" t="str">
        <f>IFERROR(__xludf.DUMMYFUNCTION("""COMPUTED_VALUE"""),"79309907663")</f>
        <v>79309907663</v>
      </c>
      <c r="E433" s="9">
        <f>IFERROR(__xludf.DUMMYFUNCTION("""COMPUTED_VALUE"""),70188.0)</f>
        <v>70188</v>
      </c>
      <c r="F433" s="6"/>
      <c r="G433" s="10"/>
      <c r="H433" s="6">
        <f>IFERROR(__xludf.DUMMYFUNCTION("""COMPUTED_VALUE"""),491.316)</f>
        <v>491.316</v>
      </c>
      <c r="I433" s="11">
        <f>IFERROR(__xludf.DUMMYFUNCTION("""COMPUTED_VALUE"""),69696.684)</f>
        <v>69696.684</v>
      </c>
      <c r="J433" s="6" t="str">
        <f>IFERROR(__xludf.DUMMYFUNCTION("""COMPUTED_VALUE"""),"оплатили в QUGO")</f>
        <v>оплатили в QUGO</v>
      </c>
      <c r="K433" s="6"/>
      <c r="L433" s="6">
        <f>IFERROR(__xludf.DUMMYFUNCTION("""COMPUTED_VALUE"""),7.75163599087E11)</f>
        <v>775163599087</v>
      </c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>
        <f>IFERROR(__xludf.DUMMYFUNCTION("""COMPUTED_VALUE"""),2025.0)</f>
        <v>2025</v>
      </c>
      <c r="B434" s="7" t="str">
        <f>IFERROR(__xludf.DUMMYFUNCTION("""COMPUTED_VALUE"""),"16.12-31.12")</f>
        <v>16.12-31.12</v>
      </c>
      <c r="C434" s="8" t="str">
        <f>IFERROR(__xludf.DUMMYFUNCTION("""COMPUTED_VALUE"""),"Сатаров Адхам")</f>
        <v>Сатаров Адхам</v>
      </c>
      <c r="D434" s="6" t="str">
        <f>IFERROR(__xludf.DUMMYFUNCTION("""COMPUTED_VALUE"""),"79057456061")</f>
        <v>79057456061</v>
      </c>
      <c r="E434" s="9">
        <f>IFERROR(__xludf.DUMMYFUNCTION("""COMPUTED_VALUE"""),62500.0)</f>
        <v>62500</v>
      </c>
      <c r="F434" s="6"/>
      <c r="G434" s="10"/>
      <c r="H434" s="6">
        <f>IFERROR(__xludf.DUMMYFUNCTION("""COMPUTED_VALUE"""),437.49999999999994)</f>
        <v>437.5</v>
      </c>
      <c r="I434" s="11">
        <f>IFERROR(__xludf.DUMMYFUNCTION("""COMPUTED_VALUE"""),62062.5)</f>
        <v>62062.5</v>
      </c>
      <c r="J434" s="6" t="str">
        <f>IFERROR(__xludf.DUMMYFUNCTION("""COMPUTED_VALUE"""),"оплатили в QUGO")</f>
        <v>оплатили в QUGO</v>
      </c>
      <c r="K434" s="6"/>
      <c r="L434" s="6">
        <f>IFERROR(__xludf.DUMMYFUNCTION("""COMPUTED_VALUE"""),7.75117173632E11)</f>
        <v>775117173632</v>
      </c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>
        <f>IFERROR(__xludf.DUMMYFUNCTION("""COMPUTED_VALUE"""),2025.0)</f>
        <v>2025</v>
      </c>
      <c r="B435" s="7" t="str">
        <f>IFERROR(__xludf.DUMMYFUNCTION("""COMPUTED_VALUE"""),"16.12-31.12")</f>
        <v>16.12-31.12</v>
      </c>
      <c r="C435" s="8" t="str">
        <f>IFERROR(__xludf.DUMMYFUNCTION("""COMPUTED_VALUE"""),"Мухмудов Ботиржон")</f>
        <v>Мухмудов Ботиржон</v>
      </c>
      <c r="D435" s="6" t="str">
        <f>IFERROR(__xludf.DUMMYFUNCTION("""COMPUTED_VALUE"""),"79688236466")</f>
        <v>79688236466</v>
      </c>
      <c r="E435" s="9">
        <f>IFERROR(__xludf.DUMMYFUNCTION("""COMPUTED_VALUE"""),62500.0)</f>
        <v>62500</v>
      </c>
      <c r="F435" s="6"/>
      <c r="G435" s="10"/>
      <c r="H435" s="6">
        <f>IFERROR(__xludf.DUMMYFUNCTION("""COMPUTED_VALUE"""),437.49999999999994)</f>
        <v>437.5</v>
      </c>
      <c r="I435" s="11">
        <f>IFERROR(__xludf.DUMMYFUNCTION("""COMPUTED_VALUE"""),62062.5)</f>
        <v>62062.5</v>
      </c>
      <c r="J435" s="6" t="str">
        <f>IFERROR(__xludf.DUMMYFUNCTION("""COMPUTED_VALUE"""),"оплатили в QUGO")</f>
        <v>оплатили в QUGO</v>
      </c>
      <c r="K435" s="6"/>
      <c r="L435" s="6">
        <f>IFERROR(__xludf.DUMMYFUNCTION("""COMPUTED_VALUE"""),5.02776294258E11)</f>
        <v>502776294258</v>
      </c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>
        <f>IFERROR(__xludf.DUMMYFUNCTION("""COMPUTED_VALUE"""),2025.0)</f>
        <v>2025</v>
      </c>
      <c r="B436" s="7" t="str">
        <f>IFERROR(__xludf.DUMMYFUNCTION("""COMPUTED_VALUE"""),"16.12-31.12")</f>
        <v>16.12-31.12</v>
      </c>
      <c r="C436" s="8" t="str">
        <f>IFERROR(__xludf.DUMMYFUNCTION("""COMPUTED_VALUE"""),"Абдуллаев Маруф")</f>
        <v>Абдуллаев Маруф</v>
      </c>
      <c r="D436" s="6" t="str">
        <f>IFERROR(__xludf.DUMMYFUNCTION("""COMPUTED_VALUE"""),"79036164768")</f>
        <v>79036164768</v>
      </c>
      <c r="E436" s="9">
        <f>IFERROR(__xludf.DUMMYFUNCTION("""COMPUTED_VALUE"""),50000.0)</f>
        <v>50000</v>
      </c>
      <c r="F436" s="6"/>
      <c r="G436" s="10"/>
      <c r="H436" s="6">
        <f>IFERROR(__xludf.DUMMYFUNCTION("""COMPUTED_VALUE"""),349.99999999999994)</f>
        <v>350</v>
      </c>
      <c r="I436" s="11">
        <f>IFERROR(__xludf.DUMMYFUNCTION("""COMPUTED_VALUE"""),49650.0)</f>
        <v>49650</v>
      </c>
      <c r="J436" s="6" t="str">
        <f>IFERROR(__xludf.DUMMYFUNCTION("""COMPUTED_VALUE"""),"оплатили в QUGO")</f>
        <v>оплатили в QUGO</v>
      </c>
      <c r="K436" s="6"/>
      <c r="L436" s="6">
        <f>IFERROR(__xludf.DUMMYFUNCTION("""COMPUTED_VALUE"""),5.61020333756E11)</f>
        <v>561020333756</v>
      </c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>
        <f>IFERROR(__xludf.DUMMYFUNCTION("""COMPUTED_VALUE"""),2025.0)</f>
        <v>2025</v>
      </c>
      <c r="B437" s="7" t="str">
        <f>IFERROR(__xludf.DUMMYFUNCTION("""COMPUTED_VALUE"""),"16.12-31.12")</f>
        <v>16.12-31.12</v>
      </c>
      <c r="C437" s="8" t="str">
        <f>IFERROR(__xludf.DUMMYFUNCTION("""COMPUTED_VALUE"""),"Хакимханов Мухаммадхон")</f>
        <v>Хакимханов Мухаммадхон</v>
      </c>
      <c r="D437" s="6" t="str">
        <f>IFERROR(__xludf.DUMMYFUNCTION("""COMPUTED_VALUE"""),"79955063157")</f>
        <v>79955063157</v>
      </c>
      <c r="E437" s="9">
        <f>IFERROR(__xludf.DUMMYFUNCTION("""COMPUTED_VALUE"""),100173.0)</f>
        <v>100173</v>
      </c>
      <c r="F437" s="6"/>
      <c r="G437" s="10"/>
      <c r="H437" s="6">
        <f>IFERROR(__xludf.DUMMYFUNCTION("""COMPUTED_VALUE"""),701.2109999999999)</f>
        <v>701.211</v>
      </c>
      <c r="I437" s="11">
        <f>IFERROR(__xludf.DUMMYFUNCTION("""COMPUTED_VALUE"""),99471.789)</f>
        <v>99471.789</v>
      </c>
      <c r="J437" s="6" t="str">
        <f>IFERROR(__xludf.DUMMYFUNCTION("""COMPUTED_VALUE"""),"оплатили в QUGO")</f>
        <v>оплатили в QUGO</v>
      </c>
      <c r="K437" s="6"/>
      <c r="L437" s="6">
        <f>IFERROR(__xludf.DUMMYFUNCTION("""COMPUTED_VALUE"""),7.72323442638E11)</f>
        <v>772323442638</v>
      </c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>
        <f>IFERROR(__xludf.DUMMYFUNCTION("""COMPUTED_VALUE"""),2025.0)</f>
        <v>2025</v>
      </c>
      <c r="B438" s="7" t="str">
        <f>IFERROR(__xludf.DUMMYFUNCTION("""COMPUTED_VALUE"""),"16.12-31.12")</f>
        <v>16.12-31.12</v>
      </c>
      <c r="C438" s="8" t="str">
        <f>IFERROR(__xludf.DUMMYFUNCTION("""COMPUTED_VALUE"""),"Жуманиязова Гулшод Базарбаевна")</f>
        <v>Жуманиязова Гулшод Базарбаевна</v>
      </c>
      <c r="D438" s="6" t="str">
        <f>IFERROR(__xludf.DUMMYFUNCTION("""COMPUTED_VALUE"""),"79255937717")</f>
        <v>79255937717</v>
      </c>
      <c r="E438" s="9">
        <f>IFERROR(__xludf.DUMMYFUNCTION("""COMPUTED_VALUE"""),40000.0)</f>
        <v>40000</v>
      </c>
      <c r="F438" s="6"/>
      <c r="G438" s="10"/>
      <c r="H438" s="6">
        <f>IFERROR(__xludf.DUMMYFUNCTION("""COMPUTED_VALUE"""),279.99999999999994)</f>
        <v>280</v>
      </c>
      <c r="I438" s="11">
        <f>IFERROR(__xludf.DUMMYFUNCTION("""COMPUTED_VALUE"""),39720.0)</f>
        <v>39720</v>
      </c>
      <c r="J438" s="6" t="str">
        <f>IFERROR(__xludf.DUMMYFUNCTION("""COMPUTED_VALUE"""),"оплатили в QUGO")</f>
        <v>оплатили в QUGO</v>
      </c>
      <c r="K438" s="6"/>
      <c r="L438" s="6">
        <f>IFERROR(__xludf.DUMMYFUNCTION("""COMPUTED_VALUE"""),9.71901898983E11)</f>
        <v>971901898983</v>
      </c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>
        <f>IFERROR(__xludf.DUMMYFUNCTION("""COMPUTED_VALUE"""),2025.0)</f>
        <v>2025</v>
      </c>
      <c r="B439" s="7" t="str">
        <f>IFERROR(__xludf.DUMMYFUNCTION("""COMPUTED_VALUE"""),"16.12-31.12")</f>
        <v>16.12-31.12</v>
      </c>
      <c r="C439" s="8" t="str">
        <f>IFERROR(__xludf.DUMMYFUNCTION("""COMPUTED_VALUE"""),"Зуфарова Дилбар")</f>
        <v>Зуфарова Дилбар</v>
      </c>
      <c r="D439" s="6" t="str">
        <f>IFERROR(__xludf.DUMMYFUNCTION("""COMPUTED_VALUE"""),"79057468188")</f>
        <v>79057468188</v>
      </c>
      <c r="E439" s="9">
        <f>IFERROR(__xludf.DUMMYFUNCTION("""COMPUTED_VALUE"""),60000.0)</f>
        <v>60000</v>
      </c>
      <c r="F439" s="6"/>
      <c r="G439" s="10"/>
      <c r="H439" s="6">
        <f>IFERROR(__xludf.DUMMYFUNCTION("""COMPUTED_VALUE"""),419.99999999999994)</f>
        <v>420</v>
      </c>
      <c r="I439" s="11">
        <f>IFERROR(__xludf.DUMMYFUNCTION("""COMPUTED_VALUE"""),59580.0)</f>
        <v>59580</v>
      </c>
      <c r="J439" s="6" t="str">
        <f>IFERROR(__xludf.DUMMYFUNCTION("""COMPUTED_VALUE"""),"оплатили в QUGO")</f>
        <v>оплатили в QUGO</v>
      </c>
      <c r="K439" s="6"/>
      <c r="L439" s="6">
        <f>IFERROR(__xludf.DUMMYFUNCTION("""COMPUTED_VALUE"""),2.3101357277E11)</f>
        <v>231013572770</v>
      </c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>
        <f>IFERROR(__xludf.DUMMYFUNCTION("""COMPUTED_VALUE"""),2025.0)</f>
        <v>2025</v>
      </c>
      <c r="B440" s="7" t="str">
        <f>IFERROR(__xludf.DUMMYFUNCTION("""COMPUTED_VALUE"""),"16.12-31.12")</f>
        <v>16.12-31.12</v>
      </c>
      <c r="C440" s="8" t="str">
        <f>IFERROR(__xludf.DUMMYFUNCTION("""COMPUTED_VALUE"""),"Муминзода Абдувахит")</f>
        <v>Муминзода Абдувахит</v>
      </c>
      <c r="D440" s="6" t="str">
        <f>IFERROR(__xludf.DUMMYFUNCTION("""COMPUTED_VALUE"""),"79857578782")</f>
        <v>79857578782</v>
      </c>
      <c r="E440" s="9">
        <f>IFERROR(__xludf.DUMMYFUNCTION("""COMPUTED_VALUE"""),15000.0)</f>
        <v>15000</v>
      </c>
      <c r="F440" s="6"/>
      <c r="G440" s="10"/>
      <c r="H440" s="6">
        <f>IFERROR(__xludf.DUMMYFUNCTION("""COMPUTED_VALUE"""),104.99999999999999)</f>
        <v>105</v>
      </c>
      <c r="I440" s="11">
        <f>IFERROR(__xludf.DUMMYFUNCTION("""COMPUTED_VALUE"""),14895.0)</f>
        <v>14895</v>
      </c>
      <c r="J440" s="6" t="str">
        <f>IFERROR(__xludf.DUMMYFUNCTION("""COMPUTED_VALUE"""),"оплатили в QUGO")</f>
        <v>оплатили в QUGO</v>
      </c>
      <c r="K440" s="6"/>
      <c r="L440" s="6">
        <f>IFERROR(__xludf.DUMMYFUNCTION("""COMPUTED_VALUE"""),7.72674121545E11)</f>
        <v>772674121545</v>
      </c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>
        <f>IFERROR(__xludf.DUMMYFUNCTION("""COMPUTED_VALUE"""),2025.0)</f>
        <v>2025</v>
      </c>
      <c r="B441" s="7" t="str">
        <f>IFERROR(__xludf.DUMMYFUNCTION("""COMPUTED_VALUE"""),"16.12-31.12")</f>
        <v>16.12-31.12</v>
      </c>
      <c r="C441" s="8" t="str">
        <f>IFERROR(__xludf.DUMMYFUNCTION("""COMPUTED_VALUE"""),"Солихов Мирзоёкуб")</f>
        <v>Солихов Мирзоёкуб</v>
      </c>
      <c r="D441" s="6" t="str">
        <f>IFERROR(__xludf.DUMMYFUNCTION("""COMPUTED_VALUE"""),"79856342020")</f>
        <v>79856342020</v>
      </c>
      <c r="E441" s="9">
        <f>IFERROR(__xludf.DUMMYFUNCTION("""COMPUTED_VALUE"""),15000.0)</f>
        <v>15000</v>
      </c>
      <c r="F441" s="6"/>
      <c r="G441" s="10"/>
      <c r="H441" s="6">
        <f>IFERROR(__xludf.DUMMYFUNCTION("""COMPUTED_VALUE"""),104.99999999999999)</f>
        <v>105</v>
      </c>
      <c r="I441" s="11">
        <f>IFERROR(__xludf.DUMMYFUNCTION("""COMPUTED_VALUE"""),14895.0)</f>
        <v>14895</v>
      </c>
      <c r="J441" s="6" t="str">
        <f>IFERROR(__xludf.DUMMYFUNCTION("""COMPUTED_VALUE"""),"Оплатили")</f>
        <v>Оплатили</v>
      </c>
      <c r="K441" s="6" t="str">
        <f>IFERROR(__xludf.DUMMYFUNCTION("""COMPUTED_VALUE"""),"Продублировали. Поменяли телефона на 79856342020 (вместо 79773322079)")</f>
        <v>Продублировали. Поменяли телефона на 79856342020 (вместо 79773322079)</v>
      </c>
      <c r="L441" s="6">
        <f>IFERROR(__xludf.DUMMYFUNCTION("""COMPUTED_VALUE"""),9.72713172982E11)</f>
        <v>972713172982</v>
      </c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>
        <f>IFERROR(__xludf.DUMMYFUNCTION("""COMPUTED_VALUE"""),2025.0)</f>
        <v>2025</v>
      </c>
      <c r="B442" s="7" t="str">
        <f>IFERROR(__xludf.DUMMYFUNCTION("""COMPUTED_VALUE"""),"16.12-31.12")</f>
        <v>16.12-31.12</v>
      </c>
      <c r="C442" s="8" t="str">
        <f>IFERROR(__xludf.DUMMYFUNCTION("""COMPUTED_VALUE"""),"Мухамадиев Нуъмон")</f>
        <v>Мухамадиев Нуъмон</v>
      </c>
      <c r="D442" s="6" t="str">
        <f>IFERROR(__xludf.DUMMYFUNCTION("""COMPUTED_VALUE"""),"79775957136")</f>
        <v>79775957136</v>
      </c>
      <c r="E442" s="9">
        <f>IFERROR(__xludf.DUMMYFUNCTION("""COMPUTED_VALUE"""),15000.0)</f>
        <v>15000</v>
      </c>
      <c r="F442" s="6"/>
      <c r="G442" s="10"/>
      <c r="H442" s="6">
        <f>IFERROR(__xludf.DUMMYFUNCTION("""COMPUTED_VALUE"""),104.99999999999999)</f>
        <v>105</v>
      </c>
      <c r="I442" s="11">
        <f>IFERROR(__xludf.DUMMYFUNCTION("""COMPUTED_VALUE"""),14895.0)</f>
        <v>14895</v>
      </c>
      <c r="J442" s="6" t="str">
        <f>IFERROR(__xludf.DUMMYFUNCTION("""COMPUTED_VALUE"""),"оплатили в QUGO")</f>
        <v>оплатили в QUGO</v>
      </c>
      <c r="K442" s="6"/>
      <c r="L442" s="6">
        <f>IFERROR(__xludf.DUMMYFUNCTION("""COMPUTED_VALUE"""),7.71479794633E11)</f>
        <v>771479794633</v>
      </c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>
        <f>IFERROR(__xludf.DUMMYFUNCTION("""COMPUTED_VALUE"""),2025.0)</f>
        <v>2025</v>
      </c>
      <c r="B443" s="7" t="str">
        <f>IFERROR(__xludf.DUMMYFUNCTION("""COMPUTED_VALUE"""),"16.12-31.12")</f>
        <v>16.12-31.12</v>
      </c>
      <c r="C443" s="8" t="str">
        <f>IFERROR(__xludf.DUMMYFUNCTION("""COMPUTED_VALUE"""),"Бокизода Наджибуллохи")</f>
        <v>Бокизода Наджибуллохи</v>
      </c>
      <c r="D443" s="6" t="str">
        <f>IFERROR(__xludf.DUMMYFUNCTION("""COMPUTED_VALUE"""),"79916830745")</f>
        <v>79916830745</v>
      </c>
      <c r="E443" s="9">
        <f>IFERROR(__xludf.DUMMYFUNCTION("""COMPUTED_VALUE"""),15000.0)</f>
        <v>15000</v>
      </c>
      <c r="F443" s="6"/>
      <c r="G443" s="10"/>
      <c r="H443" s="6">
        <f>IFERROR(__xludf.DUMMYFUNCTION("""COMPUTED_VALUE"""),104.99999999999999)</f>
        <v>105</v>
      </c>
      <c r="I443" s="11">
        <f>IFERROR(__xludf.DUMMYFUNCTION("""COMPUTED_VALUE"""),14895.0)</f>
        <v>14895</v>
      </c>
      <c r="J443" s="6" t="str">
        <f>IFERROR(__xludf.DUMMYFUNCTION("""COMPUTED_VALUE"""),"Оплатили")</f>
        <v>Оплатили</v>
      </c>
      <c r="K443" s="6" t="str">
        <f>IFERROR(__xludf.DUMMYFUNCTION("""COMPUTED_VALUE"""),"Сменил карту - продублировали")</f>
        <v>Сменил карту - продублировали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>
        <f>IFERROR(__xludf.DUMMYFUNCTION("""COMPUTED_VALUE"""),2025.0)</f>
        <v>2025</v>
      </c>
      <c r="B444" s="7" t="str">
        <f>IFERROR(__xludf.DUMMYFUNCTION("""COMPUTED_VALUE"""),"16.12-31.12")</f>
        <v>16.12-31.12</v>
      </c>
      <c r="C444" s="8" t="str">
        <f>IFERROR(__xludf.DUMMYFUNCTION("""COMPUTED_VALUE"""),"Ходжиматова Нафиса")</f>
        <v>Ходжиматова Нафиса</v>
      </c>
      <c r="D444" s="6" t="str">
        <f>IFERROR(__xludf.DUMMYFUNCTION("""COMPUTED_VALUE"""),"79775789034")</f>
        <v>79775789034</v>
      </c>
      <c r="E444" s="9">
        <f>IFERROR(__xludf.DUMMYFUNCTION("""COMPUTED_VALUE"""),26133.0)</f>
        <v>26133</v>
      </c>
      <c r="F444" s="6"/>
      <c r="G444" s="10"/>
      <c r="H444" s="6">
        <f>IFERROR(__xludf.DUMMYFUNCTION("""COMPUTED_VALUE"""),182.93099999999998)</f>
        <v>182.931</v>
      </c>
      <c r="I444" s="11">
        <f>IFERROR(__xludf.DUMMYFUNCTION("""COMPUTED_VALUE"""),25950.069)</f>
        <v>25950.069</v>
      </c>
      <c r="J444" s="6" t="str">
        <f>IFERROR(__xludf.DUMMYFUNCTION("""COMPUTED_VALUE"""),"Оплатили")</f>
        <v>Оплатили</v>
      </c>
      <c r="K444" s="6" t="str">
        <f>IFERROR(__xludf.DUMMYFUNCTION("""COMPUTED_VALUE"""),"Оплачена через Отобаев")</f>
        <v>Оплачена через Отобаев</v>
      </c>
      <c r="L444" s="6">
        <f>IFERROR(__xludf.DUMMYFUNCTION("""COMPUTED_VALUE"""),7.75186849992E11)</f>
        <v>775186849992</v>
      </c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>
        <f>IFERROR(__xludf.DUMMYFUNCTION("""COMPUTED_VALUE"""),2026.0)</f>
        <v>2026</v>
      </c>
      <c r="B445" s="7" t="str">
        <f>IFERROR(__xludf.DUMMYFUNCTION("""COMPUTED_VALUE"""),"1.01-15.01")</f>
        <v>1.01-15.01</v>
      </c>
      <c r="C445" s="8" t="str">
        <f>IFERROR(__xludf.DUMMYFUNCTION("""COMPUTED_VALUE"""),"Дониерзода Сурайе")</f>
        <v>Дониерзода Сурайе</v>
      </c>
      <c r="D445" s="6" t="str">
        <f>IFERROR(__xludf.DUMMYFUNCTION("""COMPUTED_VALUE"""),"79377648587")</f>
        <v>79377648587</v>
      </c>
      <c r="E445" s="9">
        <f>IFERROR(__xludf.DUMMYFUNCTION("""COMPUTED_VALUE"""),26600.0)</f>
        <v>26600</v>
      </c>
      <c r="F445" s="6"/>
      <c r="G445" s="10">
        <f>IFERROR(__xludf.DUMMYFUNCTION("""COMPUTED_VALUE"""),26600.0)</f>
        <v>26600</v>
      </c>
      <c r="H445" s="6">
        <f>IFERROR(__xludf.DUMMYFUNCTION("""COMPUTED_VALUE"""),186.2)</f>
        <v>186.2</v>
      </c>
      <c r="I445" s="11">
        <f>IFERROR(__xludf.DUMMYFUNCTION("""COMPUTED_VALUE"""),26413.8)</f>
        <v>26413.8</v>
      </c>
      <c r="J445" s="6" t="str">
        <f>IFERROR(__xludf.DUMMYFUNCTION("""COMPUTED_VALUE"""),"оплатили в QUGO")</f>
        <v>оплатили в QUGO</v>
      </c>
      <c r="K445" s="6" t="str">
        <f>IFERROR(__xludf.DUMMYFUNCTION("""COMPUTED_VALUE"""),"Ошибка, этот 79377648587 номер?")</f>
        <v>Ошибка, этот 79377648587 номер?</v>
      </c>
      <c r="L445" s="6">
        <f>IFERROR(__xludf.DUMMYFUNCTION("""COMPUTED_VALUE"""),7.71487989675E11)</f>
        <v>771487989675</v>
      </c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>
        <f>IFERROR(__xludf.DUMMYFUNCTION("""COMPUTED_VALUE"""),2026.0)</f>
        <v>2026</v>
      </c>
      <c r="B446" s="7" t="str">
        <f>IFERROR(__xludf.DUMMYFUNCTION("""COMPUTED_VALUE"""),"1.01-15.01")</f>
        <v>1.01-15.01</v>
      </c>
      <c r="C446" s="8" t="str">
        <f>IFERROR(__xludf.DUMMYFUNCTION("""COMPUTED_VALUE"""),"Нематов Мухаммад")</f>
        <v>Нематов Мухаммад</v>
      </c>
      <c r="D446" s="6" t="str">
        <f>IFERROR(__xludf.DUMMYFUNCTION("""COMPUTED_VALUE"""),"79932625819")</f>
        <v>79932625819</v>
      </c>
      <c r="E446" s="9">
        <f>IFERROR(__xludf.DUMMYFUNCTION("""COMPUTED_VALUE"""),42000.0)</f>
        <v>42000</v>
      </c>
      <c r="F446" s="6">
        <f>IFERROR(__xludf.DUMMYFUNCTION("""COMPUTED_VALUE"""),3915.0)</f>
        <v>3915</v>
      </c>
      <c r="G446" s="10">
        <f>IFERROR(__xludf.DUMMYFUNCTION("""COMPUTED_VALUE"""),38085.0)</f>
        <v>38085</v>
      </c>
      <c r="H446" s="6">
        <f>IFERROR(__xludf.DUMMYFUNCTION("""COMPUTED_VALUE"""),266.59499999999997)</f>
        <v>266.595</v>
      </c>
      <c r="I446" s="11">
        <f>IFERROR(__xludf.DUMMYFUNCTION("""COMPUTED_VALUE"""),37818.405)</f>
        <v>37818.405</v>
      </c>
      <c r="J446" s="6" t="str">
        <f>IFERROR(__xludf.DUMMYFUNCTION("""COMPUTED_VALUE"""),"оплатили в QUGO")</f>
        <v>оплатили в QUGO</v>
      </c>
      <c r="K446" s="6" t="str">
        <f>IFERROR(__xludf.DUMMYFUNCTION("""COMPUTED_VALUE"""),"3915 удержано за ОФ ЗП декабрь")</f>
        <v>3915 удержано за ОФ ЗП декабрь</v>
      </c>
      <c r="L446" s="6">
        <f>IFERROR(__xludf.DUMMYFUNCTION("""COMPUTED_VALUE"""),7.75147436504E11)</f>
        <v>775147436504</v>
      </c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>
        <f>IFERROR(__xludf.DUMMYFUNCTION("""COMPUTED_VALUE"""),2026.0)</f>
        <v>2026</v>
      </c>
      <c r="B447" s="7" t="str">
        <f>IFERROR(__xludf.DUMMYFUNCTION("""COMPUTED_VALUE"""),"1.01-15.01")</f>
        <v>1.01-15.01</v>
      </c>
      <c r="C447" s="8" t="str">
        <f>IFERROR(__xludf.DUMMYFUNCTION("""COMPUTED_VALUE"""),"Азиззода Джамшед")</f>
        <v>Азиззода Джамшед</v>
      </c>
      <c r="D447" s="6" t="str">
        <f>IFERROR(__xludf.DUMMYFUNCTION("""COMPUTED_VALUE"""),"79116699346")</f>
        <v>79116699346</v>
      </c>
      <c r="E447" s="9">
        <f>IFERROR(__xludf.DUMMYFUNCTION("""COMPUTED_VALUE"""),41570.0)</f>
        <v>41570</v>
      </c>
      <c r="F447" s="6">
        <f>IFERROR(__xludf.DUMMYFUNCTION("""COMPUTED_VALUE"""),3654.0)</f>
        <v>3654</v>
      </c>
      <c r="G447" s="10">
        <f>IFERROR(__xludf.DUMMYFUNCTION("""COMPUTED_VALUE"""),37916.0)</f>
        <v>37916</v>
      </c>
      <c r="H447" s="6">
        <f>IFERROR(__xludf.DUMMYFUNCTION("""COMPUTED_VALUE"""),265.412)</f>
        <v>265.412</v>
      </c>
      <c r="I447" s="11">
        <f>IFERROR(__xludf.DUMMYFUNCTION("""COMPUTED_VALUE"""),37650.588)</f>
        <v>37650.588</v>
      </c>
      <c r="J447" s="6" t="str">
        <f>IFERROR(__xludf.DUMMYFUNCTION("""COMPUTED_VALUE"""),"оплатили в QUGO")</f>
        <v>оплатили в QUGO</v>
      </c>
      <c r="K447" s="6" t="str">
        <f>IFERROR(__xludf.DUMMYFUNCTION("""COMPUTED_VALUE"""),"3654 удержано за ОФ ЗП декабрь")</f>
        <v>3654 удержано за ОФ ЗП декабрь</v>
      </c>
      <c r="L447" s="6">
        <f>IFERROR(__xludf.DUMMYFUNCTION("""COMPUTED_VALUE"""),1.00000868544E11)</f>
        <v>100000868544</v>
      </c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>
        <f>IFERROR(__xludf.DUMMYFUNCTION("""COMPUTED_VALUE"""),2026.0)</f>
        <v>2026</v>
      </c>
      <c r="B448" s="7" t="str">
        <f>IFERROR(__xludf.DUMMYFUNCTION("""COMPUTED_VALUE"""),"1.01-15.01")</f>
        <v>1.01-15.01</v>
      </c>
      <c r="C448" s="8" t="str">
        <f>IFERROR(__xludf.DUMMYFUNCTION("""COMPUTED_VALUE"""),"Султонзода Нодира")</f>
        <v>Султонзода Нодира</v>
      </c>
      <c r="D448" s="6" t="str">
        <f>IFERROR(__xludf.DUMMYFUNCTION("""COMPUTED_VALUE"""),"79891031216")</f>
        <v>79891031216</v>
      </c>
      <c r="E448" s="9">
        <f>IFERROR(__xludf.DUMMYFUNCTION("""COMPUTED_VALUE"""),57000.0)</f>
        <v>57000</v>
      </c>
      <c r="F448" s="6">
        <f>IFERROR(__xludf.DUMMYFUNCTION("""COMPUTED_VALUE"""),3654.0)</f>
        <v>3654</v>
      </c>
      <c r="G448" s="10">
        <f>IFERROR(__xludf.DUMMYFUNCTION("""COMPUTED_VALUE"""),53346.0)</f>
        <v>53346</v>
      </c>
      <c r="H448" s="6">
        <f>IFERROR(__xludf.DUMMYFUNCTION("""COMPUTED_VALUE"""),373.42199999999997)</f>
        <v>373.422</v>
      </c>
      <c r="I448" s="11">
        <f>IFERROR(__xludf.DUMMYFUNCTION("""COMPUTED_VALUE"""),52972.578)</f>
        <v>52972.578</v>
      </c>
      <c r="J448" s="6" t="str">
        <f>IFERROR(__xludf.DUMMYFUNCTION("""COMPUTED_VALUE"""),"оплатили в QUGO")</f>
        <v>оплатили в QUGO</v>
      </c>
      <c r="K448" s="6" t="str">
        <f>IFERROR(__xludf.DUMMYFUNCTION("""COMPUTED_VALUE"""),"3654 удержано за ОФ ЗП декабрь")</f>
        <v>3654 удержано за ОФ ЗП декабрь</v>
      </c>
      <c r="L448" s="6">
        <f>IFERROR(__xludf.DUMMYFUNCTION("""COMPUTED_VALUE"""),7.75184127705E11)</f>
        <v>775184127705</v>
      </c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>
        <f>IFERROR(__xludf.DUMMYFUNCTION("""COMPUTED_VALUE"""),2026.0)</f>
        <v>2026</v>
      </c>
      <c r="B449" s="7" t="str">
        <f>IFERROR(__xludf.DUMMYFUNCTION("""COMPUTED_VALUE"""),"1.01-15.01")</f>
        <v>1.01-15.01</v>
      </c>
      <c r="C449" s="8" t="str">
        <f>IFERROR(__xludf.DUMMYFUNCTION("""COMPUTED_VALUE"""),"Баратова Хадича")</f>
        <v>Баратова Хадича</v>
      </c>
      <c r="D449" s="6" t="str">
        <f>IFERROR(__xludf.DUMMYFUNCTION("""COMPUTED_VALUE"""),"79991129048")</f>
        <v>79991129048</v>
      </c>
      <c r="E449" s="9">
        <f>IFERROR(__xludf.DUMMYFUNCTION("""COMPUTED_VALUE"""),62400.0)</f>
        <v>62400</v>
      </c>
      <c r="F449" s="6"/>
      <c r="G449" s="10">
        <f>IFERROR(__xludf.DUMMYFUNCTION("""COMPUTED_VALUE"""),62400.0)</f>
        <v>62400</v>
      </c>
      <c r="H449" s="6">
        <f>IFERROR(__xludf.DUMMYFUNCTION("""COMPUTED_VALUE"""),436.79999999999995)</f>
        <v>436.8</v>
      </c>
      <c r="I449" s="11">
        <f>IFERROR(__xludf.DUMMYFUNCTION("""COMPUTED_VALUE"""),61963.2)</f>
        <v>61963.2</v>
      </c>
      <c r="J449" s="6" t="str">
        <f>IFERROR(__xludf.DUMMYFUNCTION("""COMPUTED_VALUE"""),"оплатили в QUGO")</f>
        <v>оплатили в QUGO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>
        <f>IFERROR(__xludf.DUMMYFUNCTION("""COMPUTED_VALUE"""),2026.0)</f>
        <v>2026</v>
      </c>
      <c r="B450" s="7" t="str">
        <f>IFERROR(__xludf.DUMMYFUNCTION("""COMPUTED_VALUE"""),"1.01-15.01")</f>
        <v>1.01-15.01</v>
      </c>
      <c r="C450" s="8" t="str">
        <f>IFERROR(__xludf.DUMMYFUNCTION("""COMPUTED_VALUE"""),"Исманов Мухаммадкодир")</f>
        <v>Исманов Мухаммадкодир</v>
      </c>
      <c r="D450" s="6" t="str">
        <f>IFERROR(__xludf.DUMMYFUNCTION("""COMPUTED_VALUE"""),"79255086393")</f>
        <v>79255086393</v>
      </c>
      <c r="E450" s="9">
        <f>IFERROR(__xludf.DUMMYFUNCTION("""COMPUTED_VALUE"""),56000.0)</f>
        <v>56000</v>
      </c>
      <c r="F450" s="6">
        <f>IFERROR(__xludf.DUMMYFUNCTION("""COMPUTED_VALUE"""),3828.0)</f>
        <v>3828</v>
      </c>
      <c r="G450" s="10">
        <f>IFERROR(__xludf.DUMMYFUNCTION("""COMPUTED_VALUE"""),52172.0)</f>
        <v>52172</v>
      </c>
      <c r="H450" s="6">
        <f>IFERROR(__xludf.DUMMYFUNCTION("""COMPUTED_VALUE"""),365.20399999999995)</f>
        <v>365.204</v>
      </c>
      <c r="I450" s="11">
        <f>IFERROR(__xludf.DUMMYFUNCTION("""COMPUTED_VALUE"""),51806.796)</f>
        <v>51806.796</v>
      </c>
      <c r="J450" s="6" t="str">
        <f>IFERROR(__xludf.DUMMYFUNCTION("""COMPUTED_VALUE"""),"оплатили в QUGO")</f>
        <v>оплатили в QUGO</v>
      </c>
      <c r="K450" s="6" t="str">
        <f>IFERROR(__xludf.DUMMYFUNCTION("""COMPUTED_VALUE"""),"3828 удержано за ОФ ЗП декабрь")</f>
        <v>3828 удержано за ОФ ЗП декабрь</v>
      </c>
      <c r="L450" s="6">
        <f>IFERROR(__xludf.DUMMYFUNCTION("""COMPUTED_VALUE"""),5.0024439455E10)</f>
        <v>50024439455</v>
      </c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>
        <f>IFERROR(__xludf.DUMMYFUNCTION("""COMPUTED_VALUE"""),2026.0)</f>
        <v>2026</v>
      </c>
      <c r="B451" s="7" t="str">
        <f>IFERROR(__xludf.DUMMYFUNCTION("""COMPUTED_VALUE"""),"1.01-15.01")</f>
        <v>1.01-15.01</v>
      </c>
      <c r="C451" s="8" t="str">
        <f>IFERROR(__xludf.DUMMYFUNCTION("""COMPUTED_VALUE"""),"Усманов Нодир")</f>
        <v>Усманов Нодир</v>
      </c>
      <c r="D451" s="6" t="str">
        <f>IFERROR(__xludf.DUMMYFUNCTION("""COMPUTED_VALUE"""),"79800015369")</f>
        <v>79800015369</v>
      </c>
      <c r="E451" s="9">
        <f>IFERROR(__xludf.DUMMYFUNCTION("""COMPUTED_VALUE"""),56000.0)</f>
        <v>56000</v>
      </c>
      <c r="F451" s="6"/>
      <c r="G451" s="10">
        <f>IFERROR(__xludf.DUMMYFUNCTION("""COMPUTED_VALUE"""),56000.0)</f>
        <v>56000</v>
      </c>
      <c r="H451" s="6">
        <f>IFERROR(__xludf.DUMMYFUNCTION("""COMPUTED_VALUE"""),391.99999999999994)</f>
        <v>392</v>
      </c>
      <c r="I451" s="11">
        <f>IFERROR(__xludf.DUMMYFUNCTION("""COMPUTED_VALUE"""),55608.0)</f>
        <v>55608</v>
      </c>
      <c r="J451" s="6" t="str">
        <f>IFERROR(__xludf.DUMMYFUNCTION("""COMPUTED_VALUE"""),"оплатили в QUGO")</f>
        <v>оплатили в QUGO</v>
      </c>
      <c r="K451" s="6"/>
      <c r="L451" s="6">
        <f>IFERROR(__xludf.DUMMYFUNCTION("""COMPUTED_VALUE"""),7.75155901184E11)</f>
        <v>775155901184</v>
      </c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>
        <f>IFERROR(__xludf.DUMMYFUNCTION("""COMPUTED_VALUE"""),2026.0)</f>
        <v>2026</v>
      </c>
      <c r="B452" s="7" t="str">
        <f>IFERROR(__xludf.DUMMYFUNCTION("""COMPUTED_VALUE"""),"1.01-15.01")</f>
        <v>1.01-15.01</v>
      </c>
      <c r="C452" s="8" t="str">
        <f>IFERROR(__xludf.DUMMYFUNCTION("""COMPUTED_VALUE"""),"Усманов Ислом")</f>
        <v>Усманов Ислом</v>
      </c>
      <c r="D452" s="6" t="str">
        <f>IFERROR(__xludf.DUMMYFUNCTION("""COMPUTED_VALUE"""),"79067107159")</f>
        <v>79067107159</v>
      </c>
      <c r="E452" s="9">
        <f>IFERROR(__xludf.DUMMYFUNCTION("""COMPUTED_VALUE"""),56000.0)</f>
        <v>56000</v>
      </c>
      <c r="F452" s="6">
        <f>IFERROR(__xludf.DUMMYFUNCTION("""COMPUTED_VALUE"""),3741.0)</f>
        <v>3741</v>
      </c>
      <c r="G452" s="10">
        <f>IFERROR(__xludf.DUMMYFUNCTION("""COMPUTED_VALUE"""),52259.0)</f>
        <v>52259</v>
      </c>
      <c r="H452" s="6">
        <f>IFERROR(__xludf.DUMMYFUNCTION("""COMPUTED_VALUE"""),365.813)</f>
        <v>365.813</v>
      </c>
      <c r="I452" s="11">
        <f>IFERROR(__xludf.DUMMYFUNCTION("""COMPUTED_VALUE"""),51893.187)</f>
        <v>51893.187</v>
      </c>
      <c r="J452" s="6" t="str">
        <f>IFERROR(__xludf.DUMMYFUNCTION("""COMPUTED_VALUE"""),"оплатили в QUGO")</f>
        <v>оплатили в QUGO</v>
      </c>
      <c r="K452" s="6" t="str">
        <f>IFERROR(__xludf.DUMMYFUNCTION("""COMPUTED_VALUE"""),"3741 удержано за ОФ ЗП декабрь")</f>
        <v>3741 удержано за ОФ ЗП декабрь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>
        <f>IFERROR(__xludf.DUMMYFUNCTION("""COMPUTED_VALUE"""),2026.0)</f>
        <v>2026</v>
      </c>
      <c r="B453" s="7" t="str">
        <f>IFERROR(__xludf.DUMMYFUNCTION("""COMPUTED_VALUE"""),"1.01-15.01")</f>
        <v>1.01-15.01</v>
      </c>
      <c r="C453" s="8" t="str">
        <f>IFERROR(__xludf.DUMMYFUNCTION("""COMPUTED_VALUE"""),"Примова Нилюфер")</f>
        <v>Примова Нилюфер</v>
      </c>
      <c r="D453" s="6" t="str">
        <f>IFERROR(__xludf.DUMMYFUNCTION("""COMPUTED_VALUE"""),"79775621896")</f>
        <v>79775621896</v>
      </c>
      <c r="E453" s="9">
        <f>IFERROR(__xludf.DUMMYFUNCTION("""COMPUTED_VALUE"""),50700.0)</f>
        <v>50700</v>
      </c>
      <c r="F453" s="6">
        <f>IFERROR(__xludf.DUMMYFUNCTION("""COMPUTED_VALUE"""),3654.0)</f>
        <v>3654</v>
      </c>
      <c r="G453" s="10">
        <f>IFERROR(__xludf.DUMMYFUNCTION("""COMPUTED_VALUE"""),47046.0)</f>
        <v>47046</v>
      </c>
      <c r="H453" s="6">
        <f>IFERROR(__xludf.DUMMYFUNCTION("""COMPUTED_VALUE"""),329.32199999999995)</f>
        <v>329.322</v>
      </c>
      <c r="I453" s="11">
        <f>IFERROR(__xludf.DUMMYFUNCTION("""COMPUTED_VALUE"""),46716.678)</f>
        <v>46716.678</v>
      </c>
      <c r="J453" s="6" t="str">
        <f>IFERROR(__xludf.DUMMYFUNCTION("""COMPUTED_VALUE"""),"оплатили в QUGO")</f>
        <v>оплатили в QUGO</v>
      </c>
      <c r="K453" s="6" t="str">
        <f>IFERROR(__xludf.DUMMYFUNCTION("""COMPUTED_VALUE"""),"3654 удержано за ОФ ЗП декабрь")</f>
        <v>3654 удержано за ОФ ЗП декабрь</v>
      </c>
      <c r="L453" s="6">
        <f>IFERROR(__xludf.DUMMYFUNCTION("""COMPUTED_VALUE"""),7.72312047604E11)</f>
        <v>772312047604</v>
      </c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>
        <f>IFERROR(__xludf.DUMMYFUNCTION("""COMPUTED_VALUE"""),2026.0)</f>
        <v>2026</v>
      </c>
      <c r="B454" s="7" t="str">
        <f>IFERROR(__xludf.DUMMYFUNCTION("""COMPUTED_VALUE"""),"1.01-15.01")</f>
        <v>1.01-15.01</v>
      </c>
      <c r="C454" s="8" t="str">
        <f>IFERROR(__xludf.DUMMYFUNCTION("""COMPUTED_VALUE"""),"Косимова Фарида")</f>
        <v>Косимова Фарида</v>
      </c>
      <c r="D454" s="6" t="str">
        <f>IFERROR(__xludf.DUMMYFUNCTION("""COMPUTED_VALUE"""),"79274990078")</f>
        <v>79274990078</v>
      </c>
      <c r="E454" s="9">
        <f>IFERROR(__xludf.DUMMYFUNCTION("""COMPUTED_VALUE"""),38500.0)</f>
        <v>38500</v>
      </c>
      <c r="F454" s="6"/>
      <c r="G454" s="10">
        <f>IFERROR(__xludf.DUMMYFUNCTION("""COMPUTED_VALUE"""),38500.0)</f>
        <v>38500</v>
      </c>
      <c r="H454" s="6">
        <f>IFERROR(__xludf.DUMMYFUNCTION("""COMPUTED_VALUE"""),269.5)</f>
        <v>269.5</v>
      </c>
      <c r="I454" s="11">
        <f>IFERROR(__xludf.DUMMYFUNCTION("""COMPUTED_VALUE"""),38230.5)</f>
        <v>38230.5</v>
      </c>
      <c r="J454" s="6" t="str">
        <f>IFERROR(__xludf.DUMMYFUNCTION("""COMPUTED_VALUE"""),"оплатили в QUGO")</f>
        <v>оплатили в QUGO</v>
      </c>
      <c r="K454" s="6" t="str">
        <f>IFERROR(__xludf.DUMMYFUNCTION("""COMPUTED_VALUE"""),"Прислал приглашение, повторим выплату ")</f>
        <v>Прислал приглашение, повторим выплату </v>
      </c>
      <c r="L454" s="6">
        <f>IFERROR(__xludf.DUMMYFUNCTION("""COMPUTED_VALUE"""),1.65070409534E11)</f>
        <v>165070409534</v>
      </c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>
        <f>IFERROR(__xludf.DUMMYFUNCTION("""COMPUTED_VALUE"""),2026.0)</f>
        <v>2026</v>
      </c>
      <c r="B455" s="7" t="str">
        <f>IFERROR(__xludf.DUMMYFUNCTION("""COMPUTED_VALUE"""),"1.01-15.01")</f>
        <v>1.01-15.01</v>
      </c>
      <c r="C455" s="8" t="str">
        <f>IFERROR(__xludf.DUMMYFUNCTION("""COMPUTED_VALUE"""),"Тешабоев Расулжон")</f>
        <v>Тешабоев Расулжон</v>
      </c>
      <c r="D455" s="6" t="str">
        <f>IFERROR(__xludf.DUMMYFUNCTION("""COMPUTED_VALUE"""),"79777013390")</f>
        <v>79777013390</v>
      </c>
      <c r="E455" s="9">
        <f>IFERROR(__xludf.DUMMYFUNCTION("""COMPUTED_VALUE"""),48100.0)</f>
        <v>48100</v>
      </c>
      <c r="F455" s="6"/>
      <c r="G455" s="10">
        <f>IFERROR(__xludf.DUMMYFUNCTION("""COMPUTED_VALUE"""),48100.0)</f>
        <v>48100</v>
      </c>
      <c r="H455" s="6">
        <f>IFERROR(__xludf.DUMMYFUNCTION("""COMPUTED_VALUE"""),336.7)</f>
        <v>336.7</v>
      </c>
      <c r="I455" s="11">
        <f>IFERROR(__xludf.DUMMYFUNCTION("""COMPUTED_VALUE"""),47763.3)</f>
        <v>47763.3</v>
      </c>
      <c r="J455" s="6" t="str">
        <f>IFERROR(__xludf.DUMMYFUNCTION("""COMPUTED_VALUE"""),"оплатили в QUGO")</f>
        <v>оплатили в QUGO</v>
      </c>
      <c r="K455" s="6"/>
      <c r="L455" s="6">
        <f>IFERROR(__xludf.DUMMYFUNCTION("""COMPUTED_VALUE"""),7.75171178607E11)</f>
        <v>775171178607</v>
      </c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>
        <f>IFERROR(__xludf.DUMMYFUNCTION("""COMPUTED_VALUE"""),2026.0)</f>
        <v>2026</v>
      </c>
      <c r="B456" s="7" t="str">
        <f>IFERROR(__xludf.DUMMYFUNCTION("""COMPUTED_VALUE"""),"1.01-15.01")</f>
        <v>1.01-15.01</v>
      </c>
      <c r="C456" s="8" t="str">
        <f>IFERROR(__xludf.DUMMYFUNCTION("""COMPUTED_VALUE"""),"Рахмонов Сухроб")</f>
        <v>Рахмонов Сухроб</v>
      </c>
      <c r="D456" s="6" t="str">
        <f>IFERROR(__xludf.DUMMYFUNCTION("""COMPUTED_VALUE"""),"79336934364")</f>
        <v>79336934364</v>
      </c>
      <c r="E456" s="9">
        <f>IFERROR(__xludf.DUMMYFUNCTION("""COMPUTED_VALUE"""),51800.0)</f>
        <v>51800</v>
      </c>
      <c r="F456" s="6"/>
      <c r="G456" s="10">
        <f>IFERROR(__xludf.DUMMYFUNCTION("""COMPUTED_VALUE"""),51800.0)</f>
        <v>51800</v>
      </c>
      <c r="H456" s="6">
        <f>IFERROR(__xludf.DUMMYFUNCTION("""COMPUTED_VALUE"""),362.59999999999997)</f>
        <v>362.6</v>
      </c>
      <c r="I456" s="11">
        <f>IFERROR(__xludf.DUMMYFUNCTION("""COMPUTED_VALUE"""),51437.4)</f>
        <v>51437.4</v>
      </c>
      <c r="J456" s="6" t="str">
        <f>IFERROR(__xludf.DUMMYFUNCTION("""COMPUTED_VALUE"""),"оплатили в QUGO")</f>
        <v>оплатили в QUGO</v>
      </c>
      <c r="K456" s="6"/>
      <c r="L456" s="6">
        <f>IFERROR(__xludf.DUMMYFUNCTION("""COMPUTED_VALUE"""),7.75185498484E11)</f>
        <v>775185498484</v>
      </c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>
        <f>IFERROR(__xludf.DUMMYFUNCTION("""COMPUTED_VALUE"""),2026.0)</f>
        <v>2026</v>
      </c>
      <c r="B457" s="7" t="str">
        <f>IFERROR(__xludf.DUMMYFUNCTION("""COMPUTED_VALUE"""),"1.01-15.01")</f>
        <v>1.01-15.01</v>
      </c>
      <c r="C457" s="8" t="str">
        <f>IFERROR(__xludf.DUMMYFUNCTION("""COMPUTED_VALUE"""),"Аюбова Мухайе")</f>
        <v>Аюбова Мухайе</v>
      </c>
      <c r="D457" s="6" t="str">
        <f>IFERROR(__xludf.DUMMYFUNCTION("""COMPUTED_VALUE"""),"79858680976")</f>
        <v>79858680976</v>
      </c>
      <c r="E457" s="9">
        <f>IFERROR(__xludf.DUMMYFUNCTION("""COMPUTED_VALUE"""),20400.0)</f>
        <v>20400</v>
      </c>
      <c r="F457" s="6"/>
      <c r="G457" s="10">
        <f>IFERROR(__xludf.DUMMYFUNCTION("""COMPUTED_VALUE"""),20400.0)</f>
        <v>20400</v>
      </c>
      <c r="H457" s="6">
        <f>IFERROR(__xludf.DUMMYFUNCTION("""COMPUTED_VALUE"""),142.79999999999998)</f>
        <v>142.8</v>
      </c>
      <c r="I457" s="11">
        <f>IFERROR(__xludf.DUMMYFUNCTION("""COMPUTED_VALUE"""),20257.2)</f>
        <v>20257.2</v>
      </c>
      <c r="J457" s="6" t="str">
        <f>IFERROR(__xludf.DUMMYFUNCTION("""COMPUTED_VALUE"""),"оплатили в QUGO")</f>
        <v>оплатили в QUGO</v>
      </c>
      <c r="K457" s="6" t="str">
        <f>IFERROR(__xludf.DUMMYFUNCTION("""COMPUTED_VALUE"""),"Сменили номер, повторим выплату")</f>
        <v>Сменили номер, повторим выплату</v>
      </c>
      <c r="L457" s="6">
        <f>IFERROR(__xludf.DUMMYFUNCTION("""COMPUTED_VALUE"""),6.67803019045E11)</f>
        <v>667803019045</v>
      </c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>
        <f>IFERROR(__xludf.DUMMYFUNCTION("""COMPUTED_VALUE"""),2026.0)</f>
        <v>2026</v>
      </c>
      <c r="B458" s="7" t="str">
        <f>IFERROR(__xludf.DUMMYFUNCTION("""COMPUTED_VALUE"""),"1.01-15.01")</f>
        <v>1.01-15.01</v>
      </c>
      <c r="C458" s="8" t="str">
        <f>IFERROR(__xludf.DUMMYFUNCTION("""COMPUTED_VALUE"""),"Мусаева Мавтуна")</f>
        <v>Мусаева Мавтуна</v>
      </c>
      <c r="D458" s="6" t="str">
        <f>IFERROR(__xludf.DUMMYFUNCTION("""COMPUTED_VALUE"""),"79057784048")</f>
        <v>79057784048</v>
      </c>
      <c r="E458" s="9">
        <f>IFERROR(__xludf.DUMMYFUNCTION("""COMPUTED_VALUE"""),44800.0)</f>
        <v>44800</v>
      </c>
      <c r="F458" s="6">
        <f>IFERROR(__xludf.DUMMYFUNCTION("""COMPUTED_VALUE"""),3828.0)</f>
        <v>3828</v>
      </c>
      <c r="G458" s="10">
        <f>IFERROR(__xludf.DUMMYFUNCTION("""COMPUTED_VALUE"""),40972.0)</f>
        <v>40972</v>
      </c>
      <c r="H458" s="6">
        <f>IFERROR(__xludf.DUMMYFUNCTION("""COMPUTED_VALUE"""),286.804)</f>
        <v>286.804</v>
      </c>
      <c r="I458" s="11">
        <f>IFERROR(__xludf.DUMMYFUNCTION("""COMPUTED_VALUE"""),40685.196)</f>
        <v>40685.196</v>
      </c>
      <c r="J458" s="6" t="str">
        <f>IFERROR(__xludf.DUMMYFUNCTION("""COMPUTED_VALUE"""),"оплатили в QUGO")</f>
        <v>оплатили в QUGO</v>
      </c>
      <c r="K458" s="6" t="str">
        <f>IFERROR(__xludf.DUMMYFUNCTION("""COMPUTED_VALUE"""),"3828 удержано за ОФ ЗП декабрь")</f>
        <v>3828 удержано за ОФ ЗП декабрь</v>
      </c>
      <c r="L458" s="6">
        <f>IFERROR(__xludf.DUMMYFUNCTION("""COMPUTED_VALUE"""),5.00726635205E11)</f>
        <v>500726635205</v>
      </c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>
        <f>IFERROR(__xludf.DUMMYFUNCTION("""COMPUTED_VALUE"""),2026.0)</f>
        <v>2026</v>
      </c>
      <c r="B459" s="7" t="str">
        <f>IFERROR(__xludf.DUMMYFUNCTION("""COMPUTED_VALUE"""),"1.01-15.01")</f>
        <v>1.01-15.01</v>
      </c>
      <c r="C459" s="8" t="str">
        <f>IFERROR(__xludf.DUMMYFUNCTION("""COMPUTED_VALUE"""),"Мовлонова Феруза")</f>
        <v>Мовлонова Феруза</v>
      </c>
      <c r="D459" s="6" t="str">
        <f>IFERROR(__xludf.DUMMYFUNCTION("""COMPUTED_VALUE"""),"79035410190")</f>
        <v>79035410190</v>
      </c>
      <c r="E459" s="9">
        <f>IFERROR(__xludf.DUMMYFUNCTION("""COMPUTED_VALUE"""),9900.0)</f>
        <v>9900</v>
      </c>
      <c r="F459" s="6"/>
      <c r="G459" s="10">
        <f>IFERROR(__xludf.DUMMYFUNCTION("""COMPUTED_VALUE"""),9900.0)</f>
        <v>9900</v>
      </c>
      <c r="H459" s="6">
        <f>IFERROR(__xludf.DUMMYFUNCTION("""COMPUTED_VALUE"""),69.3)</f>
        <v>69.3</v>
      </c>
      <c r="I459" s="11">
        <f>IFERROR(__xludf.DUMMYFUNCTION("""COMPUTED_VALUE"""),9830.7)</f>
        <v>9830.7</v>
      </c>
      <c r="J459" s="6" t="str">
        <f>IFERROR(__xludf.DUMMYFUNCTION("""COMPUTED_VALUE"""),"оплатили в QUGO")</f>
        <v>оплатили в QUGO</v>
      </c>
      <c r="K459" s="6" t="str">
        <f>IFERROR(__xludf.DUMMYFUNCTION("""COMPUTED_VALUE"""),"Прислал приглашение, повторим выплату ")</f>
        <v>Прислал приглашение, повторим выплату </v>
      </c>
      <c r="L459" s="6">
        <f>IFERROR(__xludf.DUMMYFUNCTION("""COMPUTED_VALUE"""),5.02780207956E11)</f>
        <v>502780207956</v>
      </c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>
        <f>IFERROR(__xludf.DUMMYFUNCTION("""COMPUTED_VALUE"""),2026.0)</f>
        <v>2026</v>
      </c>
      <c r="B460" s="7" t="str">
        <f>IFERROR(__xludf.DUMMYFUNCTION("""COMPUTED_VALUE"""),"1.01-15.01")</f>
        <v>1.01-15.01</v>
      </c>
      <c r="C460" s="8" t="str">
        <f>IFERROR(__xludf.DUMMYFUNCTION("""COMPUTED_VALUE"""),"Боева Фируза")</f>
        <v>Боева Фируза</v>
      </c>
      <c r="D460" s="6" t="str">
        <f>IFERROR(__xludf.DUMMYFUNCTION("""COMPUTED_VALUE"""),"79969660345")</f>
        <v>79969660345</v>
      </c>
      <c r="E460" s="9">
        <f>IFERROR(__xludf.DUMMYFUNCTION("""COMPUTED_VALUE"""),28800.0)</f>
        <v>28800</v>
      </c>
      <c r="F460" s="6"/>
      <c r="G460" s="10">
        <f>IFERROR(__xludf.DUMMYFUNCTION("""COMPUTED_VALUE"""),28800.0)</f>
        <v>28800</v>
      </c>
      <c r="H460" s="6">
        <f>IFERROR(__xludf.DUMMYFUNCTION("""COMPUTED_VALUE"""),201.59999999999997)</f>
        <v>201.6</v>
      </c>
      <c r="I460" s="11">
        <f>IFERROR(__xludf.DUMMYFUNCTION("""COMPUTED_VALUE"""),28598.4)</f>
        <v>28598.4</v>
      </c>
      <c r="J460" s="6" t="str">
        <f>IFERROR(__xludf.DUMMYFUNCTION("""COMPUTED_VALUE"""),"оплатили в QUGO")</f>
        <v>оплатили в QUGO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>
        <f>IFERROR(__xludf.DUMMYFUNCTION("""COMPUTED_VALUE"""),2026.0)</f>
        <v>2026</v>
      </c>
      <c r="B461" s="7" t="str">
        <f>IFERROR(__xludf.DUMMYFUNCTION("""COMPUTED_VALUE"""),"1.01-15.01")</f>
        <v>1.01-15.01</v>
      </c>
      <c r="C461" s="8" t="str">
        <f>IFERROR(__xludf.DUMMYFUNCTION("""COMPUTED_VALUE"""),"Куватова Холбека Зокировна")</f>
        <v>Куватова Холбека Зокировна</v>
      </c>
      <c r="D461" s="6" t="str">
        <f>IFERROR(__xludf.DUMMYFUNCTION("""COMPUTED_VALUE"""),"79060885518")</f>
        <v>79060885518</v>
      </c>
      <c r="E461" s="9">
        <f>IFERROR(__xludf.DUMMYFUNCTION("""COMPUTED_VALUE"""),51000.0)</f>
        <v>51000</v>
      </c>
      <c r="F461" s="6">
        <f>IFERROR(__xludf.DUMMYFUNCTION("""COMPUTED_VALUE"""),3654.0)</f>
        <v>3654</v>
      </c>
      <c r="G461" s="10">
        <f>IFERROR(__xludf.DUMMYFUNCTION("""COMPUTED_VALUE"""),47346.0)</f>
        <v>47346</v>
      </c>
      <c r="H461" s="6">
        <f>IFERROR(__xludf.DUMMYFUNCTION("""COMPUTED_VALUE"""),331.42199999999997)</f>
        <v>331.422</v>
      </c>
      <c r="I461" s="11">
        <f>IFERROR(__xludf.DUMMYFUNCTION("""COMPUTED_VALUE"""),47014.578)</f>
        <v>47014.578</v>
      </c>
      <c r="J461" s="6" t="str">
        <f>IFERROR(__xludf.DUMMYFUNCTION("""COMPUTED_VALUE"""),"оплатили в QUGO")</f>
        <v>оплатили в QUGO</v>
      </c>
      <c r="K461" s="6" t="str">
        <f>IFERROR(__xludf.DUMMYFUNCTION("""COMPUTED_VALUE"""),"3654 удержано за ОФ ЗП декабрь")</f>
        <v>3654 удержано за ОФ ЗП декабрь</v>
      </c>
      <c r="L461" s="6">
        <f>IFERROR(__xludf.DUMMYFUNCTION("""COMPUTED_VALUE"""),7.74354320506E11)</f>
        <v>774354320506</v>
      </c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>
        <f>IFERROR(__xludf.DUMMYFUNCTION("""COMPUTED_VALUE"""),2026.0)</f>
        <v>2026</v>
      </c>
      <c r="B462" s="7" t="str">
        <f>IFERROR(__xludf.DUMMYFUNCTION("""COMPUTED_VALUE"""),"1.01-15.01")</f>
        <v>1.01-15.01</v>
      </c>
      <c r="C462" s="8" t="str">
        <f>IFERROR(__xludf.DUMMYFUNCTION("""COMPUTED_VALUE"""),"Джовлиева Чаман")</f>
        <v>Джовлиева Чаман</v>
      </c>
      <c r="D462" s="6" t="str">
        <f>IFERROR(__xludf.DUMMYFUNCTION("""COMPUTED_VALUE"""),"79099908237")</f>
        <v>79099908237</v>
      </c>
      <c r="E462" s="9">
        <f>IFERROR(__xludf.DUMMYFUNCTION("""COMPUTED_VALUE"""),44800.0)</f>
        <v>44800</v>
      </c>
      <c r="F462" s="6"/>
      <c r="G462" s="10">
        <f>IFERROR(__xludf.DUMMYFUNCTION("""COMPUTED_VALUE"""),44800.0)</f>
        <v>44800</v>
      </c>
      <c r="H462" s="6">
        <f>IFERROR(__xludf.DUMMYFUNCTION("""COMPUTED_VALUE"""),313.59999999999997)</f>
        <v>313.6</v>
      </c>
      <c r="I462" s="11">
        <f>IFERROR(__xludf.DUMMYFUNCTION("""COMPUTED_VALUE"""),44486.4)</f>
        <v>44486.4</v>
      </c>
      <c r="J462" s="6" t="str">
        <f>IFERROR(__xludf.DUMMYFUNCTION("""COMPUTED_VALUE"""),"оплатили в QUGO")</f>
        <v>оплатили в QUGO</v>
      </c>
      <c r="K462" s="6"/>
      <c r="L462" s="6">
        <f>IFERROR(__xludf.DUMMYFUNCTION("""COMPUTED_VALUE"""),7.71392768519E11)</f>
        <v>771392768519</v>
      </c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>
        <f>IFERROR(__xludf.DUMMYFUNCTION("""COMPUTED_VALUE"""),2026.0)</f>
        <v>2026</v>
      </c>
      <c r="B463" s="7" t="str">
        <f>IFERROR(__xludf.DUMMYFUNCTION("""COMPUTED_VALUE"""),"1.01-15.01")</f>
        <v>1.01-15.01</v>
      </c>
      <c r="C463" s="8" t="str">
        <f>IFERROR(__xludf.DUMMYFUNCTION("""COMPUTED_VALUE"""),"Зулунов Акбарали Шухратбек угли")</f>
        <v>Зулунов Акбарали Шухратбек угли</v>
      </c>
      <c r="D463" s="6" t="str">
        <f>IFERROR(__xludf.DUMMYFUNCTION("""COMPUTED_VALUE"""),"79684325555")</f>
        <v>79684325555</v>
      </c>
      <c r="E463" s="9">
        <f>IFERROR(__xludf.DUMMYFUNCTION("""COMPUTED_VALUE"""),43400.0)</f>
        <v>43400</v>
      </c>
      <c r="F463" s="6">
        <f>IFERROR(__xludf.DUMMYFUNCTION("""COMPUTED_VALUE"""),3654.0)</f>
        <v>3654</v>
      </c>
      <c r="G463" s="10">
        <f>IFERROR(__xludf.DUMMYFUNCTION("""COMPUTED_VALUE"""),39746.0)</f>
        <v>39746</v>
      </c>
      <c r="H463" s="6">
        <f>IFERROR(__xludf.DUMMYFUNCTION("""COMPUTED_VALUE"""),278.222)</f>
        <v>278.222</v>
      </c>
      <c r="I463" s="11">
        <f>IFERROR(__xludf.DUMMYFUNCTION("""COMPUTED_VALUE"""),39467.778)</f>
        <v>39467.778</v>
      </c>
      <c r="J463" s="6" t="str">
        <f>IFERROR(__xludf.DUMMYFUNCTION("""COMPUTED_VALUE"""),"оплатили в QUGO")</f>
        <v>оплатили в QUGO</v>
      </c>
      <c r="K463" s="6" t="str">
        <f>IFERROR(__xludf.DUMMYFUNCTION("""COMPUTED_VALUE"""),"3654 удержано за ОФ ЗП декабрь")</f>
        <v>3654 удержано за ОФ ЗП декабрь</v>
      </c>
      <c r="L463" s="6">
        <f>IFERROR(__xludf.DUMMYFUNCTION("""COMPUTED_VALUE"""),5.02765439695E11)</f>
        <v>502765439695</v>
      </c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>
        <f>IFERROR(__xludf.DUMMYFUNCTION("""COMPUTED_VALUE"""),2026.0)</f>
        <v>2026</v>
      </c>
      <c r="B464" s="7" t="str">
        <f>IFERROR(__xludf.DUMMYFUNCTION("""COMPUTED_VALUE"""),"1.01-15.01")</f>
        <v>1.01-15.01</v>
      </c>
      <c r="C464" s="8" t="str">
        <f>IFERROR(__xludf.DUMMYFUNCTION("""COMPUTED_VALUE"""),"Рустамов Дониёр Абдукахорович")</f>
        <v>Рустамов Дониёр Абдукахорович</v>
      </c>
      <c r="D464" s="6" t="str">
        <f>IFERROR(__xludf.DUMMYFUNCTION("""COMPUTED_VALUE"""),"79776800074")</f>
        <v>79776800074</v>
      </c>
      <c r="E464" s="9">
        <f>IFERROR(__xludf.DUMMYFUNCTION("""COMPUTED_VALUE"""),54600.0)</f>
        <v>54600</v>
      </c>
      <c r="F464" s="6">
        <f>IFERROR(__xludf.DUMMYFUNCTION("""COMPUTED_VALUE"""),3828.0)</f>
        <v>3828</v>
      </c>
      <c r="G464" s="10">
        <f>IFERROR(__xludf.DUMMYFUNCTION("""COMPUTED_VALUE"""),50772.0)</f>
        <v>50772</v>
      </c>
      <c r="H464" s="6">
        <f>IFERROR(__xludf.DUMMYFUNCTION("""COMPUTED_VALUE"""),355.40399999999994)</f>
        <v>355.404</v>
      </c>
      <c r="I464" s="11">
        <f>IFERROR(__xludf.DUMMYFUNCTION("""COMPUTED_VALUE"""),50416.596)</f>
        <v>50416.596</v>
      </c>
      <c r="J464" s="6" t="str">
        <f>IFERROR(__xludf.DUMMYFUNCTION("""COMPUTED_VALUE"""),"оплатили в QUGO")</f>
        <v>оплатили в QUGO</v>
      </c>
      <c r="K464" s="6" t="str">
        <f>IFERROR(__xludf.DUMMYFUNCTION("""COMPUTED_VALUE"""),"3828 удержано за ОФ ЗП декабрь")</f>
        <v>3828 удержано за ОФ ЗП декабрь</v>
      </c>
      <c r="L464" s="6">
        <f>IFERROR(__xludf.DUMMYFUNCTION("""COMPUTED_VALUE"""),9.7180693062E11)</f>
        <v>971806930620</v>
      </c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>
        <f>IFERROR(__xludf.DUMMYFUNCTION("""COMPUTED_VALUE"""),2026.0)</f>
        <v>2026</v>
      </c>
      <c r="B465" s="7" t="str">
        <f>IFERROR(__xludf.DUMMYFUNCTION("""COMPUTED_VALUE"""),"1.01-15.01")</f>
        <v>1.01-15.01</v>
      </c>
      <c r="C465" s="8" t="str">
        <f>IFERROR(__xludf.DUMMYFUNCTION("""COMPUTED_VALUE"""),"Юсупов Илхомидин Гозиевич")</f>
        <v>Юсупов Илхомидин Гозиевич</v>
      </c>
      <c r="D465" s="6" t="str">
        <f>IFERROR(__xludf.DUMMYFUNCTION("""COMPUTED_VALUE"""),"79162515030")</f>
        <v>79162515030</v>
      </c>
      <c r="E465" s="9">
        <f>IFERROR(__xludf.DUMMYFUNCTION("""COMPUTED_VALUE"""),64500.0)</f>
        <v>64500</v>
      </c>
      <c r="F465" s="6">
        <f>IFERROR(__xludf.DUMMYFUNCTION("""COMPUTED_VALUE"""),3828.0)</f>
        <v>3828</v>
      </c>
      <c r="G465" s="10">
        <f>IFERROR(__xludf.DUMMYFUNCTION("""COMPUTED_VALUE"""),60672.0)</f>
        <v>60672</v>
      </c>
      <c r="H465" s="6">
        <f>IFERROR(__xludf.DUMMYFUNCTION("""COMPUTED_VALUE"""),424.70399999999995)</f>
        <v>424.704</v>
      </c>
      <c r="I465" s="11">
        <f>IFERROR(__xludf.DUMMYFUNCTION("""COMPUTED_VALUE"""),60247.296)</f>
        <v>60247.296</v>
      </c>
      <c r="J465" s="6" t="str">
        <f>IFERROR(__xludf.DUMMYFUNCTION("""COMPUTED_VALUE"""),"оплатили в QUGO")</f>
        <v>оплатили в QUGO</v>
      </c>
      <c r="K465" s="6" t="str">
        <f>IFERROR(__xludf.DUMMYFUNCTION("""COMPUTED_VALUE"""),"3828 удержано за ОФ ЗП декабрь")</f>
        <v>3828 удержано за ОФ ЗП декабрь</v>
      </c>
      <c r="L465" s="6">
        <f>IFERROR(__xludf.DUMMYFUNCTION("""COMPUTED_VALUE"""),7.72418658586E11)</f>
        <v>772418658586</v>
      </c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>
        <f>IFERROR(__xludf.DUMMYFUNCTION("""COMPUTED_VALUE"""),2026.0)</f>
        <v>2026</v>
      </c>
      <c r="B466" s="7" t="str">
        <f>IFERROR(__xludf.DUMMYFUNCTION("""COMPUTED_VALUE"""),"1.01-15.01")</f>
        <v>1.01-15.01</v>
      </c>
      <c r="C466" s="8" t="str">
        <f>IFERROR(__xludf.DUMMYFUNCTION("""COMPUTED_VALUE"""),"Иброхимзода Юсуф")</f>
        <v>Иброхимзода Юсуф</v>
      </c>
      <c r="D466" s="6" t="str">
        <f>IFERROR(__xludf.DUMMYFUNCTION("""COMPUTED_VALUE"""),"79694795092")</f>
        <v>79694795092</v>
      </c>
      <c r="E466" s="9">
        <f>IFERROR(__xludf.DUMMYFUNCTION("""COMPUTED_VALUE"""),55900.0)</f>
        <v>55900</v>
      </c>
      <c r="F466" s="6">
        <f>IFERROR(__xludf.DUMMYFUNCTION("""COMPUTED_VALUE"""),3828.0)</f>
        <v>3828</v>
      </c>
      <c r="G466" s="10">
        <f>IFERROR(__xludf.DUMMYFUNCTION("""COMPUTED_VALUE"""),52072.0)</f>
        <v>52072</v>
      </c>
      <c r="H466" s="6">
        <f>IFERROR(__xludf.DUMMYFUNCTION("""COMPUTED_VALUE"""),364.50399999999996)</f>
        <v>364.504</v>
      </c>
      <c r="I466" s="11">
        <f>IFERROR(__xludf.DUMMYFUNCTION("""COMPUTED_VALUE"""),51707.496)</f>
        <v>51707.496</v>
      </c>
      <c r="J466" s="6" t="str">
        <f>IFERROR(__xludf.DUMMYFUNCTION("""COMPUTED_VALUE"""),"оплатили в QUGO")</f>
        <v>оплатили в QUGO</v>
      </c>
      <c r="K466" s="6" t="str">
        <f>IFERROR(__xludf.DUMMYFUNCTION("""COMPUTED_VALUE"""),"3828 удержано за ОФ ЗП декабрь")</f>
        <v>3828 удержано за ОФ ЗП декабрь</v>
      </c>
      <c r="L466" s="6">
        <f>IFERROR(__xludf.DUMMYFUNCTION("""COMPUTED_VALUE"""),7.72321986304E11)</f>
        <v>772321986304</v>
      </c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>
        <f>IFERROR(__xludf.DUMMYFUNCTION("""COMPUTED_VALUE"""),2026.0)</f>
        <v>2026</v>
      </c>
      <c r="B467" s="7" t="str">
        <f>IFERROR(__xludf.DUMMYFUNCTION("""COMPUTED_VALUE"""),"1.01-15.01")</f>
        <v>1.01-15.01</v>
      </c>
      <c r="C467" s="8" t="str">
        <f>IFERROR(__xludf.DUMMYFUNCTION("""COMPUTED_VALUE"""),"Хаитова Лайло Норбоевна")</f>
        <v>Хаитова Лайло Норбоевна</v>
      </c>
      <c r="D467" s="6" t="str">
        <f>IFERROR(__xludf.DUMMYFUNCTION("""COMPUTED_VALUE"""),"79694748125")</f>
        <v>79694748125</v>
      </c>
      <c r="E467" s="9">
        <f>IFERROR(__xludf.DUMMYFUNCTION("""COMPUTED_VALUE"""),48000.0)</f>
        <v>48000</v>
      </c>
      <c r="F467" s="6"/>
      <c r="G467" s="10">
        <f>IFERROR(__xludf.DUMMYFUNCTION("""COMPUTED_VALUE"""),48000.0)</f>
        <v>48000</v>
      </c>
      <c r="H467" s="6">
        <f>IFERROR(__xludf.DUMMYFUNCTION("""COMPUTED_VALUE"""),335.99999999999994)</f>
        <v>336</v>
      </c>
      <c r="I467" s="11">
        <f>IFERROR(__xludf.DUMMYFUNCTION("""COMPUTED_VALUE"""),47664.0)</f>
        <v>47664</v>
      </c>
      <c r="J467" s="6" t="str">
        <f>IFERROR(__xludf.DUMMYFUNCTION("""COMPUTED_VALUE"""),"оплатили в QUGO")</f>
        <v>оплатили в QUGO</v>
      </c>
      <c r="K467" s="6"/>
      <c r="L467" s="6">
        <f>IFERROR(__xludf.DUMMYFUNCTION("""COMPUTED_VALUE"""),7.71778280523E11)</f>
        <v>771778280523</v>
      </c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>
        <f>IFERROR(__xludf.DUMMYFUNCTION("""COMPUTED_VALUE"""),2026.0)</f>
        <v>2026</v>
      </c>
      <c r="B468" s="7" t="str">
        <f>IFERROR(__xludf.DUMMYFUNCTION("""COMPUTED_VALUE"""),"1.01-15.01")</f>
        <v>1.01-15.01</v>
      </c>
      <c r="C468" s="8" t="str">
        <f>IFERROR(__xludf.DUMMYFUNCTION("""COMPUTED_VALUE"""),"Солиев Алимардон Акбаралиевич")</f>
        <v>Солиев Алимардон Акбаралиевич</v>
      </c>
      <c r="D468" s="6" t="str">
        <f>IFERROR(__xludf.DUMMYFUNCTION("""COMPUTED_VALUE"""),"79161154264")</f>
        <v>79161154264</v>
      </c>
      <c r="E468" s="9">
        <f>IFERROR(__xludf.DUMMYFUNCTION("""COMPUTED_VALUE"""),67500.0)</f>
        <v>67500</v>
      </c>
      <c r="F468" s="6">
        <f>IFERROR(__xludf.DUMMYFUNCTION("""COMPUTED_VALUE"""),3654.0)</f>
        <v>3654</v>
      </c>
      <c r="G468" s="10">
        <f>IFERROR(__xludf.DUMMYFUNCTION("""COMPUTED_VALUE"""),63846.0)</f>
        <v>63846</v>
      </c>
      <c r="H468" s="6">
        <f>IFERROR(__xludf.DUMMYFUNCTION("""COMPUTED_VALUE"""),446.92199999999997)</f>
        <v>446.922</v>
      </c>
      <c r="I468" s="11">
        <f>IFERROR(__xludf.DUMMYFUNCTION("""COMPUTED_VALUE"""),63399.078)</f>
        <v>63399.078</v>
      </c>
      <c r="J468" s="6" t="str">
        <f>IFERROR(__xludf.DUMMYFUNCTION("""COMPUTED_VALUE"""),"оплатили в QUGO")</f>
        <v>оплатили в QUGO</v>
      </c>
      <c r="K468" s="6" t="str">
        <f>IFERROR(__xludf.DUMMYFUNCTION("""COMPUTED_VALUE"""),"3654 удержано за ОФ ЗП декабрь")</f>
        <v>3654 удержано за ОФ ЗП декабрь</v>
      </c>
      <c r="L468" s="6">
        <f>IFERROR(__xludf.DUMMYFUNCTION("""COMPUTED_VALUE"""),4.02818158835E11)</f>
        <v>402818158835</v>
      </c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>
        <f>IFERROR(__xludf.DUMMYFUNCTION("""COMPUTED_VALUE"""),2026.0)</f>
        <v>2026</v>
      </c>
      <c r="B469" s="7" t="str">
        <f>IFERROR(__xludf.DUMMYFUNCTION("""COMPUTED_VALUE"""),"1.01-15.01")</f>
        <v>1.01-15.01</v>
      </c>
      <c r="C469" s="8" t="str">
        <f>IFERROR(__xludf.DUMMYFUNCTION("""COMPUTED_VALUE"""),"Нуруллаев Нодирбек ")</f>
        <v>Нуруллаев Нодирбек </v>
      </c>
      <c r="D469" s="6" t="str">
        <f>IFERROR(__xludf.DUMMYFUNCTION("""COMPUTED_VALUE"""),"79801360139")</f>
        <v>79801360139</v>
      </c>
      <c r="E469" s="9">
        <f>IFERROR(__xludf.DUMMYFUNCTION("""COMPUTED_VALUE"""),44400.0)</f>
        <v>44400</v>
      </c>
      <c r="F469" s="6"/>
      <c r="G469" s="10">
        <f>IFERROR(__xludf.DUMMYFUNCTION("""COMPUTED_VALUE"""),44400.0)</f>
        <v>44400</v>
      </c>
      <c r="H469" s="6">
        <f>IFERROR(__xludf.DUMMYFUNCTION("""COMPUTED_VALUE"""),310.79999999999995)</f>
        <v>310.8</v>
      </c>
      <c r="I469" s="11">
        <f>IFERROR(__xludf.DUMMYFUNCTION("""COMPUTED_VALUE"""),44089.2)</f>
        <v>44089.2</v>
      </c>
      <c r="J469" s="6" t="str">
        <f>IFERROR(__xludf.DUMMYFUNCTION("""COMPUTED_VALUE"""),"оплатили в QUGO")</f>
        <v>оплатили в QUGO</v>
      </c>
      <c r="K469" s="6"/>
      <c r="L469" s="6">
        <f>IFERROR(__xludf.DUMMYFUNCTION("""COMPUTED_VALUE"""),7.7518750507E11)</f>
        <v>775187505070</v>
      </c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>
        <f>IFERROR(__xludf.DUMMYFUNCTION("""COMPUTED_VALUE"""),2026.0)</f>
        <v>2026</v>
      </c>
      <c r="B470" s="7" t="str">
        <f>IFERROR(__xludf.DUMMYFUNCTION("""COMPUTED_VALUE"""),"1.01-15.01")</f>
        <v>1.01-15.01</v>
      </c>
      <c r="C470" s="8" t="str">
        <f>IFERROR(__xludf.DUMMYFUNCTION("""COMPUTED_VALUE"""),"Жураев Бахриддин Фахриддинович")</f>
        <v>Жураев Бахриддин Фахриддинович</v>
      </c>
      <c r="D470" s="6" t="str">
        <f>IFERROR(__xludf.DUMMYFUNCTION("""COMPUTED_VALUE"""),"79260684763")</f>
        <v>79260684763</v>
      </c>
      <c r="E470" s="9">
        <f>IFERROR(__xludf.DUMMYFUNCTION("""COMPUTED_VALUE"""),57000.0)</f>
        <v>57000</v>
      </c>
      <c r="F470" s="6">
        <f>IFERROR(__xludf.DUMMYFUNCTION("""COMPUTED_VALUE"""),3828.0)</f>
        <v>3828</v>
      </c>
      <c r="G470" s="10">
        <f>IFERROR(__xludf.DUMMYFUNCTION("""COMPUTED_VALUE"""),53172.0)</f>
        <v>53172</v>
      </c>
      <c r="H470" s="6">
        <f>IFERROR(__xludf.DUMMYFUNCTION("""COMPUTED_VALUE"""),372.20399999999995)</f>
        <v>372.204</v>
      </c>
      <c r="I470" s="11">
        <f>IFERROR(__xludf.DUMMYFUNCTION("""COMPUTED_VALUE"""),52799.796)</f>
        <v>52799.796</v>
      </c>
      <c r="J470" s="6" t="str">
        <f>IFERROR(__xludf.DUMMYFUNCTION("""COMPUTED_VALUE"""),"оплатили в QUGO")</f>
        <v>оплатили в QUGO</v>
      </c>
      <c r="K470" s="6" t="str">
        <f>IFERROR(__xludf.DUMMYFUNCTION("""COMPUTED_VALUE"""),"3828 удержано за ОФ ЗП декабрь")</f>
        <v>3828 удержано за ОФ ЗП декабрь</v>
      </c>
      <c r="L470" s="6">
        <f>IFERROR(__xludf.DUMMYFUNCTION("""COMPUTED_VALUE"""),7.75182197834E11)</f>
        <v>775182197834</v>
      </c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>
        <f>IFERROR(__xludf.DUMMYFUNCTION("""COMPUTED_VALUE"""),2026.0)</f>
        <v>2026</v>
      </c>
      <c r="B471" s="7" t="str">
        <f>IFERROR(__xludf.DUMMYFUNCTION("""COMPUTED_VALUE"""),"1.01-15.01")</f>
        <v>1.01-15.01</v>
      </c>
      <c r="C471" s="8" t="str">
        <f>IFERROR(__xludf.DUMMYFUNCTION("""COMPUTED_VALUE"""),"Мажитова Диляфруз Юлдашевна")</f>
        <v>Мажитова Диляфруз Юлдашевна</v>
      </c>
      <c r="D471" s="6" t="str">
        <f>IFERROR(__xludf.DUMMYFUNCTION("""COMPUTED_VALUE"""),"79031479284")</f>
        <v>79031479284</v>
      </c>
      <c r="E471" s="9">
        <f>IFERROR(__xludf.DUMMYFUNCTION("""COMPUTED_VALUE"""),36267.0)</f>
        <v>36267</v>
      </c>
      <c r="F471" s="6">
        <f>IFERROR(__xludf.DUMMYFUNCTION("""COMPUTED_VALUE"""),3654.0)</f>
        <v>3654</v>
      </c>
      <c r="G471" s="10">
        <f>IFERROR(__xludf.DUMMYFUNCTION("""COMPUTED_VALUE"""),32613.0)</f>
        <v>32613</v>
      </c>
      <c r="H471" s="6">
        <f>IFERROR(__xludf.DUMMYFUNCTION("""COMPUTED_VALUE"""),228.29099999999997)</f>
        <v>228.291</v>
      </c>
      <c r="I471" s="11">
        <f>IFERROR(__xludf.DUMMYFUNCTION("""COMPUTED_VALUE"""),32384.709)</f>
        <v>32384.709</v>
      </c>
      <c r="J471" s="6" t="str">
        <f>IFERROR(__xludf.DUMMYFUNCTION("""COMPUTED_VALUE"""),"оплатили в QUGO")</f>
        <v>оплатили в QUGO</v>
      </c>
      <c r="K471" s="6" t="str">
        <f>IFERROR(__xludf.DUMMYFUNCTION("""COMPUTED_VALUE"""),"3654 удержано за ОФ ЗП декабрь")</f>
        <v>3654 удержано за ОФ ЗП декабрь</v>
      </c>
      <c r="L471" s="6">
        <f>IFERROR(__xludf.DUMMYFUNCTION("""COMPUTED_VALUE"""),5.02776500895E11)</f>
        <v>502776500895</v>
      </c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>
        <f>IFERROR(__xludf.DUMMYFUNCTION("""COMPUTED_VALUE"""),2026.0)</f>
        <v>2026</v>
      </c>
      <c r="B472" s="7" t="str">
        <f>IFERROR(__xludf.DUMMYFUNCTION("""COMPUTED_VALUE"""),"1.01-15.01")</f>
        <v>1.01-15.01</v>
      </c>
      <c r="C472" s="8" t="str">
        <f>IFERROR(__xludf.DUMMYFUNCTION("""COMPUTED_VALUE"""),"Тожиева Наргиза Аминова")</f>
        <v>Тожиева Наргиза Аминова</v>
      </c>
      <c r="D472" s="6" t="str">
        <f>IFERROR(__xludf.DUMMYFUNCTION("""COMPUTED_VALUE"""),"79856292007")</f>
        <v>79856292007</v>
      </c>
      <c r="E472" s="9">
        <f>IFERROR(__xludf.DUMMYFUNCTION("""COMPUTED_VALUE"""),31900.0)</f>
        <v>31900</v>
      </c>
      <c r="F472" s="6">
        <f>IFERROR(__xludf.DUMMYFUNCTION("""COMPUTED_VALUE"""),3654.0)</f>
        <v>3654</v>
      </c>
      <c r="G472" s="10">
        <f>IFERROR(__xludf.DUMMYFUNCTION("""COMPUTED_VALUE"""),28246.0)</f>
        <v>28246</v>
      </c>
      <c r="H472" s="6">
        <f>IFERROR(__xludf.DUMMYFUNCTION("""COMPUTED_VALUE"""),197.72199999999998)</f>
        <v>197.722</v>
      </c>
      <c r="I472" s="11">
        <f>IFERROR(__xludf.DUMMYFUNCTION("""COMPUTED_VALUE"""),28048.278)</f>
        <v>28048.278</v>
      </c>
      <c r="J472" s="6" t="str">
        <f>IFERROR(__xludf.DUMMYFUNCTION("""COMPUTED_VALUE"""),"оплатили в QUGO")</f>
        <v>оплатили в QUGO</v>
      </c>
      <c r="K472" s="6" t="str">
        <f>IFERROR(__xludf.DUMMYFUNCTION("""COMPUTED_VALUE"""),"3654 удержано за ОФ ЗП декабрь")</f>
        <v>3654 удержано за ОФ ЗП декабрь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>
        <f>IFERROR(__xludf.DUMMYFUNCTION("""COMPUTED_VALUE"""),2026.0)</f>
        <v>2026</v>
      </c>
      <c r="B473" s="7" t="str">
        <f>IFERROR(__xludf.DUMMYFUNCTION("""COMPUTED_VALUE"""),"1.01-15.01")</f>
        <v>1.01-15.01</v>
      </c>
      <c r="C473" s="8" t="str">
        <f>IFERROR(__xludf.DUMMYFUNCTION("""COMPUTED_VALUE"""),"Курбонова Гулжахон Абдуразоковна")</f>
        <v>Курбонова Гулжахон Абдуразоковна</v>
      </c>
      <c r="D473" s="6" t="str">
        <f>IFERROR(__xludf.DUMMYFUNCTION("""COMPUTED_VALUE"""),"79255103455")</f>
        <v>79255103455</v>
      </c>
      <c r="E473" s="9">
        <f>IFERROR(__xludf.DUMMYFUNCTION("""COMPUTED_VALUE"""),60000.0)</f>
        <v>60000</v>
      </c>
      <c r="F473" s="6">
        <f>IFERROR(__xludf.DUMMYFUNCTION("""COMPUTED_VALUE"""),3828.0)</f>
        <v>3828</v>
      </c>
      <c r="G473" s="10">
        <f>IFERROR(__xludf.DUMMYFUNCTION("""COMPUTED_VALUE"""),56172.0)</f>
        <v>56172</v>
      </c>
      <c r="H473" s="6">
        <f>IFERROR(__xludf.DUMMYFUNCTION("""COMPUTED_VALUE"""),393.20399999999995)</f>
        <v>393.204</v>
      </c>
      <c r="I473" s="11">
        <f>IFERROR(__xludf.DUMMYFUNCTION("""COMPUTED_VALUE"""),55778.796)</f>
        <v>55778.796</v>
      </c>
      <c r="J473" s="6" t="str">
        <f>IFERROR(__xludf.DUMMYFUNCTION("""COMPUTED_VALUE"""),"оплатили в QUGO")</f>
        <v>оплатили в QUGO</v>
      </c>
      <c r="K473" s="6" t="str">
        <f>IFERROR(__xludf.DUMMYFUNCTION("""COMPUTED_VALUE"""),"3828 удержано за ОФ ЗП декабрь")</f>
        <v>3828 удержано за ОФ ЗП декабрь</v>
      </c>
      <c r="L473" s="6">
        <f>IFERROR(__xludf.DUMMYFUNCTION("""COMPUTED_VALUE"""),7.75151914986E11)</f>
        <v>775151914986</v>
      </c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>
        <f>IFERROR(__xludf.DUMMYFUNCTION("""COMPUTED_VALUE"""),2026.0)</f>
        <v>2026</v>
      </c>
      <c r="B474" s="7" t="str">
        <f>IFERROR(__xludf.DUMMYFUNCTION("""COMPUTED_VALUE"""),"1.01-15.01")</f>
        <v>1.01-15.01</v>
      </c>
      <c r="C474" s="8" t="str">
        <f>IFERROR(__xludf.DUMMYFUNCTION("""COMPUTED_VALUE"""),"Вахобов Мехроджиддин Махмадович")</f>
        <v>Вахобов Мехроджиддин Махмадович</v>
      </c>
      <c r="D474" s="6" t="str">
        <f>IFERROR(__xludf.DUMMYFUNCTION("""COMPUTED_VALUE"""),"79969262030")</f>
        <v>79969262030</v>
      </c>
      <c r="E474" s="9">
        <f>IFERROR(__xludf.DUMMYFUNCTION("""COMPUTED_VALUE"""),62900.0)</f>
        <v>62900</v>
      </c>
      <c r="F474" s="6">
        <f>IFERROR(__xludf.DUMMYFUNCTION("""COMPUTED_VALUE"""),3741.0)</f>
        <v>3741</v>
      </c>
      <c r="G474" s="10">
        <f>IFERROR(__xludf.DUMMYFUNCTION("""COMPUTED_VALUE"""),59159.0)</f>
        <v>59159</v>
      </c>
      <c r="H474" s="6">
        <f>IFERROR(__xludf.DUMMYFUNCTION("""COMPUTED_VALUE"""),414.11299999999994)</f>
        <v>414.113</v>
      </c>
      <c r="I474" s="11">
        <f>IFERROR(__xludf.DUMMYFUNCTION("""COMPUTED_VALUE"""),58744.887)</f>
        <v>58744.887</v>
      </c>
      <c r="J474" s="6" t="str">
        <f>IFERROR(__xludf.DUMMYFUNCTION("""COMPUTED_VALUE"""),"оплатили в QUGO")</f>
        <v>оплатили в QUGO</v>
      </c>
      <c r="K474" s="6" t="str">
        <f>IFERROR(__xludf.DUMMYFUNCTION("""COMPUTED_VALUE"""),"3741 удержано за ОФ ЗП декабрь")</f>
        <v>3741 удержано за ОФ ЗП декабрь</v>
      </c>
      <c r="L474" s="6">
        <f>IFERROR(__xludf.DUMMYFUNCTION("""COMPUTED_VALUE"""),7.60419142561E11)</f>
        <v>760419142561</v>
      </c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>
        <f>IFERROR(__xludf.DUMMYFUNCTION("""COMPUTED_VALUE"""),2026.0)</f>
        <v>2026</v>
      </c>
      <c r="B475" s="7" t="str">
        <f>IFERROR(__xludf.DUMMYFUNCTION("""COMPUTED_VALUE"""),"1.01-15.01")</f>
        <v>1.01-15.01</v>
      </c>
      <c r="C475" s="8" t="str">
        <f>IFERROR(__xludf.DUMMYFUNCTION("""COMPUTED_VALUE"""),"Мухаммаджонов Акмалджон Аюбович")</f>
        <v>Мухаммаджонов Акмалджон Аюбович</v>
      </c>
      <c r="D475" s="6" t="str">
        <f>IFERROR(__xludf.DUMMYFUNCTION("""COMPUTED_VALUE"""),"79955553419")</f>
        <v>79955553419</v>
      </c>
      <c r="E475" s="9">
        <f>IFERROR(__xludf.DUMMYFUNCTION("""COMPUTED_VALUE"""),38000.0)</f>
        <v>38000</v>
      </c>
      <c r="F475" s="6">
        <f>IFERROR(__xludf.DUMMYFUNCTION("""COMPUTED_VALUE"""),3828.0)</f>
        <v>3828</v>
      </c>
      <c r="G475" s="10">
        <f>IFERROR(__xludf.DUMMYFUNCTION("""COMPUTED_VALUE"""),34172.0)</f>
        <v>34172</v>
      </c>
      <c r="H475" s="6">
        <f>IFERROR(__xludf.DUMMYFUNCTION("""COMPUTED_VALUE"""),239.20399999999998)</f>
        <v>239.204</v>
      </c>
      <c r="I475" s="11">
        <f>IFERROR(__xludf.DUMMYFUNCTION("""COMPUTED_VALUE"""),33932.796)</f>
        <v>33932.796</v>
      </c>
      <c r="J475" s="6" t="str">
        <f>IFERROR(__xludf.DUMMYFUNCTION("""COMPUTED_VALUE"""),"оплатили в QUGO")</f>
        <v>оплатили в QUGO</v>
      </c>
      <c r="K475" s="6" t="str">
        <f>IFERROR(__xludf.DUMMYFUNCTION("""COMPUTED_VALUE"""),"3828 удержано за ОФ ЗП декабрь")</f>
        <v>3828 удержано за ОФ ЗП декабрь</v>
      </c>
      <c r="L475" s="6">
        <f>IFERROR(__xludf.DUMMYFUNCTION("""COMPUTED_VALUE"""),9.7151845056E11)</f>
        <v>971518450560</v>
      </c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>
        <f>IFERROR(__xludf.DUMMYFUNCTION("""COMPUTED_VALUE"""),2026.0)</f>
        <v>2026</v>
      </c>
      <c r="B476" s="7" t="str">
        <f>IFERROR(__xludf.DUMMYFUNCTION("""COMPUTED_VALUE"""),"1.01-15.01")</f>
        <v>1.01-15.01</v>
      </c>
      <c r="C476" s="8" t="str">
        <f>IFERROR(__xludf.DUMMYFUNCTION("""COMPUTED_VALUE"""),"Турдибекова Мухайё Уктамовна")</f>
        <v>Турдибекова Мухайё Уктамовна</v>
      </c>
      <c r="D476" s="6" t="str">
        <f>IFERROR(__xludf.DUMMYFUNCTION("""COMPUTED_VALUE"""),"79966796423")</f>
        <v>79966796423</v>
      </c>
      <c r="E476" s="9">
        <f>IFERROR(__xludf.DUMMYFUNCTION("""COMPUTED_VALUE"""),48100.0)</f>
        <v>48100</v>
      </c>
      <c r="F476" s="6">
        <f>IFERROR(__xludf.DUMMYFUNCTION("""COMPUTED_VALUE"""),3654.0)</f>
        <v>3654</v>
      </c>
      <c r="G476" s="10">
        <f>IFERROR(__xludf.DUMMYFUNCTION("""COMPUTED_VALUE"""),44446.0)</f>
        <v>44446</v>
      </c>
      <c r="H476" s="6">
        <f>IFERROR(__xludf.DUMMYFUNCTION("""COMPUTED_VALUE"""),311.12199999999996)</f>
        <v>311.122</v>
      </c>
      <c r="I476" s="11">
        <f>IFERROR(__xludf.DUMMYFUNCTION("""COMPUTED_VALUE"""),44134.878)</f>
        <v>44134.878</v>
      </c>
      <c r="J476" s="6" t="str">
        <f>IFERROR(__xludf.DUMMYFUNCTION("""COMPUTED_VALUE"""),"оплатили в QUGO")</f>
        <v>оплатили в QUGO</v>
      </c>
      <c r="K476" s="6" t="str">
        <f>IFERROR(__xludf.DUMMYFUNCTION("""COMPUTED_VALUE"""),"3654 удержано за ОФ ЗП декабрь")</f>
        <v>3654 удержано за ОФ ЗП декабрь</v>
      </c>
      <c r="L476" s="6">
        <f>IFERROR(__xludf.DUMMYFUNCTION("""COMPUTED_VALUE"""),5.02777123914E11)</f>
        <v>502777123914</v>
      </c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>
        <f>IFERROR(__xludf.DUMMYFUNCTION("""COMPUTED_VALUE"""),2026.0)</f>
        <v>2026</v>
      </c>
      <c r="B477" s="7" t="str">
        <f>IFERROR(__xludf.DUMMYFUNCTION("""COMPUTED_VALUE"""),"1.01-15.01")</f>
        <v>1.01-15.01</v>
      </c>
      <c r="C477" s="8" t="str">
        <f>IFERROR(__xludf.DUMMYFUNCTION("""COMPUTED_VALUE"""),"Шерназаров Зариф Акбарали Угли")</f>
        <v>Шерназаров Зариф Акбарали Угли</v>
      </c>
      <c r="D477" s="6" t="str">
        <f>IFERROR(__xludf.DUMMYFUNCTION("""COMPUTED_VALUE"""),"79336677836")</f>
        <v>79336677836</v>
      </c>
      <c r="E477" s="9">
        <f>IFERROR(__xludf.DUMMYFUNCTION("""COMPUTED_VALUE"""),53000.0)</f>
        <v>53000</v>
      </c>
      <c r="F477" s="6">
        <f>IFERROR(__xludf.DUMMYFUNCTION("""COMPUTED_VALUE"""),3741.0)</f>
        <v>3741</v>
      </c>
      <c r="G477" s="10">
        <f>IFERROR(__xludf.DUMMYFUNCTION("""COMPUTED_VALUE"""),49259.0)</f>
        <v>49259</v>
      </c>
      <c r="H477" s="6">
        <f>IFERROR(__xludf.DUMMYFUNCTION("""COMPUTED_VALUE"""),344.813)</f>
        <v>344.813</v>
      </c>
      <c r="I477" s="11">
        <f>IFERROR(__xludf.DUMMYFUNCTION("""COMPUTED_VALUE"""),48914.187)</f>
        <v>48914.187</v>
      </c>
      <c r="J477" s="6" t="str">
        <f>IFERROR(__xludf.DUMMYFUNCTION("""COMPUTED_VALUE"""),"оплатили в QUGO")</f>
        <v>оплатили в QUGO</v>
      </c>
      <c r="K477" s="6" t="str">
        <f>IFERROR(__xludf.DUMMYFUNCTION("""COMPUTED_VALUE"""),"3741 удержано за ОФ ЗП декабрь")</f>
        <v>3741 удержано за ОФ ЗП декабрь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>
        <f>IFERROR(__xludf.DUMMYFUNCTION("""COMPUTED_VALUE"""),2026.0)</f>
        <v>2026</v>
      </c>
      <c r="B478" s="7" t="str">
        <f>IFERROR(__xludf.DUMMYFUNCTION("""COMPUTED_VALUE"""),"1.01-15.01")</f>
        <v>1.01-15.01</v>
      </c>
      <c r="C478" s="8" t="str">
        <f>IFERROR(__xludf.DUMMYFUNCTION("""COMPUTED_VALUE"""),"Дусматов Равшан Алишерович")</f>
        <v>Дусматов Равшан Алишерович</v>
      </c>
      <c r="D478" s="6" t="str">
        <f>IFERROR(__xludf.DUMMYFUNCTION("""COMPUTED_VALUE"""),"79254088185")</f>
        <v>79254088185</v>
      </c>
      <c r="E478" s="9">
        <f>IFERROR(__xludf.DUMMYFUNCTION("""COMPUTED_VALUE"""),63000.0)</f>
        <v>63000</v>
      </c>
      <c r="F478" s="6">
        <f>IFERROR(__xludf.DUMMYFUNCTION("""COMPUTED_VALUE"""),3654.0)</f>
        <v>3654</v>
      </c>
      <c r="G478" s="10">
        <f>IFERROR(__xludf.DUMMYFUNCTION("""COMPUTED_VALUE"""),59346.0)</f>
        <v>59346</v>
      </c>
      <c r="H478" s="6">
        <f>IFERROR(__xludf.DUMMYFUNCTION("""COMPUTED_VALUE"""),415.42199999999997)</f>
        <v>415.422</v>
      </c>
      <c r="I478" s="11">
        <f>IFERROR(__xludf.DUMMYFUNCTION("""COMPUTED_VALUE"""),58930.578)</f>
        <v>58930.578</v>
      </c>
      <c r="J478" s="6" t="str">
        <f>IFERROR(__xludf.DUMMYFUNCTION("""COMPUTED_VALUE"""),"оплатили в QUGO")</f>
        <v>оплатили в QUGO</v>
      </c>
      <c r="K478" s="6" t="str">
        <f>IFERROR(__xludf.DUMMYFUNCTION("""COMPUTED_VALUE"""),"3654 удержано за ОФ ЗП декабрь")</f>
        <v>3654 удержано за ОФ ЗП декабрь</v>
      </c>
      <c r="L478" s="6">
        <f>IFERROR(__xludf.DUMMYFUNCTION("""COMPUTED_VALUE"""),7.71689013702E11)</f>
        <v>771689013702</v>
      </c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>
        <f>IFERROR(__xludf.DUMMYFUNCTION("""COMPUTED_VALUE"""),2026.0)</f>
        <v>2026</v>
      </c>
      <c r="B479" s="7" t="str">
        <f>IFERROR(__xludf.DUMMYFUNCTION("""COMPUTED_VALUE"""),"1.01-15.01")</f>
        <v>1.01-15.01</v>
      </c>
      <c r="C479" s="8" t="str">
        <f>IFERROR(__xludf.DUMMYFUNCTION("""COMPUTED_VALUE"""),"Дусматова Зулола Агзамовна")</f>
        <v>Дусматова Зулола Агзамовна</v>
      </c>
      <c r="D479" s="6" t="str">
        <f>IFERROR(__xludf.DUMMYFUNCTION("""COMPUTED_VALUE"""),"79997675838")</f>
        <v>79997675838</v>
      </c>
      <c r="E479" s="9">
        <f>IFERROR(__xludf.DUMMYFUNCTION("""COMPUTED_VALUE"""),52000.0)</f>
        <v>52000</v>
      </c>
      <c r="F479" s="6">
        <f>IFERROR(__xludf.DUMMYFUNCTION("""COMPUTED_VALUE"""),3915.0)</f>
        <v>3915</v>
      </c>
      <c r="G479" s="10">
        <f>IFERROR(__xludf.DUMMYFUNCTION("""COMPUTED_VALUE"""),48085.0)</f>
        <v>48085</v>
      </c>
      <c r="H479" s="6">
        <f>IFERROR(__xludf.DUMMYFUNCTION("""COMPUTED_VALUE"""),336.59499999999997)</f>
        <v>336.595</v>
      </c>
      <c r="I479" s="11">
        <f>IFERROR(__xludf.DUMMYFUNCTION("""COMPUTED_VALUE"""),47748.405)</f>
        <v>47748.405</v>
      </c>
      <c r="J479" s="6" t="str">
        <f>IFERROR(__xludf.DUMMYFUNCTION("""COMPUTED_VALUE"""),"оплатили в QUGO")</f>
        <v>оплатили в QUGO</v>
      </c>
      <c r="K479" s="6" t="str">
        <f>IFERROR(__xludf.DUMMYFUNCTION("""COMPUTED_VALUE"""),"3915 удержано за ОФ ЗП декабрь")</f>
        <v>3915 удержано за ОФ ЗП декабрь</v>
      </c>
      <c r="L479" s="6">
        <f>IFERROR(__xludf.DUMMYFUNCTION("""COMPUTED_VALUE"""),7.7148705793E11)</f>
        <v>771487057930</v>
      </c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>
        <f>IFERROR(__xludf.DUMMYFUNCTION("""COMPUTED_VALUE"""),2026.0)</f>
        <v>2026</v>
      </c>
      <c r="B480" s="7" t="str">
        <f>IFERROR(__xludf.DUMMYFUNCTION("""COMPUTED_VALUE"""),"1.01-15.01")</f>
        <v>1.01-15.01</v>
      </c>
      <c r="C480" s="8" t="str">
        <f>IFERROR(__xludf.DUMMYFUNCTION("""COMPUTED_VALUE"""),"Анорбоев Шахзод Тулгин Угли")</f>
        <v>Анорбоев Шахзод Тулгин Угли</v>
      </c>
      <c r="D480" s="6" t="str">
        <f>IFERROR(__xludf.DUMMYFUNCTION("""COMPUTED_VALUE"""),"79777470317")</f>
        <v>79777470317</v>
      </c>
      <c r="E480" s="9">
        <f>IFERROR(__xludf.DUMMYFUNCTION("""COMPUTED_VALUE"""),53300.0)</f>
        <v>53300</v>
      </c>
      <c r="F480" s="6">
        <f>IFERROR(__xludf.DUMMYFUNCTION("""COMPUTED_VALUE"""),3567.0)</f>
        <v>3567</v>
      </c>
      <c r="G480" s="10">
        <f>IFERROR(__xludf.DUMMYFUNCTION("""COMPUTED_VALUE"""),49733.0)</f>
        <v>49733</v>
      </c>
      <c r="H480" s="6">
        <f>IFERROR(__xludf.DUMMYFUNCTION("""COMPUTED_VALUE"""),348.131)</f>
        <v>348.131</v>
      </c>
      <c r="I480" s="11">
        <f>IFERROR(__xludf.DUMMYFUNCTION("""COMPUTED_VALUE"""),49384.869)</f>
        <v>49384.869</v>
      </c>
      <c r="J480" s="6" t="str">
        <f>IFERROR(__xludf.DUMMYFUNCTION("""COMPUTED_VALUE"""),"оплатили в QUGO")</f>
        <v>оплатили в QUGO</v>
      </c>
      <c r="K480" s="6" t="str">
        <f>IFERROR(__xludf.DUMMYFUNCTION("""COMPUTED_VALUE"""),"3567 удержано за ОФ ЗП декабрь")</f>
        <v>3567 удержано за ОФ ЗП декабрь</v>
      </c>
      <c r="L480" s="6">
        <f>IFERROR(__xludf.DUMMYFUNCTION("""COMPUTED_VALUE"""),3.43537688905E11)</f>
        <v>343537688905</v>
      </c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>
        <f>IFERROR(__xludf.DUMMYFUNCTION("""COMPUTED_VALUE"""),2026.0)</f>
        <v>2026</v>
      </c>
      <c r="B481" s="7" t="str">
        <f>IFERROR(__xludf.DUMMYFUNCTION("""COMPUTED_VALUE"""),"1.01-15.01")</f>
        <v>1.01-15.01</v>
      </c>
      <c r="C481" s="8" t="str">
        <f>IFERROR(__xludf.DUMMYFUNCTION("""COMPUTED_VALUE"""),"Анорбоев Учкун")</f>
        <v>Анорбоев Учкун</v>
      </c>
      <c r="D481" s="6" t="str">
        <f>IFERROR(__xludf.DUMMYFUNCTION("""COMPUTED_VALUE"""),"79035193511")</f>
        <v>79035193511</v>
      </c>
      <c r="E481" s="9">
        <f>IFERROR(__xludf.DUMMYFUNCTION("""COMPUTED_VALUE"""),53300.0)</f>
        <v>53300</v>
      </c>
      <c r="F481" s="6"/>
      <c r="G481" s="10">
        <f>IFERROR(__xludf.DUMMYFUNCTION("""COMPUTED_VALUE"""),53300.0)</f>
        <v>53300</v>
      </c>
      <c r="H481" s="6">
        <f>IFERROR(__xludf.DUMMYFUNCTION("""COMPUTED_VALUE"""),373.09999999999997)</f>
        <v>373.1</v>
      </c>
      <c r="I481" s="11">
        <f>IFERROR(__xludf.DUMMYFUNCTION("""COMPUTED_VALUE"""),52926.9)</f>
        <v>52926.9</v>
      </c>
      <c r="J481" s="6" t="str">
        <f>IFERROR(__xludf.DUMMYFUNCTION("""COMPUTED_VALUE"""),"оплатили в QUGO")</f>
        <v>оплатили в QUGO</v>
      </c>
      <c r="K481" s="6"/>
      <c r="L481" s="6">
        <f>IFERROR(__xludf.DUMMYFUNCTION("""COMPUTED_VALUE"""),7.75160172385E11)</f>
        <v>775160172385</v>
      </c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>
        <f>IFERROR(__xludf.DUMMYFUNCTION("""COMPUTED_VALUE"""),2026.0)</f>
        <v>2026</v>
      </c>
      <c r="B482" s="7" t="str">
        <f>IFERROR(__xludf.DUMMYFUNCTION("""COMPUTED_VALUE"""),"1.01-15.01")</f>
        <v>1.01-15.01</v>
      </c>
      <c r="C482" s="8" t="str">
        <f>IFERROR(__xludf.DUMMYFUNCTION("""COMPUTED_VALUE"""),"Курбанова Саломат Амиркуловна")</f>
        <v>Курбанова Саломат Амиркуловна</v>
      </c>
      <c r="D482" s="6" t="str">
        <f>IFERROR(__xludf.DUMMYFUNCTION("""COMPUTED_VALUE"""),"79252580102")</f>
        <v>79252580102</v>
      </c>
      <c r="E482" s="9">
        <f>IFERROR(__xludf.DUMMYFUNCTION("""COMPUTED_VALUE"""),55500.0)</f>
        <v>55500</v>
      </c>
      <c r="F482" s="6">
        <f>IFERROR(__xludf.DUMMYFUNCTION("""COMPUTED_VALUE"""),3915.0)</f>
        <v>3915</v>
      </c>
      <c r="G482" s="10">
        <f>IFERROR(__xludf.DUMMYFUNCTION("""COMPUTED_VALUE"""),51585.0)</f>
        <v>51585</v>
      </c>
      <c r="H482" s="6">
        <f>IFERROR(__xludf.DUMMYFUNCTION("""COMPUTED_VALUE"""),361.09499999999997)</f>
        <v>361.095</v>
      </c>
      <c r="I482" s="11">
        <f>IFERROR(__xludf.DUMMYFUNCTION("""COMPUTED_VALUE"""),51223.905)</f>
        <v>51223.905</v>
      </c>
      <c r="J482" s="6" t="str">
        <f>IFERROR(__xludf.DUMMYFUNCTION("""COMPUTED_VALUE"""),"оплатили в QUGO")</f>
        <v>оплатили в QUGO</v>
      </c>
      <c r="K482" s="6" t="str">
        <f>IFERROR(__xludf.DUMMYFUNCTION("""COMPUTED_VALUE"""),"3915 удержано за ОФ ЗП декабрь")</f>
        <v>3915 удержано за ОФ ЗП декабрь</v>
      </c>
      <c r="L482" s="6">
        <f>IFERROR(__xludf.DUMMYFUNCTION("""COMPUTED_VALUE"""),7.743424938E11)</f>
        <v>774342493800</v>
      </c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>
        <f>IFERROR(__xludf.DUMMYFUNCTION("""COMPUTED_VALUE"""),2026.0)</f>
        <v>2026</v>
      </c>
      <c r="B483" s="7" t="str">
        <f>IFERROR(__xludf.DUMMYFUNCTION("""COMPUTED_VALUE"""),"1.01-15.01")</f>
        <v>1.01-15.01</v>
      </c>
      <c r="C483" s="8" t="str">
        <f>IFERROR(__xludf.DUMMYFUNCTION("""COMPUTED_VALUE"""),"Маматова Хуршедахон Исроиловна")</f>
        <v>Маматова Хуршедахон Исроиловна</v>
      </c>
      <c r="D483" s="6" t="str">
        <f>IFERROR(__xludf.DUMMYFUNCTION("""COMPUTED_VALUE"""),"79288542471")</f>
        <v>79288542471</v>
      </c>
      <c r="E483" s="9">
        <f>IFERROR(__xludf.DUMMYFUNCTION("""COMPUTED_VALUE"""),40533.0)</f>
        <v>40533</v>
      </c>
      <c r="F483" s="6">
        <f>IFERROR(__xludf.DUMMYFUNCTION("""COMPUTED_VALUE"""),3915.0)</f>
        <v>3915</v>
      </c>
      <c r="G483" s="10">
        <f>IFERROR(__xludf.DUMMYFUNCTION("""COMPUTED_VALUE"""),36618.0)</f>
        <v>36618</v>
      </c>
      <c r="H483" s="6">
        <f>IFERROR(__xludf.DUMMYFUNCTION("""COMPUTED_VALUE"""),256.32599999999996)</f>
        <v>256.326</v>
      </c>
      <c r="I483" s="11">
        <f>IFERROR(__xludf.DUMMYFUNCTION("""COMPUTED_VALUE"""),36361.674)</f>
        <v>36361.674</v>
      </c>
      <c r="J483" s="6" t="str">
        <f>IFERROR(__xludf.DUMMYFUNCTION("""COMPUTED_VALUE"""),"оплатили в QUGO")</f>
        <v>оплатили в QUGO</v>
      </c>
      <c r="K483" s="6" t="str">
        <f>IFERROR(__xludf.DUMMYFUNCTION("""COMPUTED_VALUE"""),"3915 удержано за ОФ ЗП декабрь")</f>
        <v>3915 удержано за ОФ ЗП декабрь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>
        <f>IFERROR(__xludf.DUMMYFUNCTION("""COMPUTED_VALUE"""),2026.0)</f>
        <v>2026</v>
      </c>
      <c r="B484" s="7" t="str">
        <f>IFERROR(__xludf.DUMMYFUNCTION("""COMPUTED_VALUE"""),"1.01-15.01")</f>
        <v>1.01-15.01</v>
      </c>
      <c r="C484" s="8" t="str">
        <f>IFERROR(__xludf.DUMMYFUNCTION("""COMPUTED_VALUE"""),"Курбанов Мехробджон Манучехрович")</f>
        <v>Курбанов Мехробджон Манучехрович</v>
      </c>
      <c r="D484" s="6" t="str">
        <f>IFERROR(__xludf.DUMMYFUNCTION("""COMPUTED_VALUE"""),"79939246738")</f>
        <v>79939246738</v>
      </c>
      <c r="E484" s="9">
        <f>IFERROR(__xludf.DUMMYFUNCTION("""COMPUTED_VALUE"""),51800.0)</f>
        <v>51800</v>
      </c>
      <c r="F484" s="6">
        <f>IFERROR(__xludf.DUMMYFUNCTION("""COMPUTED_VALUE"""),3654.0)</f>
        <v>3654</v>
      </c>
      <c r="G484" s="10">
        <f>IFERROR(__xludf.DUMMYFUNCTION("""COMPUTED_VALUE"""),48146.0)</f>
        <v>48146</v>
      </c>
      <c r="H484" s="6">
        <f>IFERROR(__xludf.DUMMYFUNCTION("""COMPUTED_VALUE"""),337.022)</f>
        <v>337.022</v>
      </c>
      <c r="I484" s="11">
        <f>IFERROR(__xludf.DUMMYFUNCTION("""COMPUTED_VALUE"""),47808.978)</f>
        <v>47808.978</v>
      </c>
      <c r="J484" s="6" t="str">
        <f>IFERROR(__xludf.DUMMYFUNCTION("""COMPUTED_VALUE"""),"оплатили в QUGO")</f>
        <v>оплатили в QUGO</v>
      </c>
      <c r="K484" s="6" t="str">
        <f>IFERROR(__xludf.DUMMYFUNCTION("""COMPUTED_VALUE"""),"3654 удержано за ОФ ЗП декабрь")</f>
        <v>3654 удержано за ОФ ЗП декабрь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>
        <f>IFERROR(__xludf.DUMMYFUNCTION("""COMPUTED_VALUE"""),2026.0)</f>
        <v>2026</v>
      </c>
      <c r="B485" s="7" t="str">
        <f>IFERROR(__xludf.DUMMYFUNCTION("""COMPUTED_VALUE"""),"1.01-15.01")</f>
        <v>1.01-15.01</v>
      </c>
      <c r="C485" s="8" t="str">
        <f>IFERROR(__xludf.DUMMYFUNCTION("""COMPUTED_VALUE"""),"Мухммадиев Аббосджон Хуснидин Угли")</f>
        <v>Мухммадиев Аббосджон Хуснидин Угли</v>
      </c>
      <c r="D485" s="6" t="str">
        <f>IFERROR(__xludf.DUMMYFUNCTION("""COMPUTED_VALUE"""),"79255971906")</f>
        <v>79255971906</v>
      </c>
      <c r="E485" s="9">
        <f>IFERROR(__xludf.DUMMYFUNCTION("""COMPUTED_VALUE"""),55265.0)</f>
        <v>55265</v>
      </c>
      <c r="F485" s="6">
        <f>IFERROR(__xludf.DUMMYFUNCTION("""COMPUTED_VALUE"""),3654.0)</f>
        <v>3654</v>
      </c>
      <c r="G485" s="10">
        <f>IFERROR(__xludf.DUMMYFUNCTION("""COMPUTED_VALUE"""),51611.0)</f>
        <v>51611</v>
      </c>
      <c r="H485" s="6">
        <f>IFERROR(__xludf.DUMMYFUNCTION("""COMPUTED_VALUE"""),361.277)</f>
        <v>361.277</v>
      </c>
      <c r="I485" s="11">
        <f>IFERROR(__xludf.DUMMYFUNCTION("""COMPUTED_VALUE"""),51249.723)</f>
        <v>51249.723</v>
      </c>
      <c r="J485" s="6" t="str">
        <f>IFERROR(__xludf.DUMMYFUNCTION("""COMPUTED_VALUE"""),"оплатили в QUGO")</f>
        <v>оплатили в QUGO</v>
      </c>
      <c r="K485" s="6" t="str">
        <f>IFERROR(__xludf.DUMMYFUNCTION("""COMPUTED_VALUE"""),"3654 удержано за ОФ ЗП декабрь")</f>
        <v>3654 удержано за ОФ ЗП декабрь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>
        <f>IFERROR(__xludf.DUMMYFUNCTION("""COMPUTED_VALUE"""),2026.0)</f>
        <v>2026</v>
      </c>
      <c r="B486" s="7" t="str">
        <f>IFERROR(__xludf.DUMMYFUNCTION("""COMPUTED_VALUE"""),"1.01-15.01")</f>
        <v>1.01-15.01</v>
      </c>
      <c r="C486" s="8" t="str">
        <f>IFERROR(__xludf.DUMMYFUNCTION("""COMPUTED_VALUE"""),"Расулова Махфуза Зайниддиновна")</f>
        <v>Расулова Махфуза Зайниддиновна</v>
      </c>
      <c r="D486" s="6" t="str">
        <f>IFERROR(__xludf.DUMMYFUNCTION("""COMPUTED_VALUE"""),"79854583155")</f>
        <v>79854583155</v>
      </c>
      <c r="E486" s="9">
        <f>IFERROR(__xludf.DUMMYFUNCTION("""COMPUTED_VALUE"""),60000.0)</f>
        <v>60000</v>
      </c>
      <c r="F486" s="6">
        <f>IFERROR(__xludf.DUMMYFUNCTION("""COMPUTED_VALUE"""),3741.0)</f>
        <v>3741</v>
      </c>
      <c r="G486" s="10">
        <f>IFERROR(__xludf.DUMMYFUNCTION("""COMPUTED_VALUE"""),56259.0)</f>
        <v>56259</v>
      </c>
      <c r="H486" s="6">
        <f>IFERROR(__xludf.DUMMYFUNCTION("""COMPUTED_VALUE"""),393.81299999999993)</f>
        <v>393.813</v>
      </c>
      <c r="I486" s="11">
        <f>IFERROR(__xludf.DUMMYFUNCTION("""COMPUTED_VALUE"""),55865.187)</f>
        <v>55865.187</v>
      </c>
      <c r="J486" s="6" t="str">
        <f>IFERROR(__xludf.DUMMYFUNCTION("""COMPUTED_VALUE"""),"оплатили в QUGO")</f>
        <v>оплатили в QUGO</v>
      </c>
      <c r="K486" s="6" t="str">
        <f>IFERROR(__xludf.DUMMYFUNCTION("""COMPUTED_VALUE"""),"3741 удержано за ОФ ЗП декабрь")</f>
        <v>3741 удержано за ОФ ЗП декабрь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>
        <f>IFERROR(__xludf.DUMMYFUNCTION("""COMPUTED_VALUE"""),2026.0)</f>
        <v>2026</v>
      </c>
      <c r="B487" s="7" t="str">
        <f>IFERROR(__xludf.DUMMYFUNCTION("""COMPUTED_VALUE"""),"1.01-15.01")</f>
        <v>1.01-15.01</v>
      </c>
      <c r="C487" s="8" t="str">
        <f>IFERROR(__xludf.DUMMYFUNCTION("""COMPUTED_VALUE"""),"Курбанова Умида Юсуб Кизи")</f>
        <v>Курбанова Умида Юсуб Кизи</v>
      </c>
      <c r="D487" s="6" t="str">
        <f>IFERROR(__xludf.DUMMYFUNCTION("""COMPUTED_VALUE"""),"79969669203")</f>
        <v>79969669203</v>
      </c>
      <c r="E487" s="9">
        <f>IFERROR(__xludf.DUMMYFUNCTION("""COMPUTED_VALUE"""),59485.0)</f>
        <v>59485</v>
      </c>
      <c r="F487" s="6">
        <f>IFERROR(__xludf.DUMMYFUNCTION("""COMPUTED_VALUE"""),3654.0)</f>
        <v>3654</v>
      </c>
      <c r="G487" s="10">
        <f>IFERROR(__xludf.DUMMYFUNCTION("""COMPUTED_VALUE"""),55831.0)</f>
        <v>55831</v>
      </c>
      <c r="H487" s="6">
        <f>IFERROR(__xludf.DUMMYFUNCTION("""COMPUTED_VALUE"""),390.81699999999995)</f>
        <v>390.817</v>
      </c>
      <c r="I487" s="11">
        <f>IFERROR(__xludf.DUMMYFUNCTION("""COMPUTED_VALUE"""),55440.183)</f>
        <v>55440.183</v>
      </c>
      <c r="J487" s="6" t="str">
        <f>IFERROR(__xludf.DUMMYFUNCTION("""COMPUTED_VALUE"""),"оплатили в QUGO")</f>
        <v>оплатили в QUGO</v>
      </c>
      <c r="K487" s="6" t="str">
        <f>IFERROR(__xludf.DUMMYFUNCTION("""COMPUTED_VALUE"""),"3654 удержано за ОФ ЗП декабрь")</f>
        <v>3654 удержано за ОФ ЗП декабрь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>
        <f>IFERROR(__xludf.DUMMYFUNCTION("""COMPUTED_VALUE"""),2026.0)</f>
        <v>2026</v>
      </c>
      <c r="B488" s="7" t="str">
        <f>IFERROR(__xludf.DUMMYFUNCTION("""COMPUTED_VALUE"""),"1.01-15.01")</f>
        <v>1.01-15.01</v>
      </c>
      <c r="C488" s="8" t="str">
        <f>IFERROR(__xludf.DUMMYFUNCTION("""COMPUTED_VALUE"""),"Амииров Субхон Сафолходжаевич")</f>
        <v>Амииров Субхон Сафолходжаевич</v>
      </c>
      <c r="D488" s="6" t="str">
        <f>IFERROR(__xludf.DUMMYFUNCTION("""COMPUTED_VALUE"""),"79990030384")</f>
        <v>79990030384</v>
      </c>
      <c r="E488" s="9">
        <f>IFERROR(__xludf.DUMMYFUNCTION("""COMPUTED_VALUE"""),54600.0)</f>
        <v>54600</v>
      </c>
      <c r="F488" s="6"/>
      <c r="G488" s="10">
        <f>IFERROR(__xludf.DUMMYFUNCTION("""COMPUTED_VALUE"""),54600.0)</f>
        <v>54600</v>
      </c>
      <c r="H488" s="6">
        <f>IFERROR(__xludf.DUMMYFUNCTION("""COMPUTED_VALUE"""),382.2)</f>
        <v>382.2</v>
      </c>
      <c r="I488" s="11">
        <f>IFERROR(__xludf.DUMMYFUNCTION("""COMPUTED_VALUE"""),54217.8)</f>
        <v>54217.8</v>
      </c>
      <c r="J488" s="6" t="str">
        <f>IFERROR(__xludf.DUMMYFUNCTION("""COMPUTED_VALUE"""),"оплатили в QUGO")</f>
        <v>оплатили в QUGO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>
        <f>IFERROR(__xludf.DUMMYFUNCTION("""COMPUTED_VALUE"""),2026.0)</f>
        <v>2026</v>
      </c>
      <c r="B489" s="7" t="str">
        <f>IFERROR(__xludf.DUMMYFUNCTION("""COMPUTED_VALUE"""),"1.01-15.01")</f>
        <v>1.01-15.01</v>
      </c>
      <c r="C489" s="8" t="str">
        <f>IFERROR(__xludf.DUMMYFUNCTION("""COMPUTED_VALUE"""),"Эшонкулов Шердил Асроркулович")</f>
        <v>Эшонкулов Шердил Асроркулович</v>
      </c>
      <c r="D489" s="6" t="str">
        <f>IFERROR(__xludf.DUMMYFUNCTION("""COMPUTED_VALUE"""),"79683257111")</f>
        <v>79683257111</v>
      </c>
      <c r="E489" s="9">
        <f>IFERROR(__xludf.DUMMYFUNCTION("""COMPUTED_VALUE"""),60000.0)</f>
        <v>60000</v>
      </c>
      <c r="F489" s="6">
        <f>IFERROR(__xludf.DUMMYFUNCTION("""COMPUTED_VALUE"""),3915.0)</f>
        <v>3915</v>
      </c>
      <c r="G489" s="10">
        <f>IFERROR(__xludf.DUMMYFUNCTION("""COMPUTED_VALUE"""),56085.0)</f>
        <v>56085</v>
      </c>
      <c r="H489" s="6">
        <f>IFERROR(__xludf.DUMMYFUNCTION("""COMPUTED_VALUE"""),392.59499999999997)</f>
        <v>392.595</v>
      </c>
      <c r="I489" s="11">
        <f>IFERROR(__xludf.DUMMYFUNCTION("""COMPUTED_VALUE"""),55692.405)</f>
        <v>55692.405</v>
      </c>
      <c r="J489" s="6" t="str">
        <f>IFERROR(__xludf.DUMMYFUNCTION("""COMPUTED_VALUE"""),"оплатили в QUGO")</f>
        <v>оплатили в QUGO</v>
      </c>
      <c r="K489" s="6" t="str">
        <f>IFERROR(__xludf.DUMMYFUNCTION("""COMPUTED_VALUE"""),"3915 удержано за ОФ ЗП декабрь")</f>
        <v>3915 удержано за ОФ ЗП декабрь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>
        <f>IFERROR(__xludf.DUMMYFUNCTION("""COMPUTED_VALUE"""),2026.0)</f>
        <v>2026</v>
      </c>
      <c r="B490" s="7" t="str">
        <f>IFERROR(__xludf.DUMMYFUNCTION("""COMPUTED_VALUE"""),"1.01-15.01")</f>
        <v>1.01-15.01</v>
      </c>
      <c r="C490" s="8" t="str">
        <f>IFERROR(__xludf.DUMMYFUNCTION("""COMPUTED_VALUE"""),"Маматханов Дилмурод")</f>
        <v>Маматханов Дилмурод</v>
      </c>
      <c r="D490" s="6" t="str">
        <f>IFERROR(__xludf.DUMMYFUNCTION("""COMPUTED_VALUE"""),"79997168584")</f>
        <v>79997168584</v>
      </c>
      <c r="E490" s="9">
        <f>IFERROR(__xludf.DUMMYFUNCTION("""COMPUTED_VALUE"""),63000.0)</f>
        <v>63000</v>
      </c>
      <c r="F490" s="6">
        <f>IFERROR(__xludf.DUMMYFUNCTION("""COMPUTED_VALUE"""),3654.0)</f>
        <v>3654</v>
      </c>
      <c r="G490" s="10">
        <f>IFERROR(__xludf.DUMMYFUNCTION("""COMPUTED_VALUE"""),59346.0)</f>
        <v>59346</v>
      </c>
      <c r="H490" s="6">
        <f>IFERROR(__xludf.DUMMYFUNCTION("""COMPUTED_VALUE"""),415.42199999999997)</f>
        <v>415.422</v>
      </c>
      <c r="I490" s="11">
        <f>IFERROR(__xludf.DUMMYFUNCTION("""COMPUTED_VALUE"""),58930.578)</f>
        <v>58930.578</v>
      </c>
      <c r="J490" s="6" t="str">
        <f>IFERROR(__xludf.DUMMYFUNCTION("""COMPUTED_VALUE"""),"оплатили в QUGO")</f>
        <v>оплатили в QUGO</v>
      </c>
      <c r="K490" s="6" t="str">
        <f>IFERROR(__xludf.DUMMYFUNCTION("""COMPUTED_VALUE"""),"3654 удержано за ОФ ЗП декабрь")</f>
        <v>3654 удержано за ОФ ЗП декабрь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>
        <f>IFERROR(__xludf.DUMMYFUNCTION("""COMPUTED_VALUE"""),2026.0)</f>
        <v>2026</v>
      </c>
      <c r="B491" s="7" t="str">
        <f>IFERROR(__xludf.DUMMYFUNCTION("""COMPUTED_VALUE"""),"1.01-15.01")</f>
        <v>1.01-15.01</v>
      </c>
      <c r="C491" s="8" t="str">
        <f>IFERROR(__xludf.DUMMYFUNCTION("""COMPUTED_VALUE"""),"Бобожонова Фарида")</f>
        <v>Бобожонова Фарида</v>
      </c>
      <c r="D491" s="6" t="str">
        <f>IFERROR(__xludf.DUMMYFUNCTION("""COMPUTED_VALUE"""),"79689414254")</f>
        <v>79689414254</v>
      </c>
      <c r="E491" s="9">
        <f>IFERROR(__xludf.DUMMYFUNCTION("""COMPUTED_VALUE"""),54000.0)</f>
        <v>54000</v>
      </c>
      <c r="F491" s="6"/>
      <c r="G491" s="10">
        <f>IFERROR(__xludf.DUMMYFUNCTION("""COMPUTED_VALUE"""),54000.0)</f>
        <v>54000</v>
      </c>
      <c r="H491" s="6">
        <f>IFERROR(__xludf.DUMMYFUNCTION("""COMPUTED_VALUE"""),377.99999999999994)</f>
        <v>378</v>
      </c>
      <c r="I491" s="11">
        <f>IFERROR(__xludf.DUMMYFUNCTION("""COMPUTED_VALUE"""),53622.0)</f>
        <v>53622</v>
      </c>
      <c r="J491" s="6" t="str">
        <f>IFERROR(__xludf.DUMMYFUNCTION("""COMPUTED_VALUE"""),"оплатили в QUGO")</f>
        <v>оплатили в QUGO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>
        <f>IFERROR(__xludf.DUMMYFUNCTION("""COMPUTED_VALUE"""),2026.0)</f>
        <v>2026</v>
      </c>
      <c r="B492" s="7" t="str">
        <f>IFERROR(__xludf.DUMMYFUNCTION("""COMPUTED_VALUE"""),"1.01-15.01")</f>
        <v>1.01-15.01</v>
      </c>
      <c r="C492" s="8" t="str">
        <f>IFERROR(__xludf.DUMMYFUNCTION("""COMPUTED_VALUE"""),"Раджабова Мавджуда")</f>
        <v>Раджабова Мавджуда</v>
      </c>
      <c r="D492" s="6" t="str">
        <f>IFERROR(__xludf.DUMMYFUNCTION("""COMPUTED_VALUE"""),"79915623943")</f>
        <v>79915623943</v>
      </c>
      <c r="E492" s="9">
        <f>IFERROR(__xludf.DUMMYFUNCTION("""COMPUTED_VALUE"""),55000.0)</f>
        <v>55000</v>
      </c>
      <c r="F492" s="6"/>
      <c r="G492" s="10">
        <f>IFERROR(__xludf.DUMMYFUNCTION("""COMPUTED_VALUE"""),55000.0)</f>
        <v>55000</v>
      </c>
      <c r="H492" s="6">
        <f>IFERROR(__xludf.DUMMYFUNCTION("""COMPUTED_VALUE"""),384.99999999999994)</f>
        <v>385</v>
      </c>
      <c r="I492" s="11">
        <f>IFERROR(__xludf.DUMMYFUNCTION("""COMPUTED_VALUE"""),54615.0)</f>
        <v>54615</v>
      </c>
      <c r="J492" s="6" t="str">
        <f>IFERROR(__xludf.DUMMYFUNCTION("""COMPUTED_VALUE"""),"оплатили в QUGO")</f>
        <v>оплатили в QUGO</v>
      </c>
      <c r="K492" s="6"/>
      <c r="L492" s="6">
        <f>IFERROR(__xludf.DUMMYFUNCTION("""COMPUTED_VALUE"""),7.75116699528E11)</f>
        <v>775116699528</v>
      </c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>
        <f>IFERROR(__xludf.DUMMYFUNCTION("""COMPUTED_VALUE"""),2026.0)</f>
        <v>2026</v>
      </c>
      <c r="B493" s="7" t="str">
        <f>IFERROR(__xludf.DUMMYFUNCTION("""COMPUTED_VALUE"""),"1.01-15.01")</f>
        <v>1.01-15.01</v>
      </c>
      <c r="C493" s="8" t="str">
        <f>IFERROR(__xludf.DUMMYFUNCTION("""COMPUTED_VALUE"""),"Уринова Гульсара")</f>
        <v>Уринова Гульсара</v>
      </c>
      <c r="D493" s="6" t="str">
        <f>IFERROR(__xludf.DUMMYFUNCTION("""COMPUTED_VALUE"""),"79969800138")</f>
        <v>79969800138</v>
      </c>
      <c r="E493" s="9">
        <f>IFERROR(__xludf.DUMMYFUNCTION("""COMPUTED_VALUE"""),32000.0)</f>
        <v>32000</v>
      </c>
      <c r="F493" s="6"/>
      <c r="G493" s="10">
        <f>IFERROR(__xludf.DUMMYFUNCTION("""COMPUTED_VALUE"""),32000.0)</f>
        <v>32000</v>
      </c>
      <c r="H493" s="6">
        <f>IFERROR(__xludf.DUMMYFUNCTION("""COMPUTED_VALUE"""),223.99999999999997)</f>
        <v>224</v>
      </c>
      <c r="I493" s="11">
        <f>IFERROR(__xludf.DUMMYFUNCTION("""COMPUTED_VALUE"""),31776.0)</f>
        <v>31776</v>
      </c>
      <c r="J493" s="6" t="str">
        <f>IFERROR(__xludf.DUMMYFUNCTION("""COMPUTED_VALUE"""),"оплатили в QUGO")</f>
        <v>оплатили в QUGO</v>
      </c>
      <c r="K493" s="6"/>
      <c r="L493" s="6">
        <f>IFERROR(__xludf.DUMMYFUNCTION("""COMPUTED_VALUE"""),7.75175950165E11)</f>
        <v>775175950165</v>
      </c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>
        <f>IFERROR(__xludf.DUMMYFUNCTION("""COMPUTED_VALUE"""),2026.0)</f>
        <v>2026</v>
      </c>
      <c r="B494" s="7" t="str">
        <f>IFERROR(__xludf.DUMMYFUNCTION("""COMPUTED_VALUE"""),"1.01-15.01")</f>
        <v>1.01-15.01</v>
      </c>
      <c r="C494" s="8" t="str">
        <f>IFERROR(__xludf.DUMMYFUNCTION("""COMPUTED_VALUE"""),"Азимбай уулу Умар")</f>
        <v>Азимбай уулу Умар</v>
      </c>
      <c r="D494" s="6" t="str">
        <f>IFERROR(__xludf.DUMMYFUNCTION("""COMPUTED_VALUE"""),"79031140181")</f>
        <v>79031140181</v>
      </c>
      <c r="E494" s="9">
        <f>IFERROR(__xludf.DUMMYFUNCTION("""COMPUTED_VALUE"""),49000.0)</f>
        <v>49000</v>
      </c>
      <c r="F494" s="6"/>
      <c r="G494" s="10">
        <f>IFERROR(__xludf.DUMMYFUNCTION("""COMPUTED_VALUE"""),49000.0)</f>
        <v>49000</v>
      </c>
      <c r="H494" s="6">
        <f>IFERROR(__xludf.DUMMYFUNCTION("""COMPUTED_VALUE"""),342.99999999999994)</f>
        <v>343</v>
      </c>
      <c r="I494" s="11">
        <f>IFERROR(__xludf.DUMMYFUNCTION("""COMPUTED_VALUE"""),48657.0)</f>
        <v>48657</v>
      </c>
      <c r="J494" s="6" t="str">
        <f>IFERROR(__xludf.DUMMYFUNCTION("""COMPUTED_VALUE"""),"оплатили в QUGO")</f>
        <v>оплатили в QUGO</v>
      </c>
      <c r="K494" s="6"/>
      <c r="L494" s="6">
        <f>IFERROR(__xludf.DUMMYFUNCTION("""COMPUTED_VALUE"""),5.0277590954E11)</f>
        <v>502775909540</v>
      </c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>
        <f>IFERROR(__xludf.DUMMYFUNCTION("""COMPUTED_VALUE"""),2026.0)</f>
        <v>2026</v>
      </c>
      <c r="B495" s="7" t="str">
        <f>IFERROR(__xludf.DUMMYFUNCTION("""COMPUTED_VALUE"""),"1.01-15.01")</f>
        <v>1.01-15.01</v>
      </c>
      <c r="C495" s="8" t="str">
        <f>IFERROR(__xludf.DUMMYFUNCTION("""COMPUTED_VALUE"""),"Гапарова Бегимай")</f>
        <v>Гапарова Бегимай</v>
      </c>
      <c r="D495" s="6" t="str">
        <f>IFERROR(__xludf.DUMMYFUNCTION("""COMPUTED_VALUE"""),"79257537783")</f>
        <v>79257537783</v>
      </c>
      <c r="E495" s="9">
        <f>IFERROR(__xludf.DUMMYFUNCTION("""COMPUTED_VALUE"""),58800.0)</f>
        <v>58800</v>
      </c>
      <c r="F495" s="6">
        <f>IFERROR(__xludf.DUMMYFUNCTION("""COMPUTED_VALUE"""),3741.0)</f>
        <v>3741</v>
      </c>
      <c r="G495" s="10">
        <f>IFERROR(__xludf.DUMMYFUNCTION("""COMPUTED_VALUE"""),55059.0)</f>
        <v>55059</v>
      </c>
      <c r="H495" s="6">
        <f>IFERROR(__xludf.DUMMYFUNCTION("""COMPUTED_VALUE"""),385.41299999999995)</f>
        <v>385.413</v>
      </c>
      <c r="I495" s="11">
        <f>IFERROR(__xludf.DUMMYFUNCTION("""COMPUTED_VALUE"""),54673.587)</f>
        <v>54673.587</v>
      </c>
      <c r="J495" s="6" t="str">
        <f>IFERROR(__xludf.DUMMYFUNCTION("""COMPUTED_VALUE"""),"оплатили в QUGO")</f>
        <v>оплатили в QUGO</v>
      </c>
      <c r="K495" s="6" t="str">
        <f>IFERROR(__xludf.DUMMYFUNCTION("""COMPUTED_VALUE"""),"3741 удержано за ОФ ЗП декабрь")</f>
        <v>3741 удержано за ОФ ЗП декабрь</v>
      </c>
      <c r="L495" s="6">
        <f>IFERROR(__xludf.DUMMYFUNCTION("""COMPUTED_VALUE"""),7.72065375012E11)</f>
        <v>772065375012</v>
      </c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>
        <f>IFERROR(__xludf.DUMMYFUNCTION("""COMPUTED_VALUE"""),2026.0)</f>
        <v>2026</v>
      </c>
      <c r="B496" s="7" t="str">
        <f>IFERROR(__xludf.DUMMYFUNCTION("""COMPUTED_VALUE"""),"1.01-15.01")</f>
        <v>1.01-15.01</v>
      </c>
      <c r="C496" s="8" t="str">
        <f>IFERROR(__xludf.DUMMYFUNCTION("""COMPUTED_VALUE"""),"Оторбаев Бектурган")</f>
        <v>Оторбаев Бектурган</v>
      </c>
      <c r="D496" s="6" t="str">
        <f>IFERROR(__xludf.DUMMYFUNCTION("""COMPUTED_VALUE"""),"79777540107")</f>
        <v>79777540107</v>
      </c>
      <c r="E496" s="9">
        <f>IFERROR(__xludf.DUMMYFUNCTION("""COMPUTED_VALUE"""),55500.0)</f>
        <v>55500</v>
      </c>
      <c r="F496" s="6">
        <f>IFERROR(__xludf.DUMMYFUNCTION("""COMPUTED_VALUE"""),3567.0)</f>
        <v>3567</v>
      </c>
      <c r="G496" s="10">
        <f>IFERROR(__xludf.DUMMYFUNCTION("""COMPUTED_VALUE"""),51933.0)</f>
        <v>51933</v>
      </c>
      <c r="H496" s="6">
        <f>IFERROR(__xludf.DUMMYFUNCTION("""COMPUTED_VALUE"""),363.53099999999995)</f>
        <v>363.531</v>
      </c>
      <c r="I496" s="11">
        <f>IFERROR(__xludf.DUMMYFUNCTION("""COMPUTED_VALUE"""),51569.469)</f>
        <v>51569.469</v>
      </c>
      <c r="J496" s="6" t="str">
        <f>IFERROR(__xludf.DUMMYFUNCTION("""COMPUTED_VALUE"""),"оплатили в QUGO")</f>
        <v>оплатили в QUGO</v>
      </c>
      <c r="K496" s="6" t="str">
        <f>IFERROR(__xludf.DUMMYFUNCTION("""COMPUTED_VALUE"""),"3567 удержано за ОФ ЗП декабрь")</f>
        <v>3567 удержано за ОФ ЗП декабрь</v>
      </c>
      <c r="L496" s="6">
        <f>IFERROR(__xludf.DUMMYFUNCTION("""COMPUTED_VALUE"""),5.01220476256E11)</f>
        <v>501220476256</v>
      </c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>
        <f>IFERROR(__xludf.DUMMYFUNCTION("""COMPUTED_VALUE"""),2026.0)</f>
        <v>2026</v>
      </c>
      <c r="B497" s="7" t="str">
        <f>IFERROR(__xludf.DUMMYFUNCTION("""COMPUTED_VALUE"""),"1.01-15.01")</f>
        <v>1.01-15.01</v>
      </c>
      <c r="C497" s="8" t="str">
        <f>IFERROR(__xludf.DUMMYFUNCTION("""COMPUTED_VALUE"""),"Курманбаева Назиира")</f>
        <v>Курманбаева Назиира</v>
      </c>
      <c r="D497" s="6" t="str">
        <f>IFERROR(__xludf.DUMMYFUNCTION("""COMPUTED_VALUE"""),"79256402505")</f>
        <v>79256402505</v>
      </c>
      <c r="E497" s="9">
        <f>IFERROR(__xludf.DUMMYFUNCTION("""COMPUTED_VALUE"""),69333.0)</f>
        <v>69333</v>
      </c>
      <c r="F497" s="6"/>
      <c r="G497" s="10">
        <f>IFERROR(__xludf.DUMMYFUNCTION("""COMPUTED_VALUE"""),69333.0)</f>
        <v>69333</v>
      </c>
      <c r="H497" s="6">
        <f>IFERROR(__xludf.DUMMYFUNCTION("""COMPUTED_VALUE"""),485.33099999999996)</f>
        <v>485.331</v>
      </c>
      <c r="I497" s="11">
        <f>IFERROR(__xludf.DUMMYFUNCTION("""COMPUTED_VALUE"""),68847.669)</f>
        <v>68847.669</v>
      </c>
      <c r="J497" s="6" t="str">
        <f>IFERROR(__xludf.DUMMYFUNCTION("""COMPUTED_VALUE"""),"оплатили в QUGO")</f>
        <v>оплатили в QUGO</v>
      </c>
      <c r="K497" s="6"/>
      <c r="L497" s="6">
        <f>IFERROR(__xludf.DUMMYFUNCTION("""COMPUTED_VALUE"""),7.71487450668E11)</f>
        <v>771487450668</v>
      </c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>
        <f>IFERROR(__xludf.DUMMYFUNCTION("""COMPUTED_VALUE"""),2026.0)</f>
        <v>2026</v>
      </c>
      <c r="B498" s="7" t="str">
        <f>IFERROR(__xludf.DUMMYFUNCTION("""COMPUTED_VALUE"""),"1.01-15.01")</f>
        <v>1.01-15.01</v>
      </c>
      <c r="C498" s="8" t="str">
        <f>IFERROR(__xludf.DUMMYFUNCTION("""COMPUTED_VALUE"""),"Сайдалиев Салмон")</f>
        <v>Сайдалиев Салмон</v>
      </c>
      <c r="D498" s="6" t="str">
        <f>IFERROR(__xludf.DUMMYFUNCTION("""COMPUTED_VALUE"""),"79309826676")</f>
        <v>79309826676</v>
      </c>
      <c r="E498" s="9">
        <f>IFERROR(__xludf.DUMMYFUNCTION("""COMPUTED_VALUE"""),64400.0)</f>
        <v>64400</v>
      </c>
      <c r="F498" s="6">
        <f>IFERROR(__xludf.DUMMYFUNCTION("""COMPUTED_VALUE"""),3654.0)</f>
        <v>3654</v>
      </c>
      <c r="G498" s="10">
        <f>IFERROR(__xludf.DUMMYFUNCTION("""COMPUTED_VALUE"""),60746.0)</f>
        <v>60746</v>
      </c>
      <c r="H498" s="6">
        <f>IFERROR(__xludf.DUMMYFUNCTION("""COMPUTED_VALUE"""),425.222)</f>
        <v>425.222</v>
      </c>
      <c r="I498" s="11">
        <f>IFERROR(__xludf.DUMMYFUNCTION("""COMPUTED_VALUE"""),60320.778)</f>
        <v>60320.778</v>
      </c>
      <c r="J498" s="6" t="str">
        <f>IFERROR(__xludf.DUMMYFUNCTION("""COMPUTED_VALUE"""),"оплатили в QUGO")</f>
        <v>оплатили в QUGO</v>
      </c>
      <c r="K498" s="6" t="str">
        <f>IFERROR(__xludf.DUMMYFUNCTION("""COMPUTED_VALUE"""),"3654 удержано за ОФ ЗП декабрь")</f>
        <v>3654 удержано за ОФ ЗП декабрь</v>
      </c>
      <c r="L498" s="6">
        <f>IFERROR(__xludf.DUMMYFUNCTION("""COMPUTED_VALUE"""),5.00924497331E11)</f>
        <v>500924497331</v>
      </c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>
        <f>IFERROR(__xludf.DUMMYFUNCTION("""COMPUTED_VALUE"""),2026.0)</f>
        <v>2026</v>
      </c>
      <c r="B499" s="7" t="str">
        <f>IFERROR(__xludf.DUMMYFUNCTION("""COMPUTED_VALUE"""),"1.01-15.01")</f>
        <v>1.01-15.01</v>
      </c>
      <c r="C499" s="8" t="str">
        <f>IFERROR(__xludf.DUMMYFUNCTION("""COMPUTED_VALUE"""),"Атаев Иброхим")</f>
        <v>Атаев Иброхим</v>
      </c>
      <c r="D499" s="6" t="str">
        <f>IFERROR(__xludf.DUMMYFUNCTION("""COMPUTED_VALUE"""),"79776848725")</f>
        <v>79776848725</v>
      </c>
      <c r="E499" s="9">
        <f>IFERROR(__xludf.DUMMYFUNCTION("""COMPUTED_VALUE"""),40333.0)</f>
        <v>40333</v>
      </c>
      <c r="F499" s="6"/>
      <c r="G499" s="10">
        <f>IFERROR(__xludf.DUMMYFUNCTION("""COMPUTED_VALUE"""),40333.0)</f>
        <v>40333</v>
      </c>
      <c r="H499" s="6">
        <f>IFERROR(__xludf.DUMMYFUNCTION("""COMPUTED_VALUE"""),282.33099999999996)</f>
        <v>282.331</v>
      </c>
      <c r="I499" s="11">
        <f>IFERROR(__xludf.DUMMYFUNCTION("""COMPUTED_VALUE"""),40050.669)</f>
        <v>40050.669</v>
      </c>
      <c r="J499" s="6" t="str">
        <f>IFERROR(__xludf.DUMMYFUNCTION("""COMPUTED_VALUE"""),"оплатили в QUGO")</f>
        <v>оплатили в QUGO</v>
      </c>
      <c r="K499" s="6"/>
      <c r="L499" s="6">
        <f>IFERROR(__xludf.DUMMYFUNCTION("""COMPUTED_VALUE"""),2.46415369245E11)</f>
        <v>246415369245</v>
      </c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>
        <f>IFERROR(__xludf.DUMMYFUNCTION("""COMPUTED_VALUE"""),2026.0)</f>
        <v>2026</v>
      </c>
      <c r="B500" s="7" t="str">
        <f>IFERROR(__xludf.DUMMYFUNCTION("""COMPUTED_VALUE"""),"1.01-15.01")</f>
        <v>1.01-15.01</v>
      </c>
      <c r="C500" s="8" t="str">
        <f>IFERROR(__xludf.DUMMYFUNCTION("""COMPUTED_VALUE"""),"Сулейманов Санжар")</f>
        <v>Сулейманов Санжар</v>
      </c>
      <c r="D500" s="6" t="str">
        <f>IFERROR(__xludf.DUMMYFUNCTION("""COMPUTED_VALUE"""),"79313709033")</f>
        <v>79313709033</v>
      </c>
      <c r="E500" s="9">
        <f>IFERROR(__xludf.DUMMYFUNCTION("""COMPUTED_VALUE"""),80900.0)</f>
        <v>80900</v>
      </c>
      <c r="F500" s="6">
        <f>IFERROR(__xludf.DUMMYFUNCTION("""COMPUTED_VALUE"""),3741.0)</f>
        <v>3741</v>
      </c>
      <c r="G500" s="10">
        <f>IFERROR(__xludf.DUMMYFUNCTION("""COMPUTED_VALUE"""),77159.0)</f>
        <v>77159</v>
      </c>
      <c r="H500" s="6">
        <f>IFERROR(__xludf.DUMMYFUNCTION("""COMPUTED_VALUE"""),540.1129999999999)</f>
        <v>540.113</v>
      </c>
      <c r="I500" s="11">
        <f>IFERROR(__xludf.DUMMYFUNCTION("""COMPUTED_VALUE"""),76618.887)</f>
        <v>76618.887</v>
      </c>
      <c r="J500" s="6" t="str">
        <f>IFERROR(__xludf.DUMMYFUNCTION("""COMPUTED_VALUE"""),"оплатили в QUGO")</f>
        <v>оплатили в QUGO</v>
      </c>
      <c r="K500" s="6" t="str">
        <f>IFERROR(__xludf.DUMMYFUNCTION("""COMPUTED_VALUE"""),"3741 удержано за ОФ ЗП декабрь")</f>
        <v>3741 удержано за ОФ ЗП декабрь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>
        <f>IFERROR(__xludf.DUMMYFUNCTION("""COMPUTED_VALUE"""),2026.0)</f>
        <v>2026</v>
      </c>
      <c r="B501" s="7" t="str">
        <f>IFERROR(__xludf.DUMMYFUNCTION("""COMPUTED_VALUE"""),"1.01-15.01")</f>
        <v>1.01-15.01</v>
      </c>
      <c r="C501" s="8" t="str">
        <f>IFERROR(__xludf.DUMMYFUNCTION("""COMPUTED_VALUE"""),"Абдурахманов Улугбек")</f>
        <v>Абдурахманов Улугбек</v>
      </c>
      <c r="D501" s="6" t="str">
        <f>IFERROR(__xludf.DUMMYFUNCTION("""COMPUTED_VALUE"""),"79775787432")</f>
        <v>79775787432</v>
      </c>
      <c r="E501" s="9">
        <f>IFERROR(__xludf.DUMMYFUNCTION("""COMPUTED_VALUE"""),63000.0)</f>
        <v>63000</v>
      </c>
      <c r="F501" s="6"/>
      <c r="G501" s="10">
        <f>IFERROR(__xludf.DUMMYFUNCTION("""COMPUTED_VALUE"""),63000.0)</f>
        <v>63000</v>
      </c>
      <c r="H501" s="6">
        <f>IFERROR(__xludf.DUMMYFUNCTION("""COMPUTED_VALUE"""),440.99999999999994)</f>
        <v>441</v>
      </c>
      <c r="I501" s="11">
        <f>IFERROR(__xludf.DUMMYFUNCTION("""COMPUTED_VALUE"""),62559.0)</f>
        <v>62559</v>
      </c>
      <c r="J501" s="6" t="str">
        <f>IFERROR(__xludf.DUMMYFUNCTION("""COMPUTED_VALUE"""),"оплатили в QUGO")</f>
        <v>оплатили в QUGO</v>
      </c>
      <c r="K501" s="6"/>
      <c r="L501" s="6">
        <f>IFERROR(__xludf.DUMMYFUNCTION("""COMPUTED_VALUE"""),4.02513629575E11)</f>
        <v>402513629575</v>
      </c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>
        <f>IFERROR(__xludf.DUMMYFUNCTION("""COMPUTED_VALUE"""),2026.0)</f>
        <v>2026</v>
      </c>
      <c r="B502" s="7" t="str">
        <f>IFERROR(__xludf.DUMMYFUNCTION("""COMPUTED_VALUE"""),"1.01-15.01")</f>
        <v>1.01-15.01</v>
      </c>
      <c r="C502" s="8" t="str">
        <f>IFERROR(__xludf.DUMMYFUNCTION("""COMPUTED_VALUE"""),"Акбарова Зылола")</f>
        <v>Акбарова Зылола</v>
      </c>
      <c r="D502" s="6" t="str">
        <f>IFERROR(__xludf.DUMMYFUNCTION("""COMPUTED_VALUE"""),"79912261183")</f>
        <v>79912261183</v>
      </c>
      <c r="E502" s="9">
        <f>IFERROR(__xludf.DUMMYFUNCTION("""COMPUTED_VALUE"""),55500.0)</f>
        <v>55500</v>
      </c>
      <c r="F502" s="6"/>
      <c r="G502" s="10">
        <f>IFERROR(__xludf.DUMMYFUNCTION("""COMPUTED_VALUE"""),55500.0)</f>
        <v>55500</v>
      </c>
      <c r="H502" s="6">
        <f>IFERROR(__xludf.DUMMYFUNCTION("""COMPUTED_VALUE"""),388.49999999999994)</f>
        <v>388.5</v>
      </c>
      <c r="I502" s="11">
        <f>IFERROR(__xludf.DUMMYFUNCTION("""COMPUTED_VALUE"""),55111.5)</f>
        <v>55111.5</v>
      </c>
      <c r="J502" s="6" t="str">
        <f>IFERROR(__xludf.DUMMYFUNCTION("""COMPUTED_VALUE"""),"оплатили в QUGO")</f>
        <v>оплатили в QUGO</v>
      </c>
      <c r="K502" s="6"/>
      <c r="L502" s="6">
        <f>IFERROR(__xludf.DUMMYFUNCTION("""COMPUTED_VALUE"""),5.0423296544E11)</f>
        <v>504232965440</v>
      </c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>
        <f>IFERROR(__xludf.DUMMYFUNCTION("""COMPUTED_VALUE"""),2026.0)</f>
        <v>2026</v>
      </c>
      <c r="B503" s="7" t="str">
        <f>IFERROR(__xludf.DUMMYFUNCTION("""COMPUTED_VALUE"""),"1.01-15.01")</f>
        <v>1.01-15.01</v>
      </c>
      <c r="C503" s="8" t="str">
        <f>IFERROR(__xludf.DUMMYFUNCTION("""COMPUTED_VALUE"""),"Зиятова Комила")</f>
        <v>Зиятова Комила</v>
      </c>
      <c r="D503" s="6" t="str">
        <f>IFERROR(__xludf.DUMMYFUNCTION("""COMPUTED_VALUE"""),"79998253929")</f>
        <v>79998253929</v>
      </c>
      <c r="E503" s="9">
        <f>IFERROR(__xludf.DUMMYFUNCTION("""COMPUTED_VALUE"""),45650.0)</f>
        <v>45650</v>
      </c>
      <c r="F503" s="6"/>
      <c r="G503" s="10">
        <f>IFERROR(__xludf.DUMMYFUNCTION("""COMPUTED_VALUE"""),45650.0)</f>
        <v>45650</v>
      </c>
      <c r="H503" s="6">
        <f>IFERROR(__xludf.DUMMYFUNCTION("""COMPUTED_VALUE"""),319.54999999999995)</f>
        <v>319.55</v>
      </c>
      <c r="I503" s="11">
        <f>IFERROR(__xludf.DUMMYFUNCTION("""COMPUTED_VALUE"""),45330.45)</f>
        <v>45330.45</v>
      </c>
      <c r="J503" s="6" t="str">
        <f>IFERROR(__xludf.DUMMYFUNCTION("""COMPUTED_VALUE"""),"оплатили в QUGO")</f>
        <v>оплатили в QUGO</v>
      </c>
      <c r="K503" s="6"/>
      <c r="L503" s="6">
        <f>IFERROR(__xludf.DUMMYFUNCTION("""COMPUTED_VALUE"""),7.81160795068E11)</f>
        <v>781160795068</v>
      </c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>
        <f>IFERROR(__xludf.DUMMYFUNCTION("""COMPUTED_VALUE"""),2026.0)</f>
        <v>2026</v>
      </c>
      <c r="B504" s="7" t="str">
        <f>IFERROR(__xludf.DUMMYFUNCTION("""COMPUTED_VALUE"""),"1.01-15.01")</f>
        <v>1.01-15.01</v>
      </c>
      <c r="C504" s="8" t="str">
        <f>IFERROR(__xludf.DUMMYFUNCTION("""COMPUTED_VALUE"""),"Мухидинова Ирода")</f>
        <v>Мухидинова Ирода</v>
      </c>
      <c r="D504" s="6" t="str">
        <f>IFERROR(__xludf.DUMMYFUNCTION("""COMPUTED_VALUE"""),"79055847717")</f>
        <v>79055847717</v>
      </c>
      <c r="E504" s="9">
        <f>IFERROR(__xludf.DUMMYFUNCTION("""COMPUTED_VALUE"""),51625.0)</f>
        <v>51625</v>
      </c>
      <c r="F504" s="6">
        <f>IFERROR(__xludf.DUMMYFUNCTION("""COMPUTED_VALUE"""),3741.0)</f>
        <v>3741</v>
      </c>
      <c r="G504" s="10">
        <f>IFERROR(__xludf.DUMMYFUNCTION("""COMPUTED_VALUE"""),47884.0)</f>
        <v>47884</v>
      </c>
      <c r="H504" s="6">
        <f>IFERROR(__xludf.DUMMYFUNCTION("""COMPUTED_VALUE"""),335.188)</f>
        <v>335.188</v>
      </c>
      <c r="I504" s="11">
        <f>IFERROR(__xludf.DUMMYFUNCTION("""COMPUTED_VALUE"""),47548.812)</f>
        <v>47548.812</v>
      </c>
      <c r="J504" s="6" t="str">
        <f>IFERROR(__xludf.DUMMYFUNCTION("""COMPUTED_VALUE"""),"оплатили в QUGO")</f>
        <v>оплатили в QUGO</v>
      </c>
      <c r="K504" s="6" t="str">
        <f>IFERROR(__xludf.DUMMYFUNCTION("""COMPUTED_VALUE"""),"3741 удержано за ОФ ЗП декабрь")</f>
        <v>3741 удержано за ОФ ЗП декабрь</v>
      </c>
      <c r="L504" s="6">
        <f>IFERROR(__xludf.DUMMYFUNCTION("""COMPUTED_VALUE"""),7.7242950104E11)</f>
        <v>772429501040</v>
      </c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>
        <f>IFERROR(__xludf.DUMMYFUNCTION("""COMPUTED_VALUE"""),2026.0)</f>
        <v>2026</v>
      </c>
      <c r="B505" s="7" t="str">
        <f>IFERROR(__xludf.DUMMYFUNCTION("""COMPUTED_VALUE"""),"1.01-15.01")</f>
        <v>1.01-15.01</v>
      </c>
      <c r="C505" s="8" t="str">
        <f>IFERROR(__xludf.DUMMYFUNCTION("""COMPUTED_VALUE"""),"Рашид кызы Айгул")</f>
        <v>Рашид кызы Айгул</v>
      </c>
      <c r="D505" s="6" t="str">
        <f>IFERROR(__xludf.DUMMYFUNCTION("""COMPUTED_VALUE"""),"79258747563")</f>
        <v>79258747563</v>
      </c>
      <c r="E505" s="9">
        <f>IFERROR(__xludf.DUMMYFUNCTION("""COMPUTED_VALUE"""),34933.0)</f>
        <v>34933</v>
      </c>
      <c r="F505" s="6"/>
      <c r="G505" s="10">
        <f>IFERROR(__xludf.DUMMYFUNCTION("""COMPUTED_VALUE"""),34933.0)</f>
        <v>34933</v>
      </c>
      <c r="H505" s="6">
        <f>IFERROR(__xludf.DUMMYFUNCTION("""COMPUTED_VALUE"""),244.53099999999998)</f>
        <v>244.531</v>
      </c>
      <c r="I505" s="11">
        <f>IFERROR(__xludf.DUMMYFUNCTION("""COMPUTED_VALUE"""),34688.469)</f>
        <v>34688.469</v>
      </c>
      <c r="J505" s="6" t="str">
        <f>IFERROR(__xludf.DUMMYFUNCTION("""COMPUTED_VALUE"""),"оплатили в QUGO")</f>
        <v>оплатили в QUGO</v>
      </c>
      <c r="K505" s="6"/>
      <c r="L505" s="6">
        <f>IFERROR(__xludf.DUMMYFUNCTION("""COMPUTED_VALUE"""),9.10319207378E11)</f>
        <v>910319207378</v>
      </c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>
        <f>IFERROR(__xludf.DUMMYFUNCTION("""COMPUTED_VALUE"""),2026.0)</f>
        <v>2026</v>
      </c>
      <c r="B506" s="7" t="str">
        <f>IFERROR(__xludf.DUMMYFUNCTION("""COMPUTED_VALUE"""),"1.01-15.01")</f>
        <v>1.01-15.01</v>
      </c>
      <c r="C506" s="8" t="str">
        <f>IFERROR(__xludf.DUMMYFUNCTION("""COMPUTED_VALUE"""),"Холбаева Феруза")</f>
        <v>Холбаева Феруза</v>
      </c>
      <c r="D506" s="6" t="str">
        <f>IFERROR(__xludf.DUMMYFUNCTION("""COMPUTED_VALUE"""),"79694901782")</f>
        <v>79694901782</v>
      </c>
      <c r="E506" s="9">
        <f>IFERROR(__xludf.DUMMYFUNCTION("""COMPUTED_VALUE"""),35200.0)</f>
        <v>35200</v>
      </c>
      <c r="F506" s="6">
        <f>IFERROR(__xludf.DUMMYFUNCTION("""COMPUTED_VALUE"""),3828.0)</f>
        <v>3828</v>
      </c>
      <c r="G506" s="10">
        <f>IFERROR(__xludf.DUMMYFUNCTION("""COMPUTED_VALUE"""),31372.0)</f>
        <v>31372</v>
      </c>
      <c r="H506" s="6">
        <f>IFERROR(__xludf.DUMMYFUNCTION("""COMPUTED_VALUE"""),219.60399999999998)</f>
        <v>219.604</v>
      </c>
      <c r="I506" s="11">
        <f>IFERROR(__xludf.DUMMYFUNCTION("""COMPUTED_VALUE"""),31152.396)</f>
        <v>31152.396</v>
      </c>
      <c r="J506" s="6" t="str">
        <f>IFERROR(__xludf.DUMMYFUNCTION("""COMPUTED_VALUE"""),"оплатили в QUGO")</f>
        <v>оплатили в QUGO</v>
      </c>
      <c r="K506" s="6" t="str">
        <f>IFERROR(__xludf.DUMMYFUNCTION("""COMPUTED_VALUE"""),"3828 удержано за ОФ ЗП декабрь")</f>
        <v>3828 удержано за ОФ ЗП декабрь</v>
      </c>
      <c r="L506" s="6">
        <f>IFERROR(__xludf.DUMMYFUNCTION("""COMPUTED_VALUE"""),7.81724641498E11)</f>
        <v>781724641498</v>
      </c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>
        <f>IFERROR(__xludf.DUMMYFUNCTION("""COMPUTED_VALUE"""),2026.0)</f>
        <v>2026</v>
      </c>
      <c r="B507" s="7" t="str">
        <f>IFERROR(__xludf.DUMMYFUNCTION("""COMPUTED_VALUE"""),"1.01-15.01")</f>
        <v>1.01-15.01</v>
      </c>
      <c r="C507" s="8" t="str">
        <f>IFERROR(__xludf.DUMMYFUNCTION("""COMPUTED_VALUE"""),"Ходжиматова Нафиса")</f>
        <v>Ходжиматова Нафиса</v>
      </c>
      <c r="D507" s="6" t="str">
        <f>IFERROR(__xludf.DUMMYFUNCTION("""COMPUTED_VALUE"""),"79775789034")</f>
        <v>79775789034</v>
      </c>
      <c r="E507" s="9">
        <f>IFERROR(__xludf.DUMMYFUNCTION("""COMPUTED_VALUE"""),43200.0)</f>
        <v>43200</v>
      </c>
      <c r="F507" s="6">
        <f>IFERROR(__xludf.DUMMYFUNCTION("""COMPUTED_VALUE"""),182.93099999999998)</f>
        <v>182.931</v>
      </c>
      <c r="G507" s="10">
        <f>IFERROR(__xludf.DUMMYFUNCTION("""COMPUTED_VALUE"""),43017.069)</f>
        <v>43017.069</v>
      </c>
      <c r="H507" s="6">
        <f>IFERROR(__xludf.DUMMYFUNCTION("""COMPUTED_VALUE"""),301.119483)</f>
        <v>301.119483</v>
      </c>
      <c r="I507" s="11">
        <f>IFERROR(__xludf.DUMMYFUNCTION("""COMPUTED_VALUE"""),42715.949517)</f>
        <v>42715.94952</v>
      </c>
      <c r="J507" s="6" t="str">
        <f>IFERROR(__xludf.DUMMYFUNCTION("""COMPUTED_VALUE"""),"оплатили в QUGO")</f>
        <v>оплатили в QUGO</v>
      </c>
      <c r="K507" s="6" t="str">
        <f>IFERROR(__xludf.DUMMYFUNCTION("""COMPUTED_VALUE"""),"182,931 удержано за переплату")</f>
        <v>182,931 удержано за переплату</v>
      </c>
      <c r="L507" s="6">
        <f>IFERROR(__xludf.DUMMYFUNCTION("""COMPUTED_VALUE"""),7.75186849992E11)</f>
        <v>775186849992</v>
      </c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>
        <f>IFERROR(__xludf.DUMMYFUNCTION("""COMPUTED_VALUE"""),2026.0)</f>
        <v>2026</v>
      </c>
      <c r="B508" s="7" t="str">
        <f>IFERROR(__xludf.DUMMYFUNCTION("""COMPUTED_VALUE"""),"1.01-15.01")</f>
        <v>1.01-15.01</v>
      </c>
      <c r="C508" s="8" t="str">
        <f>IFERROR(__xludf.DUMMYFUNCTION("""COMPUTED_VALUE"""),"Дустназарзода Джавлонбек")</f>
        <v>Дустназарзода Джавлонбек</v>
      </c>
      <c r="D508" s="6" t="str">
        <f>IFERROR(__xludf.DUMMYFUNCTION("""COMPUTED_VALUE"""),"79774431553")</f>
        <v>79774431553</v>
      </c>
      <c r="E508" s="9">
        <f>IFERROR(__xludf.DUMMYFUNCTION("""COMPUTED_VALUE"""),22000.0)</f>
        <v>22000</v>
      </c>
      <c r="F508" s="6">
        <f>IFERROR(__xludf.DUMMYFUNCTION("""COMPUTED_VALUE"""),3915.0)</f>
        <v>3915</v>
      </c>
      <c r="G508" s="10">
        <f>IFERROR(__xludf.DUMMYFUNCTION("""COMPUTED_VALUE"""),18085.0)</f>
        <v>18085</v>
      </c>
      <c r="H508" s="6">
        <f>IFERROR(__xludf.DUMMYFUNCTION("""COMPUTED_VALUE"""),126.59499999999998)</f>
        <v>126.595</v>
      </c>
      <c r="I508" s="11">
        <f>IFERROR(__xludf.DUMMYFUNCTION("""COMPUTED_VALUE"""),17958.405)</f>
        <v>17958.405</v>
      </c>
      <c r="J508" s="6" t="str">
        <f>IFERROR(__xludf.DUMMYFUNCTION("""COMPUTED_VALUE"""),"оплатили в QUGO")</f>
        <v>оплатили в QUGO</v>
      </c>
      <c r="K508" s="6" t="str">
        <f>IFERROR(__xludf.DUMMYFUNCTION("""COMPUTED_VALUE"""),"3915 удержано за ОФ ЗП декабрь")</f>
        <v>3915 удержано за ОФ ЗП декабрь</v>
      </c>
      <c r="L508" s="6">
        <f>IFERROR(__xludf.DUMMYFUNCTION("""COMPUTED_VALUE"""),5.04726268129E11)</f>
        <v>504726268129</v>
      </c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>
        <f>IFERROR(__xludf.DUMMYFUNCTION("""COMPUTED_VALUE"""),2026.0)</f>
        <v>2026</v>
      </c>
      <c r="B509" s="7" t="str">
        <f>IFERROR(__xludf.DUMMYFUNCTION("""COMPUTED_VALUE"""),"1.01-15.01")</f>
        <v>1.01-15.01</v>
      </c>
      <c r="C509" s="8" t="str">
        <f>IFERROR(__xludf.DUMMYFUNCTION("""COMPUTED_VALUE"""),"Рахимов Некбахт")</f>
        <v>Рахимов Некбахт</v>
      </c>
      <c r="D509" s="6" t="str">
        <f>IFERROR(__xludf.DUMMYFUNCTION("""COMPUTED_VALUE"""),"79890499153")</f>
        <v>79890499153</v>
      </c>
      <c r="E509" s="9">
        <f>IFERROR(__xludf.DUMMYFUNCTION("""COMPUTED_VALUE"""),22000.0)</f>
        <v>22000</v>
      </c>
      <c r="F509" s="6"/>
      <c r="G509" s="10">
        <f>IFERROR(__xludf.DUMMYFUNCTION("""COMPUTED_VALUE"""),22000.0)</f>
        <v>22000</v>
      </c>
      <c r="H509" s="6">
        <f>IFERROR(__xludf.DUMMYFUNCTION("""COMPUTED_VALUE"""),153.99999999999997)</f>
        <v>154</v>
      </c>
      <c r="I509" s="11">
        <f>IFERROR(__xludf.DUMMYFUNCTION("""COMPUTED_VALUE"""),21846.0)</f>
        <v>21846</v>
      </c>
      <c r="J509" s="6" t="str">
        <f>IFERROR(__xludf.DUMMYFUNCTION("""COMPUTED_VALUE"""),"оплатили в QUGO")</f>
        <v>оплатили в QUGO</v>
      </c>
      <c r="K509" s="6"/>
      <c r="L509" s="6">
        <f>IFERROR(__xludf.DUMMYFUNCTION("""COMPUTED_VALUE"""),7.72281929709E11)</f>
        <v>772281929709</v>
      </c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>
        <f>IFERROR(__xludf.DUMMYFUNCTION("""COMPUTED_VALUE"""),2026.0)</f>
        <v>2026</v>
      </c>
      <c r="B510" s="7" t="str">
        <f>IFERROR(__xludf.DUMMYFUNCTION("""COMPUTED_VALUE"""),"1.01-15.01")</f>
        <v>1.01-15.01</v>
      </c>
      <c r="C510" s="8" t="str">
        <f>IFERROR(__xludf.DUMMYFUNCTION("""COMPUTED_VALUE"""),"Тураева Райхон")</f>
        <v>Тураева Райхон</v>
      </c>
      <c r="D510" s="6" t="str">
        <f>IFERROR(__xludf.DUMMYFUNCTION("""COMPUTED_VALUE"""),"79776109620")</f>
        <v>79776109620</v>
      </c>
      <c r="E510" s="9">
        <f>IFERROR(__xludf.DUMMYFUNCTION("""COMPUTED_VALUE"""),22000.0)</f>
        <v>22000</v>
      </c>
      <c r="F510" s="6">
        <f>IFERROR(__xludf.DUMMYFUNCTION("""COMPUTED_VALUE"""),3741.0)</f>
        <v>3741</v>
      </c>
      <c r="G510" s="10">
        <f>IFERROR(__xludf.DUMMYFUNCTION("""COMPUTED_VALUE"""),18259.0)</f>
        <v>18259</v>
      </c>
      <c r="H510" s="6">
        <f>IFERROR(__xludf.DUMMYFUNCTION("""COMPUTED_VALUE"""),127.81299999999999)</f>
        <v>127.813</v>
      </c>
      <c r="I510" s="11">
        <f>IFERROR(__xludf.DUMMYFUNCTION("""COMPUTED_VALUE"""),18131.187)</f>
        <v>18131.187</v>
      </c>
      <c r="J510" s="6" t="str">
        <f>IFERROR(__xludf.DUMMYFUNCTION("""COMPUTED_VALUE"""),"оплатили в QUGO")</f>
        <v>оплатили в QUGO</v>
      </c>
      <c r="K510" s="6" t="str">
        <f>IFERROR(__xludf.DUMMYFUNCTION("""COMPUTED_VALUE"""),"3741 удержано за ОФ ЗП декабрь")</f>
        <v>3741 удержано за ОФ ЗП декабрь</v>
      </c>
      <c r="L510" s="6">
        <f>IFERROR(__xludf.DUMMYFUNCTION("""COMPUTED_VALUE"""),5.0072713242E11)</f>
        <v>500727132420</v>
      </c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>
        <f>IFERROR(__xludf.DUMMYFUNCTION("""COMPUTED_VALUE"""),2026.0)</f>
        <v>2026</v>
      </c>
      <c r="B511" s="7" t="str">
        <f>IFERROR(__xludf.DUMMYFUNCTION("""COMPUTED_VALUE"""),"1.01-15.01")</f>
        <v>1.01-15.01</v>
      </c>
      <c r="C511" s="8" t="str">
        <f>IFERROR(__xludf.DUMMYFUNCTION("""COMPUTED_VALUE"""),"Узаков Рустам")</f>
        <v>Узаков Рустам</v>
      </c>
      <c r="D511" s="6" t="str">
        <f>IFERROR(__xludf.DUMMYFUNCTION("""COMPUTED_VALUE"""),"79997197785")</f>
        <v>79997197785</v>
      </c>
      <c r="E511" s="9">
        <f>IFERROR(__xludf.DUMMYFUNCTION("""COMPUTED_VALUE"""),22000.0)</f>
        <v>22000</v>
      </c>
      <c r="F511" s="6"/>
      <c r="G511" s="10">
        <f>IFERROR(__xludf.DUMMYFUNCTION("""COMPUTED_VALUE"""),22000.0)</f>
        <v>22000</v>
      </c>
      <c r="H511" s="6">
        <f>IFERROR(__xludf.DUMMYFUNCTION("""COMPUTED_VALUE"""),153.99999999999997)</f>
        <v>154</v>
      </c>
      <c r="I511" s="11">
        <f>IFERROR(__xludf.DUMMYFUNCTION("""COMPUTED_VALUE"""),21846.0)</f>
        <v>21846</v>
      </c>
      <c r="J511" s="6" t="str">
        <f>IFERROR(__xludf.DUMMYFUNCTION("""COMPUTED_VALUE"""),"оплатили в QUGO")</f>
        <v>оплатили в QUGO</v>
      </c>
      <c r="K511" s="6"/>
      <c r="L511" s="6">
        <f>IFERROR(__xludf.DUMMYFUNCTION("""COMPUTED_VALUE"""),7.000117523E10)</f>
        <v>70001175230</v>
      </c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>
        <f>IFERROR(__xludf.DUMMYFUNCTION("""COMPUTED_VALUE"""),2026.0)</f>
        <v>2026</v>
      </c>
      <c r="B512" s="7" t="str">
        <f>IFERROR(__xludf.DUMMYFUNCTION("""COMPUTED_VALUE"""),"1.01-15.01")</f>
        <v>1.01-15.01</v>
      </c>
      <c r="C512" s="8" t="str">
        <f>IFERROR(__xludf.DUMMYFUNCTION("""COMPUTED_VALUE"""),"Рахимов Сафарали")</f>
        <v>Рахимов Сафарали</v>
      </c>
      <c r="D512" s="6" t="str">
        <f>IFERROR(__xludf.DUMMYFUNCTION("""COMPUTED_VALUE"""),"79776437403")</f>
        <v>79776437403</v>
      </c>
      <c r="E512" s="9">
        <f>IFERROR(__xludf.DUMMYFUNCTION("""COMPUTED_VALUE"""),22000.0)</f>
        <v>22000</v>
      </c>
      <c r="F512" s="6">
        <f>IFERROR(__xludf.DUMMYFUNCTION("""COMPUTED_VALUE"""),3741.0)</f>
        <v>3741</v>
      </c>
      <c r="G512" s="10">
        <f>IFERROR(__xludf.DUMMYFUNCTION("""COMPUTED_VALUE"""),18259.0)</f>
        <v>18259</v>
      </c>
      <c r="H512" s="6">
        <f>IFERROR(__xludf.DUMMYFUNCTION("""COMPUTED_VALUE"""),127.81299999999999)</f>
        <v>127.813</v>
      </c>
      <c r="I512" s="11">
        <f>IFERROR(__xludf.DUMMYFUNCTION("""COMPUTED_VALUE"""),18131.187)</f>
        <v>18131.187</v>
      </c>
      <c r="J512" s="6" t="str">
        <f>IFERROR(__xludf.DUMMYFUNCTION("""COMPUTED_VALUE"""),"оплатили в QUGO")</f>
        <v>оплатили в QUGO</v>
      </c>
      <c r="K512" s="6" t="str">
        <f>IFERROR(__xludf.DUMMYFUNCTION("""COMPUTED_VALUE"""),"3741 удержано за ОФ ЗП декабрь")</f>
        <v>3741 удержано за ОФ ЗП декабрь</v>
      </c>
      <c r="L512" s="6">
        <f>IFERROR(__xludf.DUMMYFUNCTION("""COMPUTED_VALUE"""),7.70979908855E11)</f>
        <v>770979908855</v>
      </c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>
        <f>IFERROR(__xludf.DUMMYFUNCTION("""COMPUTED_VALUE"""),2026.0)</f>
        <v>2026</v>
      </c>
      <c r="B513" s="7" t="str">
        <f>IFERROR(__xludf.DUMMYFUNCTION("""COMPUTED_VALUE"""),"1.01-15.01")</f>
        <v>1.01-15.01</v>
      </c>
      <c r="C513" s="8" t="str">
        <f>IFERROR(__xludf.DUMMYFUNCTION("""COMPUTED_VALUE"""),"Рахматуллаев Мухаммад")</f>
        <v>Рахматуллаев Мухаммад</v>
      </c>
      <c r="D513" s="6" t="str">
        <f>IFERROR(__xludf.DUMMYFUNCTION("""COMPUTED_VALUE"""),"79662669660")</f>
        <v>79662669660</v>
      </c>
      <c r="E513" s="9">
        <f>IFERROR(__xludf.DUMMYFUNCTION("""COMPUTED_VALUE"""),22000.0)</f>
        <v>22000</v>
      </c>
      <c r="F513" s="6"/>
      <c r="G513" s="10">
        <f>IFERROR(__xludf.DUMMYFUNCTION("""COMPUTED_VALUE"""),22000.0)</f>
        <v>22000</v>
      </c>
      <c r="H513" s="6">
        <f>IFERROR(__xludf.DUMMYFUNCTION("""COMPUTED_VALUE"""),153.99999999999997)</f>
        <v>154</v>
      </c>
      <c r="I513" s="11">
        <f>IFERROR(__xludf.DUMMYFUNCTION("""COMPUTED_VALUE"""),21846.0)</f>
        <v>21846</v>
      </c>
      <c r="J513" s="6" t="str">
        <f>IFERROR(__xludf.DUMMYFUNCTION("""COMPUTED_VALUE"""),"оплатили в QUGO")</f>
        <v>оплатили в QUGO</v>
      </c>
      <c r="K513" s="6"/>
      <c r="L513" s="6">
        <f>IFERROR(__xludf.DUMMYFUNCTION("""COMPUTED_VALUE"""),7.75175953769E11)</f>
        <v>775175953769</v>
      </c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>
        <f>IFERROR(__xludf.DUMMYFUNCTION("""COMPUTED_VALUE"""),2026.0)</f>
        <v>2026</v>
      </c>
      <c r="B514" s="7" t="str">
        <f>IFERROR(__xludf.DUMMYFUNCTION("""COMPUTED_VALUE"""),"1.01-15.01")</f>
        <v>1.01-15.01</v>
      </c>
      <c r="C514" s="8" t="str">
        <f>IFERROR(__xludf.DUMMYFUNCTION("""COMPUTED_VALUE"""),"Сайдуллаев Музаффар")</f>
        <v>Сайдуллаев Музаффар</v>
      </c>
      <c r="D514" s="6" t="str">
        <f>IFERROR(__xludf.DUMMYFUNCTION("""COMPUTED_VALUE"""),"79997977857")</f>
        <v>79997977857</v>
      </c>
      <c r="E514" s="9">
        <f>IFERROR(__xludf.DUMMYFUNCTION("""COMPUTED_VALUE"""),22000.0)</f>
        <v>22000</v>
      </c>
      <c r="F514" s="6"/>
      <c r="G514" s="10">
        <f>IFERROR(__xludf.DUMMYFUNCTION("""COMPUTED_VALUE"""),22000.0)</f>
        <v>22000</v>
      </c>
      <c r="H514" s="6">
        <f>IFERROR(__xludf.DUMMYFUNCTION("""COMPUTED_VALUE"""),153.99999999999997)</f>
        <v>154</v>
      </c>
      <c r="I514" s="11">
        <f>IFERROR(__xludf.DUMMYFUNCTION("""COMPUTED_VALUE"""),21846.0)</f>
        <v>21846</v>
      </c>
      <c r="J514" s="6" t="str">
        <f>IFERROR(__xludf.DUMMYFUNCTION("""COMPUTED_VALUE"""),"оплатили в QUGO")</f>
        <v>оплатили в QUGO</v>
      </c>
      <c r="K514" s="6"/>
      <c r="L514" s="6">
        <f>IFERROR(__xludf.DUMMYFUNCTION("""COMPUTED_VALUE"""),7.75123675454E11)</f>
        <v>775123675454</v>
      </c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>
        <f>IFERROR(__xludf.DUMMYFUNCTION("""COMPUTED_VALUE"""),2026.0)</f>
        <v>2026</v>
      </c>
      <c r="B515" s="7" t="str">
        <f>IFERROR(__xludf.DUMMYFUNCTION("""COMPUTED_VALUE"""),"1.01-15.01")</f>
        <v>1.01-15.01</v>
      </c>
      <c r="C515" s="8" t="str">
        <f>IFERROR(__xludf.DUMMYFUNCTION("""COMPUTED_VALUE"""),"Муратова Алие")</f>
        <v>Муратова Алие</v>
      </c>
      <c r="D515" s="6" t="str">
        <f>IFERROR(__xludf.DUMMYFUNCTION("""COMPUTED_VALUE"""),"79129707604")</f>
        <v>79129707604</v>
      </c>
      <c r="E515" s="9">
        <f>IFERROR(__xludf.DUMMYFUNCTION("""COMPUTED_VALUE"""),22000.0)</f>
        <v>22000</v>
      </c>
      <c r="F515" s="6">
        <f>IFERROR(__xludf.DUMMYFUNCTION("""COMPUTED_VALUE"""),3567.0)</f>
        <v>3567</v>
      </c>
      <c r="G515" s="10">
        <f>IFERROR(__xludf.DUMMYFUNCTION("""COMPUTED_VALUE"""),18433.0)</f>
        <v>18433</v>
      </c>
      <c r="H515" s="6">
        <f>IFERROR(__xludf.DUMMYFUNCTION("""COMPUTED_VALUE"""),129.03099999999998)</f>
        <v>129.031</v>
      </c>
      <c r="I515" s="11">
        <f>IFERROR(__xludf.DUMMYFUNCTION("""COMPUTED_VALUE"""),18303.969)</f>
        <v>18303.969</v>
      </c>
      <c r="J515" s="6" t="str">
        <f>IFERROR(__xludf.DUMMYFUNCTION("""COMPUTED_VALUE"""),"оплатили в QUGO")</f>
        <v>оплатили в QUGO</v>
      </c>
      <c r="K515" s="6" t="str">
        <f>IFERROR(__xludf.DUMMYFUNCTION("""COMPUTED_VALUE"""),"3567 удержано за ОФ ЗП декабрь")</f>
        <v>3567 удержано за ОФ ЗП декабрь</v>
      </c>
      <c r="L515" s="6">
        <f>IFERROR(__xludf.DUMMYFUNCTION("""COMPUTED_VALUE"""),2.30412983604E11)</f>
        <v>230412983604</v>
      </c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>
        <f>IFERROR(__xludf.DUMMYFUNCTION("""COMPUTED_VALUE"""),2026.0)</f>
        <v>2026</v>
      </c>
      <c r="B516" s="7" t="str">
        <f>IFERROR(__xludf.DUMMYFUNCTION("""COMPUTED_VALUE"""),"1.01-15.01")</f>
        <v>1.01-15.01</v>
      </c>
      <c r="C516" s="8" t="str">
        <f>IFERROR(__xludf.DUMMYFUNCTION("""COMPUTED_VALUE"""),"Рахимова Нигора")</f>
        <v>Рахимова Нигора</v>
      </c>
      <c r="D516" s="6" t="str">
        <f>IFERROR(__xludf.DUMMYFUNCTION("""COMPUTED_VALUE"""),"79032802321")</f>
        <v>79032802321</v>
      </c>
      <c r="E516" s="9">
        <f>IFERROR(__xludf.DUMMYFUNCTION("""COMPUTED_VALUE"""),22000.0)</f>
        <v>22000</v>
      </c>
      <c r="F516" s="6">
        <f>IFERROR(__xludf.DUMMYFUNCTION("""COMPUTED_VALUE"""),3654.0)</f>
        <v>3654</v>
      </c>
      <c r="G516" s="10">
        <f>IFERROR(__xludf.DUMMYFUNCTION("""COMPUTED_VALUE"""),18346.0)</f>
        <v>18346</v>
      </c>
      <c r="H516" s="6">
        <f>IFERROR(__xludf.DUMMYFUNCTION("""COMPUTED_VALUE"""),128.422)</f>
        <v>128.422</v>
      </c>
      <c r="I516" s="11">
        <f>IFERROR(__xludf.DUMMYFUNCTION("""COMPUTED_VALUE"""),18217.578)</f>
        <v>18217.578</v>
      </c>
      <c r="J516" s="6" t="str">
        <f>IFERROR(__xludf.DUMMYFUNCTION("""COMPUTED_VALUE"""),"оплатили в QUGO")</f>
        <v>оплатили в QUGO</v>
      </c>
      <c r="K516" s="6" t="str">
        <f>IFERROR(__xludf.DUMMYFUNCTION("""COMPUTED_VALUE"""),"3654 удержано за ОФ ЗП декабрь")</f>
        <v>3654 удержано за ОФ ЗП декабрь</v>
      </c>
      <c r="L516" s="6">
        <f>IFERROR(__xludf.DUMMYFUNCTION("""COMPUTED_VALUE"""),7.7515166163E11)</f>
        <v>775151661630</v>
      </c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>
        <f>IFERROR(__xludf.DUMMYFUNCTION("""COMPUTED_VALUE"""),2026.0)</f>
        <v>2026</v>
      </c>
      <c r="B517" s="7" t="str">
        <f>IFERROR(__xludf.DUMMYFUNCTION("""COMPUTED_VALUE"""),"1.01-15.01")</f>
        <v>1.01-15.01</v>
      </c>
      <c r="C517" s="8" t="str">
        <f>IFERROR(__xludf.DUMMYFUNCTION("""COMPUTED_VALUE"""),"Нурбаева Умеда")</f>
        <v>Нурбаева Умеда</v>
      </c>
      <c r="D517" s="6" t="str">
        <f>IFERROR(__xludf.DUMMYFUNCTION("""COMPUTED_VALUE"""),"79250388417")</f>
        <v>79250388417</v>
      </c>
      <c r="E517" s="9">
        <f>IFERROR(__xludf.DUMMYFUNCTION("""COMPUTED_VALUE"""),22000.0)</f>
        <v>22000</v>
      </c>
      <c r="F517" s="6"/>
      <c r="G517" s="10">
        <f>IFERROR(__xludf.DUMMYFUNCTION("""COMPUTED_VALUE"""),22000.0)</f>
        <v>22000</v>
      </c>
      <c r="H517" s="6">
        <f>IFERROR(__xludf.DUMMYFUNCTION("""COMPUTED_VALUE"""),153.99999999999997)</f>
        <v>154</v>
      </c>
      <c r="I517" s="11">
        <f>IFERROR(__xludf.DUMMYFUNCTION("""COMPUTED_VALUE"""),21846.0)</f>
        <v>21846</v>
      </c>
      <c r="J517" s="6" t="str">
        <f>IFERROR(__xludf.DUMMYFUNCTION("""COMPUTED_VALUE"""),"оплатили в QUGO")</f>
        <v>оплатили в QUGO</v>
      </c>
      <c r="K517" s="6"/>
      <c r="L517" s="6">
        <f>IFERROR(__xludf.DUMMYFUNCTION("""COMPUTED_VALUE"""),9.71521363276E11)</f>
        <v>971521363276</v>
      </c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>
        <f>IFERROR(__xludf.DUMMYFUNCTION("""COMPUTED_VALUE"""),2026.0)</f>
        <v>2026</v>
      </c>
      <c r="B518" s="7" t="str">
        <f>IFERROR(__xludf.DUMMYFUNCTION("""COMPUTED_VALUE"""),"1.01-15.01")</f>
        <v>1.01-15.01</v>
      </c>
      <c r="C518" s="8" t="str">
        <f>IFERROR(__xludf.DUMMYFUNCTION("""COMPUTED_VALUE"""),"Ходжаев Мухаммад")</f>
        <v>Ходжаев Мухаммад</v>
      </c>
      <c r="D518" s="6" t="str">
        <f>IFERROR(__xludf.DUMMYFUNCTION("""COMPUTED_VALUE"""),"79851400399")</f>
        <v>79851400399</v>
      </c>
      <c r="E518" s="9">
        <f>IFERROR(__xludf.DUMMYFUNCTION("""COMPUTED_VALUE"""),45500.0)</f>
        <v>45500</v>
      </c>
      <c r="F518" s="6">
        <f>IFERROR(__xludf.DUMMYFUNCTION("""COMPUTED_VALUE"""),3828.0)</f>
        <v>3828</v>
      </c>
      <c r="G518" s="10">
        <f>IFERROR(__xludf.DUMMYFUNCTION("""COMPUTED_VALUE"""),41672.0)</f>
        <v>41672</v>
      </c>
      <c r="H518" s="6">
        <f>IFERROR(__xludf.DUMMYFUNCTION("""COMPUTED_VALUE"""),291.70399999999995)</f>
        <v>291.704</v>
      </c>
      <c r="I518" s="11">
        <f>IFERROR(__xludf.DUMMYFUNCTION("""COMPUTED_VALUE"""),41380.296)</f>
        <v>41380.296</v>
      </c>
      <c r="J518" s="6" t="str">
        <f>IFERROR(__xludf.DUMMYFUNCTION("""COMPUTED_VALUE"""),"оплатили в QUGO")</f>
        <v>оплатили в QUGO</v>
      </c>
      <c r="K518" s="6" t="str">
        <f>IFERROR(__xludf.DUMMYFUNCTION("""COMPUTED_VALUE"""),"3828 удержано за ОФ ЗП декабрь")</f>
        <v>3828 удержано за ОФ ЗП декабрь</v>
      </c>
      <c r="L518" s="6">
        <f>IFERROR(__xludf.DUMMYFUNCTION("""COMPUTED_VALUE"""),7.7515935605E11)</f>
        <v>775159356050</v>
      </c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>
        <f>IFERROR(__xludf.DUMMYFUNCTION("""COMPUTED_VALUE"""),2026.0)</f>
        <v>2026</v>
      </c>
      <c r="B519" s="7" t="str">
        <f>IFERROR(__xludf.DUMMYFUNCTION("""COMPUTED_VALUE"""),"1.01-15.01")</f>
        <v>1.01-15.01</v>
      </c>
      <c r="C519" s="8" t="str">
        <f>IFERROR(__xludf.DUMMYFUNCTION("""COMPUTED_VALUE"""),"Камолзода Саидабону")</f>
        <v>Камолзода Саидабону</v>
      </c>
      <c r="D519" s="6" t="str">
        <f>IFERROR(__xludf.DUMMYFUNCTION("""COMPUTED_VALUE"""),"79776328956")</f>
        <v>79776328956</v>
      </c>
      <c r="E519" s="9">
        <f>IFERROR(__xludf.DUMMYFUNCTION("""COMPUTED_VALUE"""),63600.0)</f>
        <v>63600</v>
      </c>
      <c r="F519" s="6">
        <f>IFERROR(__xludf.DUMMYFUNCTION("""COMPUTED_VALUE"""),3567.0)</f>
        <v>3567</v>
      </c>
      <c r="G519" s="10">
        <f>IFERROR(__xludf.DUMMYFUNCTION("""COMPUTED_VALUE"""),60033.0)</f>
        <v>60033</v>
      </c>
      <c r="H519" s="6">
        <f>IFERROR(__xludf.DUMMYFUNCTION("""COMPUTED_VALUE"""),420.23099999999994)</f>
        <v>420.231</v>
      </c>
      <c r="I519" s="11">
        <f>IFERROR(__xludf.DUMMYFUNCTION("""COMPUTED_VALUE"""),59612.769)</f>
        <v>59612.769</v>
      </c>
      <c r="J519" s="6" t="str">
        <f>IFERROR(__xludf.DUMMYFUNCTION("""COMPUTED_VALUE"""),"оплатили в QUGO")</f>
        <v>оплатили в QUGO</v>
      </c>
      <c r="K519" s="6" t="str">
        <f>IFERROR(__xludf.DUMMYFUNCTION("""COMPUTED_VALUE"""),"3567 удержано за ОФ ЗП декабрь")</f>
        <v>3567 удержано за ОФ ЗП декабрь</v>
      </c>
      <c r="L519" s="6">
        <f>IFERROR(__xludf.DUMMYFUNCTION("""COMPUTED_VALUE"""),7.72844070731E11)</f>
        <v>772844070731</v>
      </c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>
        <f>IFERROR(__xludf.DUMMYFUNCTION("""COMPUTED_VALUE"""),2026.0)</f>
        <v>2026</v>
      </c>
      <c r="B520" s="7" t="str">
        <f>IFERROR(__xludf.DUMMYFUNCTION("""COMPUTED_VALUE"""),"1.01-15.01")</f>
        <v>1.01-15.01</v>
      </c>
      <c r="C520" s="8" t="str">
        <f>IFERROR(__xludf.DUMMYFUNCTION("""COMPUTED_VALUE"""),"Холмирзаев Сахиб")</f>
        <v>Холмирзаев Сахиб</v>
      </c>
      <c r="D520" s="6" t="str">
        <f>IFERROR(__xludf.DUMMYFUNCTION("""COMPUTED_VALUE"""),"79969750701")</f>
        <v>79969750701</v>
      </c>
      <c r="E520" s="9">
        <f>IFERROR(__xludf.DUMMYFUNCTION("""COMPUTED_VALUE"""),60000.0)</f>
        <v>60000</v>
      </c>
      <c r="F520" s="6"/>
      <c r="G520" s="10">
        <f>IFERROR(__xludf.DUMMYFUNCTION("""COMPUTED_VALUE"""),60000.0)</f>
        <v>60000</v>
      </c>
      <c r="H520" s="6">
        <f>IFERROR(__xludf.DUMMYFUNCTION("""COMPUTED_VALUE"""),419.99999999999994)</f>
        <v>420</v>
      </c>
      <c r="I520" s="11">
        <f>IFERROR(__xludf.DUMMYFUNCTION("""COMPUTED_VALUE"""),59580.0)</f>
        <v>59580</v>
      </c>
      <c r="J520" s="6" t="str">
        <f>IFERROR(__xludf.DUMMYFUNCTION("""COMPUTED_VALUE"""),"оплатили в QUGO")</f>
        <v>оплатили в QUGO</v>
      </c>
      <c r="K520" s="6"/>
      <c r="L520" s="6">
        <f>IFERROR(__xludf.DUMMYFUNCTION("""COMPUTED_VALUE"""),7.84210910349E11)</f>
        <v>784210910349</v>
      </c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>
        <f>IFERROR(__xludf.DUMMYFUNCTION("""COMPUTED_VALUE"""),2026.0)</f>
        <v>2026</v>
      </c>
      <c r="B521" s="7" t="str">
        <f>IFERROR(__xludf.DUMMYFUNCTION("""COMPUTED_VALUE"""),"1.01-15.01")</f>
        <v>1.01-15.01</v>
      </c>
      <c r="C521" s="8" t="str">
        <f>IFERROR(__xludf.DUMMYFUNCTION("""COMPUTED_VALUE"""),"Джуманиязова Саида")</f>
        <v>Джуманиязова Саида</v>
      </c>
      <c r="D521" s="6" t="str">
        <f>IFERROR(__xludf.DUMMYFUNCTION("""COMPUTED_VALUE"""),"79686192625")</f>
        <v>79686192625</v>
      </c>
      <c r="E521" s="9">
        <f>IFERROR(__xludf.DUMMYFUNCTION("""COMPUTED_VALUE"""),52000.0)</f>
        <v>52000</v>
      </c>
      <c r="F521" s="6"/>
      <c r="G521" s="10">
        <f>IFERROR(__xludf.DUMMYFUNCTION("""COMPUTED_VALUE"""),52000.0)</f>
        <v>52000</v>
      </c>
      <c r="H521" s="6">
        <f>IFERROR(__xludf.DUMMYFUNCTION("""COMPUTED_VALUE"""),363.99999999999994)</f>
        <v>364</v>
      </c>
      <c r="I521" s="11">
        <f>IFERROR(__xludf.DUMMYFUNCTION("""COMPUTED_VALUE"""),51636.0)</f>
        <v>51636</v>
      </c>
      <c r="J521" s="6" t="str">
        <f>IFERROR(__xludf.DUMMYFUNCTION("""COMPUTED_VALUE"""),"оплатили в QUGO")</f>
        <v>оплатили в QUGO</v>
      </c>
      <c r="K521" s="6"/>
      <c r="L521" s="6">
        <f>IFERROR(__xludf.DUMMYFUNCTION("""COMPUTED_VALUE"""),7.7343164594E11)</f>
        <v>773431645940</v>
      </c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>
        <f>IFERROR(__xludf.DUMMYFUNCTION("""COMPUTED_VALUE"""),2026.0)</f>
        <v>2026</v>
      </c>
      <c r="B522" s="7" t="str">
        <f>IFERROR(__xludf.DUMMYFUNCTION("""COMPUTED_VALUE"""),"1.01-15.01")</f>
        <v>1.01-15.01</v>
      </c>
      <c r="C522" s="8" t="str">
        <f>IFERROR(__xludf.DUMMYFUNCTION("""COMPUTED_VALUE"""),"Камолов Асилбек")</f>
        <v>Камолов Асилбек</v>
      </c>
      <c r="D522" s="6" t="str">
        <f>IFERROR(__xludf.DUMMYFUNCTION("""COMPUTED_VALUE"""),"79231408041")</f>
        <v>79231408041</v>
      </c>
      <c r="E522" s="9">
        <f>IFERROR(__xludf.DUMMYFUNCTION("""COMPUTED_VALUE"""),44000.0)</f>
        <v>44000</v>
      </c>
      <c r="F522" s="6">
        <f>IFERROR(__xludf.DUMMYFUNCTION("""COMPUTED_VALUE"""),3828.0)</f>
        <v>3828</v>
      </c>
      <c r="G522" s="10">
        <f>IFERROR(__xludf.DUMMYFUNCTION("""COMPUTED_VALUE"""),40172.0)</f>
        <v>40172</v>
      </c>
      <c r="H522" s="6">
        <f>IFERROR(__xludf.DUMMYFUNCTION("""COMPUTED_VALUE"""),281.20399999999995)</f>
        <v>281.204</v>
      </c>
      <c r="I522" s="11">
        <f>IFERROR(__xludf.DUMMYFUNCTION("""COMPUTED_VALUE"""),39890.796)</f>
        <v>39890.796</v>
      </c>
      <c r="J522" s="6" t="str">
        <f>IFERROR(__xludf.DUMMYFUNCTION("""COMPUTED_VALUE"""),"оплатили в QUGO")</f>
        <v>оплатили в QUGO</v>
      </c>
      <c r="K522" s="6" t="str">
        <f>IFERROR(__xludf.DUMMYFUNCTION("""COMPUTED_VALUE"""),"3828 удержано за ОФ ЗП декабрь")</f>
        <v>3828 удержано за ОФ ЗП декабрь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>
        <f>IFERROR(__xludf.DUMMYFUNCTION("""COMPUTED_VALUE"""),2026.0)</f>
        <v>2026</v>
      </c>
      <c r="B523" s="7" t="str">
        <f>IFERROR(__xludf.DUMMYFUNCTION("""COMPUTED_VALUE"""),"1.01-15.01")</f>
        <v>1.01-15.01</v>
      </c>
      <c r="C523" s="8" t="str">
        <f>IFERROR(__xludf.DUMMYFUNCTION("""COMPUTED_VALUE"""),"Юлдашева Нигора")</f>
        <v>Юлдашева Нигора</v>
      </c>
      <c r="D523" s="6" t="str">
        <f>IFERROR(__xludf.DUMMYFUNCTION("""COMPUTED_VALUE"""),"79963682991")</f>
        <v>79963682991</v>
      </c>
      <c r="E523" s="9">
        <f>IFERROR(__xludf.DUMMYFUNCTION("""COMPUTED_VALUE"""),40700.0)</f>
        <v>40700</v>
      </c>
      <c r="F523" s="6">
        <f>IFERROR(__xludf.DUMMYFUNCTION("""COMPUTED_VALUE"""),3654.0)</f>
        <v>3654</v>
      </c>
      <c r="G523" s="10">
        <f>IFERROR(__xludf.DUMMYFUNCTION("""COMPUTED_VALUE"""),37046.0)</f>
        <v>37046</v>
      </c>
      <c r="H523" s="6">
        <f>IFERROR(__xludf.DUMMYFUNCTION("""COMPUTED_VALUE"""),259.32199999999995)</f>
        <v>259.322</v>
      </c>
      <c r="I523" s="11">
        <f>IFERROR(__xludf.DUMMYFUNCTION("""COMPUTED_VALUE"""),36786.678)</f>
        <v>36786.678</v>
      </c>
      <c r="J523" s="6" t="str">
        <f>IFERROR(__xludf.DUMMYFUNCTION("""COMPUTED_VALUE"""),"оплатили в QUGO")</f>
        <v>оплатили в QUGO</v>
      </c>
      <c r="K523" s="6" t="str">
        <f>IFERROR(__xludf.DUMMYFUNCTION("""COMPUTED_VALUE"""),"3654 удержано за ОФ ЗП декабрь")</f>
        <v>3654 удержано за ОФ ЗП декабрь</v>
      </c>
      <c r="L523" s="6">
        <f>IFERROR(__xludf.DUMMYFUNCTION("""COMPUTED_VALUE"""),7.7512017364E11)</f>
        <v>775120173640</v>
      </c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>
        <f>IFERROR(__xludf.DUMMYFUNCTION("""COMPUTED_VALUE"""),2026.0)</f>
        <v>2026</v>
      </c>
      <c r="B524" s="7" t="str">
        <f>IFERROR(__xludf.DUMMYFUNCTION("""COMPUTED_VALUE"""),"1.01-15.01")</f>
        <v>1.01-15.01</v>
      </c>
      <c r="C524" s="8" t="str">
        <f>IFERROR(__xludf.DUMMYFUNCTION("""COMPUTED_VALUE"""),"Уринова Гулсара")</f>
        <v>Уринова Гулсара</v>
      </c>
      <c r="D524" s="6" t="str">
        <f>IFERROR(__xludf.DUMMYFUNCTION("""COMPUTED_VALUE"""),"79969800138")</f>
        <v>79969800138</v>
      </c>
      <c r="E524" s="9">
        <f>IFERROR(__xludf.DUMMYFUNCTION("""COMPUTED_VALUE"""),28000.0)</f>
        <v>28000</v>
      </c>
      <c r="F524" s="6"/>
      <c r="G524" s="10">
        <f>IFERROR(__xludf.DUMMYFUNCTION("""COMPUTED_VALUE"""),28000.0)</f>
        <v>28000</v>
      </c>
      <c r="H524" s="6">
        <f>IFERROR(__xludf.DUMMYFUNCTION("""COMPUTED_VALUE"""),195.99999999999997)</f>
        <v>196</v>
      </c>
      <c r="I524" s="11">
        <f>IFERROR(__xludf.DUMMYFUNCTION("""COMPUTED_VALUE"""),27804.0)</f>
        <v>27804</v>
      </c>
      <c r="J524" s="6" t="str">
        <f>IFERROR(__xludf.DUMMYFUNCTION("""COMPUTED_VALUE"""),"оплатили в QUGO")</f>
        <v>оплатили в QUGO</v>
      </c>
      <c r="K524" s="6"/>
      <c r="L524" s="6">
        <f>IFERROR(__xludf.DUMMYFUNCTION("""COMPUTED_VALUE"""),7.75175950165E11)</f>
        <v>775175950165</v>
      </c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>
        <f>IFERROR(__xludf.DUMMYFUNCTION("""COMPUTED_VALUE"""),2026.0)</f>
        <v>2026</v>
      </c>
      <c r="B525" s="7" t="str">
        <f>IFERROR(__xludf.DUMMYFUNCTION("""COMPUTED_VALUE"""),"1.01-15.01")</f>
        <v>1.01-15.01</v>
      </c>
      <c r="C525" s="8" t="str">
        <f>IFERROR(__xludf.DUMMYFUNCTION("""COMPUTED_VALUE"""),"Камилова Назира")</f>
        <v>Камилова Назира</v>
      </c>
      <c r="D525" s="6" t="str">
        <f>IFERROR(__xludf.DUMMYFUNCTION("""COMPUTED_VALUE"""),"79035139996")</f>
        <v>79035139996</v>
      </c>
      <c r="E525" s="9">
        <f>IFERROR(__xludf.DUMMYFUNCTION("""COMPUTED_VALUE"""),14800.0)</f>
        <v>14800</v>
      </c>
      <c r="F525" s="6"/>
      <c r="G525" s="10">
        <f>IFERROR(__xludf.DUMMYFUNCTION("""COMPUTED_VALUE"""),14800.0)</f>
        <v>14800</v>
      </c>
      <c r="H525" s="6">
        <f>IFERROR(__xludf.DUMMYFUNCTION("""COMPUTED_VALUE"""),103.6)</f>
        <v>103.6</v>
      </c>
      <c r="I525" s="11">
        <f>IFERROR(__xludf.DUMMYFUNCTION("""COMPUTED_VALUE"""),14696.4)</f>
        <v>14696.4</v>
      </c>
      <c r="J525" s="6" t="str">
        <f>IFERROR(__xludf.DUMMYFUNCTION("""COMPUTED_VALUE"""),"оплатили в QUGO")</f>
        <v>оплатили в QUGO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>
        <f>IFERROR(__xludf.DUMMYFUNCTION("""COMPUTED_VALUE"""),2026.0)</f>
        <v>2026</v>
      </c>
      <c r="B526" s="7" t="str">
        <f>IFERROR(__xludf.DUMMYFUNCTION("""COMPUTED_VALUE"""),"1.01-15.01")</f>
        <v>1.01-15.01</v>
      </c>
      <c r="C526" s="8" t="str">
        <f>IFERROR(__xludf.DUMMYFUNCTION("""COMPUTED_VALUE"""),"Узаков Рустам")</f>
        <v>Узаков Рустам</v>
      </c>
      <c r="D526" s="6" t="str">
        <f>IFERROR(__xludf.DUMMYFUNCTION("""COMPUTED_VALUE"""),"79997197785")</f>
        <v>79997197785</v>
      </c>
      <c r="E526" s="9">
        <f>IFERROR(__xludf.DUMMYFUNCTION("""COMPUTED_VALUE"""),18500.0)</f>
        <v>18500</v>
      </c>
      <c r="F526" s="6"/>
      <c r="G526" s="10">
        <f>IFERROR(__xludf.DUMMYFUNCTION("""COMPUTED_VALUE"""),18500.0)</f>
        <v>18500</v>
      </c>
      <c r="H526" s="6">
        <f>IFERROR(__xludf.DUMMYFUNCTION("""COMPUTED_VALUE"""),129.5)</f>
        <v>129.5</v>
      </c>
      <c r="I526" s="11">
        <f>IFERROR(__xludf.DUMMYFUNCTION("""COMPUTED_VALUE"""),18370.5)</f>
        <v>18370.5</v>
      </c>
      <c r="J526" s="6" t="str">
        <f>IFERROR(__xludf.DUMMYFUNCTION("""COMPUTED_VALUE"""),"оплатили в QUGO")</f>
        <v>оплатили в QUGO</v>
      </c>
      <c r="K526" s="6"/>
      <c r="L526" s="6">
        <f>IFERROR(__xludf.DUMMYFUNCTION("""COMPUTED_VALUE"""),7.000117523E10)</f>
        <v>70001175230</v>
      </c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>
        <f>IFERROR(__xludf.DUMMYFUNCTION("""COMPUTED_VALUE"""),2026.0)</f>
        <v>2026</v>
      </c>
      <c r="B527" s="7" t="str">
        <f>IFERROR(__xludf.DUMMYFUNCTION("""COMPUTED_VALUE"""),"1.01-15.01")</f>
        <v>1.01-15.01</v>
      </c>
      <c r="C527" s="8" t="str">
        <f>IFERROR(__xludf.DUMMYFUNCTION("""COMPUTED_VALUE"""),"Мамадалиев Шамшод")</f>
        <v>Мамадалиев Шамшод</v>
      </c>
      <c r="D527" s="6" t="str">
        <f>IFERROR(__xludf.DUMMYFUNCTION("""COMPUTED_VALUE"""),"79309907663")</f>
        <v>79309907663</v>
      </c>
      <c r="E527" s="9">
        <f>IFERROR(__xludf.DUMMYFUNCTION("""COMPUTED_VALUE"""),46770.0)</f>
        <v>46770</v>
      </c>
      <c r="F527" s="6">
        <f>IFERROR(__xludf.DUMMYFUNCTION("""COMPUTED_VALUE"""),3567.0)</f>
        <v>3567</v>
      </c>
      <c r="G527" s="10">
        <f>IFERROR(__xludf.DUMMYFUNCTION("""COMPUTED_VALUE"""),43203.0)</f>
        <v>43203</v>
      </c>
      <c r="H527" s="6">
        <f>IFERROR(__xludf.DUMMYFUNCTION("""COMPUTED_VALUE"""),302.421)</f>
        <v>302.421</v>
      </c>
      <c r="I527" s="11">
        <f>IFERROR(__xludf.DUMMYFUNCTION("""COMPUTED_VALUE"""),42900.579)</f>
        <v>42900.579</v>
      </c>
      <c r="J527" s="6" t="str">
        <f>IFERROR(__xludf.DUMMYFUNCTION("""COMPUTED_VALUE"""),"оплатили в QUGO")</f>
        <v>оплатили в QUGO</v>
      </c>
      <c r="K527" s="6" t="str">
        <f>IFERROR(__xludf.DUMMYFUNCTION("""COMPUTED_VALUE"""),"3567 удержано за ОФ ЗП декабрь")</f>
        <v>3567 удержано за ОФ ЗП декабрь</v>
      </c>
      <c r="L527" s="6">
        <f>IFERROR(__xludf.DUMMYFUNCTION("""COMPUTED_VALUE"""),7.75163599087E11)</f>
        <v>775163599087</v>
      </c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>
        <f>IFERROR(__xludf.DUMMYFUNCTION("""COMPUTED_VALUE"""),2026.0)</f>
        <v>2026</v>
      </c>
      <c r="B528" s="7" t="str">
        <f>IFERROR(__xludf.DUMMYFUNCTION("""COMPUTED_VALUE"""),"1.01-15.01")</f>
        <v>1.01-15.01</v>
      </c>
      <c r="C528" s="8" t="str">
        <f>IFERROR(__xludf.DUMMYFUNCTION("""COMPUTED_VALUE"""),"Сатаров Адхам")</f>
        <v>Сатаров Адхам</v>
      </c>
      <c r="D528" s="6" t="str">
        <f>IFERROR(__xludf.DUMMYFUNCTION("""COMPUTED_VALUE"""),"79057456061")</f>
        <v>79057456061</v>
      </c>
      <c r="E528" s="9">
        <f>IFERROR(__xludf.DUMMYFUNCTION("""COMPUTED_VALUE"""),60000.0)</f>
        <v>60000</v>
      </c>
      <c r="F528" s="6">
        <f>IFERROR(__xludf.DUMMYFUNCTION("""COMPUTED_VALUE"""),3741.0)</f>
        <v>3741</v>
      </c>
      <c r="G528" s="10">
        <f>IFERROR(__xludf.DUMMYFUNCTION("""COMPUTED_VALUE"""),56259.0)</f>
        <v>56259</v>
      </c>
      <c r="H528" s="6">
        <f>IFERROR(__xludf.DUMMYFUNCTION("""COMPUTED_VALUE"""),393.81299999999993)</f>
        <v>393.813</v>
      </c>
      <c r="I528" s="11">
        <f>IFERROR(__xludf.DUMMYFUNCTION("""COMPUTED_VALUE"""),55865.187)</f>
        <v>55865.187</v>
      </c>
      <c r="J528" s="6" t="str">
        <f>IFERROR(__xludf.DUMMYFUNCTION("""COMPUTED_VALUE"""),"оплатили в QUGO")</f>
        <v>оплатили в QUGO</v>
      </c>
      <c r="K528" s="6" t="str">
        <f>IFERROR(__xludf.DUMMYFUNCTION("""COMPUTED_VALUE"""),"3741 удержано за ОФ ЗП декабрь")</f>
        <v>3741 удержано за ОФ ЗП декабрь</v>
      </c>
      <c r="L528" s="6">
        <f>IFERROR(__xludf.DUMMYFUNCTION("""COMPUTED_VALUE"""),7.75117173632E11)</f>
        <v>775117173632</v>
      </c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>
        <f>IFERROR(__xludf.DUMMYFUNCTION("""COMPUTED_VALUE"""),2026.0)</f>
        <v>2026</v>
      </c>
      <c r="B529" s="7" t="str">
        <f>IFERROR(__xludf.DUMMYFUNCTION("""COMPUTED_VALUE"""),"1.01-15.01")</f>
        <v>1.01-15.01</v>
      </c>
      <c r="C529" s="8" t="str">
        <f>IFERROR(__xludf.DUMMYFUNCTION("""COMPUTED_VALUE"""),"Мухмудов Ботиржон")</f>
        <v>Мухмудов Ботиржон</v>
      </c>
      <c r="D529" s="6" t="str">
        <f>IFERROR(__xludf.DUMMYFUNCTION("""COMPUTED_VALUE"""),"79030178883")</f>
        <v>79030178883</v>
      </c>
      <c r="E529" s="9">
        <f>IFERROR(__xludf.DUMMYFUNCTION("""COMPUTED_VALUE"""),60000.0)</f>
        <v>60000</v>
      </c>
      <c r="F529" s="6">
        <f>IFERROR(__xludf.DUMMYFUNCTION("""COMPUTED_VALUE"""),3654.0)</f>
        <v>3654</v>
      </c>
      <c r="G529" s="10">
        <f>IFERROR(__xludf.DUMMYFUNCTION("""COMPUTED_VALUE"""),56346.0)</f>
        <v>56346</v>
      </c>
      <c r="H529" s="6">
        <f>IFERROR(__xludf.DUMMYFUNCTION("""COMPUTED_VALUE"""),394.42199999999997)</f>
        <v>394.422</v>
      </c>
      <c r="I529" s="11">
        <f>IFERROR(__xludf.DUMMYFUNCTION("""COMPUTED_VALUE"""),55951.578)</f>
        <v>55951.578</v>
      </c>
      <c r="J529" s="6" t="str">
        <f>IFERROR(__xludf.DUMMYFUNCTION("""COMPUTED_VALUE"""),"оплатили в QUGO")</f>
        <v>оплатили в QUGO</v>
      </c>
      <c r="K529" s="6" t="str">
        <f>IFERROR(__xludf.DUMMYFUNCTION("""COMPUTED_VALUE"""),"3654 удержано за ОФ ЗП декабрь")</f>
        <v>3654 удержано за ОФ ЗП декабрь</v>
      </c>
      <c r="L529" s="6">
        <f>IFERROR(__xludf.DUMMYFUNCTION("""COMPUTED_VALUE"""),5.02776294258E11)</f>
        <v>502776294258</v>
      </c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>
        <f>IFERROR(__xludf.DUMMYFUNCTION("""COMPUTED_VALUE"""),2026.0)</f>
        <v>2026</v>
      </c>
      <c r="B530" s="7" t="str">
        <f>IFERROR(__xludf.DUMMYFUNCTION("""COMPUTED_VALUE"""),"1.01-15.01")</f>
        <v>1.01-15.01</v>
      </c>
      <c r="C530" s="8" t="str">
        <f>IFERROR(__xludf.DUMMYFUNCTION("""COMPUTED_VALUE"""),"Абдуллаев Маруф")</f>
        <v>Абдуллаев Маруф</v>
      </c>
      <c r="D530" s="6" t="str">
        <f>IFERROR(__xludf.DUMMYFUNCTION("""COMPUTED_VALUE"""),"79036164768")</f>
        <v>79036164768</v>
      </c>
      <c r="E530" s="9">
        <f>IFERROR(__xludf.DUMMYFUNCTION("""COMPUTED_VALUE"""),60000.0)</f>
        <v>60000</v>
      </c>
      <c r="F530" s="6">
        <f>IFERROR(__xludf.DUMMYFUNCTION("""COMPUTED_VALUE"""),3654.0)</f>
        <v>3654</v>
      </c>
      <c r="G530" s="10">
        <f>IFERROR(__xludf.DUMMYFUNCTION("""COMPUTED_VALUE"""),56346.0)</f>
        <v>56346</v>
      </c>
      <c r="H530" s="6">
        <f>IFERROR(__xludf.DUMMYFUNCTION("""COMPUTED_VALUE"""),394.42199999999997)</f>
        <v>394.422</v>
      </c>
      <c r="I530" s="11">
        <f>IFERROR(__xludf.DUMMYFUNCTION("""COMPUTED_VALUE"""),55951.578)</f>
        <v>55951.578</v>
      </c>
      <c r="J530" s="6" t="str">
        <f>IFERROR(__xludf.DUMMYFUNCTION("""COMPUTED_VALUE"""),"оплатили в QUGO")</f>
        <v>оплатили в QUGO</v>
      </c>
      <c r="K530" s="6" t="str">
        <f>IFERROR(__xludf.DUMMYFUNCTION("""COMPUTED_VALUE"""),"3654 удержано за ОФ ЗП декабрь")</f>
        <v>3654 удержано за ОФ ЗП декабрь</v>
      </c>
      <c r="L530" s="6">
        <f>IFERROR(__xludf.DUMMYFUNCTION("""COMPUTED_VALUE"""),5.61020333756E11)</f>
        <v>561020333756</v>
      </c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>
        <f>IFERROR(__xludf.DUMMYFUNCTION("""COMPUTED_VALUE"""),2026.0)</f>
        <v>2026</v>
      </c>
      <c r="B531" s="7" t="str">
        <f>IFERROR(__xludf.DUMMYFUNCTION("""COMPUTED_VALUE"""),"1.01-15.01")</f>
        <v>1.01-15.01</v>
      </c>
      <c r="C531" s="8" t="str">
        <f>IFERROR(__xludf.DUMMYFUNCTION("""COMPUTED_VALUE"""),"Хакимханов Мухаммадхон")</f>
        <v>Хакимханов Мухаммадхон</v>
      </c>
      <c r="D531" s="6" t="str">
        <f>IFERROR(__xludf.DUMMYFUNCTION("""COMPUTED_VALUE"""),"79955063157")</f>
        <v>79955063157</v>
      </c>
      <c r="E531" s="9">
        <f>IFERROR(__xludf.DUMMYFUNCTION("""COMPUTED_VALUE"""),82740.0)</f>
        <v>82740</v>
      </c>
      <c r="F531" s="6">
        <f>IFERROR(__xludf.DUMMYFUNCTION("""COMPUTED_VALUE"""),3915.0)</f>
        <v>3915</v>
      </c>
      <c r="G531" s="10">
        <f>IFERROR(__xludf.DUMMYFUNCTION("""COMPUTED_VALUE"""),78825.0)</f>
        <v>78825</v>
      </c>
      <c r="H531" s="6">
        <f>IFERROR(__xludf.DUMMYFUNCTION("""COMPUTED_VALUE"""),551.775)</f>
        <v>551.775</v>
      </c>
      <c r="I531" s="11">
        <f>IFERROR(__xludf.DUMMYFUNCTION("""COMPUTED_VALUE"""),78273.225)</f>
        <v>78273.225</v>
      </c>
      <c r="J531" s="6" t="str">
        <f>IFERROR(__xludf.DUMMYFUNCTION("""COMPUTED_VALUE"""),"оплатили в QUGO")</f>
        <v>оплатили в QUGO</v>
      </c>
      <c r="K531" s="6" t="str">
        <f>IFERROR(__xludf.DUMMYFUNCTION("""COMPUTED_VALUE"""),"3915 удержано за ОФ ЗП декабрь")</f>
        <v>3915 удержано за ОФ ЗП декабрь</v>
      </c>
      <c r="L531" s="6">
        <f>IFERROR(__xludf.DUMMYFUNCTION("""COMPUTED_VALUE"""),7.72323442638E11)</f>
        <v>772323442638</v>
      </c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>
        <f>IFERROR(__xludf.DUMMYFUNCTION("""COMPUTED_VALUE"""),2026.0)</f>
        <v>2026</v>
      </c>
      <c r="B532" s="7" t="str">
        <f>IFERROR(__xludf.DUMMYFUNCTION("""COMPUTED_VALUE"""),"1.01-15.01")</f>
        <v>1.01-15.01</v>
      </c>
      <c r="C532" s="8" t="str">
        <f>IFERROR(__xludf.DUMMYFUNCTION("""COMPUTED_VALUE"""),"Жуманиязова Гулшод Базарбаевна")</f>
        <v>Жуманиязова Гулшод Базарбаевна</v>
      </c>
      <c r="D532" s="6" t="str">
        <f>IFERROR(__xludf.DUMMYFUNCTION("""COMPUTED_VALUE"""),"79255937717")</f>
        <v>79255937717</v>
      </c>
      <c r="E532" s="9">
        <f>IFERROR(__xludf.DUMMYFUNCTION("""COMPUTED_VALUE"""),50000.0)</f>
        <v>50000</v>
      </c>
      <c r="F532" s="6">
        <f>IFERROR(__xludf.DUMMYFUNCTION("""COMPUTED_VALUE"""),3741.0)</f>
        <v>3741</v>
      </c>
      <c r="G532" s="10">
        <f>IFERROR(__xludf.DUMMYFUNCTION("""COMPUTED_VALUE"""),46259.0)</f>
        <v>46259</v>
      </c>
      <c r="H532" s="6">
        <f>IFERROR(__xludf.DUMMYFUNCTION("""COMPUTED_VALUE"""),323.813)</f>
        <v>323.813</v>
      </c>
      <c r="I532" s="11">
        <f>IFERROR(__xludf.DUMMYFUNCTION("""COMPUTED_VALUE"""),45935.187)</f>
        <v>45935.187</v>
      </c>
      <c r="J532" s="6" t="str">
        <f>IFERROR(__xludf.DUMMYFUNCTION("""COMPUTED_VALUE"""),"оплатили в QUGO")</f>
        <v>оплатили в QUGO</v>
      </c>
      <c r="K532" s="6" t="str">
        <f>IFERROR(__xludf.DUMMYFUNCTION("""COMPUTED_VALUE"""),"3741 удержано за ОФ ЗП декабрь")</f>
        <v>3741 удержано за ОФ ЗП декабрь</v>
      </c>
      <c r="L532" s="6">
        <f>IFERROR(__xludf.DUMMYFUNCTION("""COMPUTED_VALUE"""),9.71901898983E11)</f>
        <v>971901898983</v>
      </c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>
        <f>IFERROR(__xludf.DUMMYFUNCTION("""COMPUTED_VALUE"""),2026.0)</f>
        <v>2026</v>
      </c>
      <c r="B533" s="7" t="str">
        <f>IFERROR(__xludf.DUMMYFUNCTION("""COMPUTED_VALUE"""),"1.01-15.01")</f>
        <v>1.01-15.01</v>
      </c>
      <c r="C533" s="8" t="str">
        <f>IFERROR(__xludf.DUMMYFUNCTION("""COMPUTED_VALUE"""),"Зуфарова Дилбар")</f>
        <v>Зуфарова Дилбар</v>
      </c>
      <c r="D533" s="6" t="str">
        <f>IFERROR(__xludf.DUMMYFUNCTION("""COMPUTED_VALUE"""),"79057468188")</f>
        <v>79057468188</v>
      </c>
      <c r="E533" s="9">
        <f>IFERROR(__xludf.DUMMYFUNCTION("""COMPUTED_VALUE"""),60000.0)</f>
        <v>60000</v>
      </c>
      <c r="F533" s="6">
        <f>IFERROR(__xludf.DUMMYFUNCTION("""COMPUTED_VALUE"""),3741.0)</f>
        <v>3741</v>
      </c>
      <c r="G533" s="10">
        <f>IFERROR(__xludf.DUMMYFUNCTION("""COMPUTED_VALUE"""),56259.0)</f>
        <v>56259</v>
      </c>
      <c r="H533" s="6">
        <f>IFERROR(__xludf.DUMMYFUNCTION("""COMPUTED_VALUE"""),393.81299999999993)</f>
        <v>393.813</v>
      </c>
      <c r="I533" s="11">
        <f>IFERROR(__xludf.DUMMYFUNCTION("""COMPUTED_VALUE"""),55865.187)</f>
        <v>55865.187</v>
      </c>
      <c r="J533" s="6" t="str">
        <f>IFERROR(__xludf.DUMMYFUNCTION("""COMPUTED_VALUE"""),"оплатили в QUGO")</f>
        <v>оплатили в QUGO</v>
      </c>
      <c r="K533" s="6" t="str">
        <f>IFERROR(__xludf.DUMMYFUNCTION("""COMPUTED_VALUE"""),"3741 удержано за ОФ ЗП декабрь")</f>
        <v>3741 удержано за ОФ ЗП декабрь</v>
      </c>
      <c r="L533" s="6">
        <f>IFERROR(__xludf.DUMMYFUNCTION("""COMPUTED_VALUE"""),2.3101357277E11)</f>
        <v>231013572770</v>
      </c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>
        <f>IFERROR(__xludf.DUMMYFUNCTION("""COMPUTED_VALUE"""),2026.0)</f>
        <v>2026</v>
      </c>
      <c r="B534" s="7" t="str">
        <f>IFERROR(__xludf.DUMMYFUNCTION("""COMPUTED_VALUE"""),"1.01-15.01")</f>
        <v>1.01-15.01</v>
      </c>
      <c r="C534" s="8" t="str">
        <f>IFERROR(__xludf.DUMMYFUNCTION("""COMPUTED_VALUE"""),"Муминзода Абдувахит")</f>
        <v>Муминзода Абдувахит</v>
      </c>
      <c r="D534" s="6" t="str">
        <f>IFERROR(__xludf.DUMMYFUNCTION("""COMPUTED_VALUE"""),"79857578782")</f>
        <v>79857578782</v>
      </c>
      <c r="E534" s="9">
        <f>IFERROR(__xludf.DUMMYFUNCTION("""COMPUTED_VALUE"""),25000.0)</f>
        <v>25000</v>
      </c>
      <c r="F534" s="6"/>
      <c r="G534" s="10">
        <f>IFERROR(__xludf.DUMMYFUNCTION("""COMPUTED_VALUE"""),25000.0)</f>
        <v>25000</v>
      </c>
      <c r="H534" s="6">
        <f>IFERROR(__xludf.DUMMYFUNCTION("""COMPUTED_VALUE"""),174.99999999999997)</f>
        <v>175</v>
      </c>
      <c r="I534" s="11">
        <f>IFERROR(__xludf.DUMMYFUNCTION("""COMPUTED_VALUE"""),24825.0)</f>
        <v>24825</v>
      </c>
      <c r="J534" s="6" t="str">
        <f>IFERROR(__xludf.DUMMYFUNCTION("""COMPUTED_VALUE"""),"оплатили в QUGO")</f>
        <v>оплатили в QUGO</v>
      </c>
      <c r="K534" s="6"/>
      <c r="L534" s="6">
        <f>IFERROR(__xludf.DUMMYFUNCTION("""COMPUTED_VALUE"""),7.72674121545E11)</f>
        <v>772674121545</v>
      </c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>
        <f>IFERROR(__xludf.DUMMYFUNCTION("""COMPUTED_VALUE"""),2026.0)</f>
        <v>2026</v>
      </c>
      <c r="B535" s="7" t="str">
        <f>IFERROR(__xludf.DUMMYFUNCTION("""COMPUTED_VALUE"""),"1.01-15.01")</f>
        <v>1.01-15.01</v>
      </c>
      <c r="C535" s="8" t="str">
        <f>IFERROR(__xludf.DUMMYFUNCTION("""COMPUTED_VALUE"""),"Солихов Мирзоёкуб ")</f>
        <v>Солихов Мирзоёкуб </v>
      </c>
      <c r="D535" s="6" t="str">
        <f>IFERROR(__xludf.DUMMYFUNCTION("""COMPUTED_VALUE"""),"79856342020")</f>
        <v>79856342020</v>
      </c>
      <c r="E535" s="9">
        <f>IFERROR(__xludf.DUMMYFUNCTION("""COMPUTED_VALUE"""),25000.0)</f>
        <v>25000</v>
      </c>
      <c r="F535" s="6"/>
      <c r="G535" s="10">
        <f>IFERROR(__xludf.DUMMYFUNCTION("""COMPUTED_VALUE"""),25000.0)</f>
        <v>25000</v>
      </c>
      <c r="H535" s="6">
        <f>IFERROR(__xludf.DUMMYFUNCTION("""COMPUTED_VALUE"""),174.99999999999997)</f>
        <v>175</v>
      </c>
      <c r="I535" s="11">
        <f>IFERROR(__xludf.DUMMYFUNCTION("""COMPUTED_VALUE"""),24825.0)</f>
        <v>24825</v>
      </c>
      <c r="J535" s="6" t="str">
        <f>IFERROR(__xludf.DUMMYFUNCTION("""COMPUTED_VALUE"""),"оплатили в QUGO")</f>
        <v>оплатили в QUGO</v>
      </c>
      <c r="K535" s="6"/>
      <c r="L535" s="6">
        <f>IFERROR(__xludf.DUMMYFUNCTION("""COMPUTED_VALUE"""),9.72713172982E11)</f>
        <v>972713172982</v>
      </c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>
        <f>IFERROR(__xludf.DUMMYFUNCTION("""COMPUTED_VALUE"""),2026.0)</f>
        <v>2026</v>
      </c>
      <c r="B536" s="7" t="str">
        <f>IFERROR(__xludf.DUMMYFUNCTION("""COMPUTED_VALUE"""),"1.01-15.01")</f>
        <v>1.01-15.01</v>
      </c>
      <c r="C536" s="8" t="str">
        <f>IFERROR(__xludf.DUMMYFUNCTION("""COMPUTED_VALUE"""),"Мухамадиев Нуъмон")</f>
        <v>Мухамадиев Нуъмон</v>
      </c>
      <c r="D536" s="6" t="str">
        <f>IFERROR(__xludf.DUMMYFUNCTION("""COMPUTED_VALUE"""),"79775957136")</f>
        <v>79775957136</v>
      </c>
      <c r="E536" s="9">
        <f>IFERROR(__xludf.DUMMYFUNCTION("""COMPUTED_VALUE"""),25000.0)</f>
        <v>25000</v>
      </c>
      <c r="F536" s="6"/>
      <c r="G536" s="10">
        <f>IFERROR(__xludf.DUMMYFUNCTION("""COMPUTED_VALUE"""),25000.0)</f>
        <v>25000</v>
      </c>
      <c r="H536" s="6">
        <f>IFERROR(__xludf.DUMMYFUNCTION("""COMPUTED_VALUE"""),174.99999999999997)</f>
        <v>175</v>
      </c>
      <c r="I536" s="11">
        <f>IFERROR(__xludf.DUMMYFUNCTION("""COMPUTED_VALUE"""),24825.0)</f>
        <v>24825</v>
      </c>
      <c r="J536" s="6" t="str">
        <f>IFERROR(__xludf.DUMMYFUNCTION("""COMPUTED_VALUE"""),"оплатили в QUGO")</f>
        <v>оплатили в QUGO</v>
      </c>
      <c r="K536" s="6"/>
      <c r="L536" s="6">
        <f>IFERROR(__xludf.DUMMYFUNCTION("""COMPUTED_VALUE"""),7.71479794633E11)</f>
        <v>771479794633</v>
      </c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>
        <f>IFERROR(__xludf.DUMMYFUNCTION("""COMPUTED_VALUE"""),2026.0)</f>
        <v>2026</v>
      </c>
      <c r="B537" s="7" t="str">
        <f>IFERROR(__xludf.DUMMYFUNCTION("""COMPUTED_VALUE"""),"1.01-15.01")</f>
        <v>1.01-15.01</v>
      </c>
      <c r="C537" s="8" t="str">
        <f>IFERROR(__xludf.DUMMYFUNCTION("""COMPUTED_VALUE"""),"Бокизода Наджибуллохи")</f>
        <v>Бокизода Наджибуллохи</v>
      </c>
      <c r="D537" s="6" t="str">
        <f>IFERROR(__xludf.DUMMYFUNCTION("""COMPUTED_VALUE"""),"79916830745")</f>
        <v>79916830745</v>
      </c>
      <c r="E537" s="9">
        <f>IFERROR(__xludf.DUMMYFUNCTION("""COMPUTED_VALUE"""),25000.0)</f>
        <v>25000</v>
      </c>
      <c r="F537" s="6">
        <f>IFERROR(__xludf.DUMMYFUNCTION("""COMPUTED_VALUE"""),2000.0)</f>
        <v>2000</v>
      </c>
      <c r="G537" s="10">
        <f>IFERROR(__xludf.DUMMYFUNCTION("""COMPUTED_VALUE"""),23000.0)</f>
        <v>23000</v>
      </c>
      <c r="H537" s="6">
        <f>IFERROR(__xludf.DUMMYFUNCTION("""COMPUTED_VALUE"""),160.99999999999997)</f>
        <v>161</v>
      </c>
      <c r="I537" s="11">
        <f>IFERROR(__xludf.DUMMYFUNCTION("""COMPUTED_VALUE"""),22839.0)</f>
        <v>22839</v>
      </c>
      <c r="J537" s="6" t="str">
        <f>IFERROR(__xludf.DUMMYFUNCTION("""COMPUTED_VALUE"""),"оплатили в QUGO")</f>
        <v>оплатили в QUGO</v>
      </c>
      <c r="K537" s="6" t="str">
        <f>IFERROR(__xludf.DUMMYFUNCTION("""COMPUTED_VALUE"""),"2000 удержано за скан перевода паспорта")</f>
        <v>2000 удержано за скан перевода паспорта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>
        <f>IFERROR(__xludf.DUMMYFUNCTION("""COMPUTED_VALUE"""),2026.0)</f>
        <v>2026</v>
      </c>
      <c r="B538" s="7" t="str">
        <f>IFERROR(__xludf.DUMMYFUNCTION("""COMPUTED_VALUE"""),"16.01-31.01")</f>
        <v>16.01-31.01</v>
      </c>
      <c r="C538" s="8" t="str">
        <f>IFERROR(__xludf.DUMMYFUNCTION("""COMPUTED_VALUE"""),"Дониерзода Сурайе")</f>
        <v>Дониерзода Сурайе</v>
      </c>
      <c r="D538" s="6" t="str">
        <f>IFERROR(__xludf.DUMMYFUNCTION("""COMPUTED_VALUE"""),"79377648587")</f>
        <v>79377648587</v>
      </c>
      <c r="E538" s="9">
        <f>IFERROR(__xludf.DUMMYFUNCTION("""COMPUTED_VALUE"""),45800.0)</f>
        <v>45800</v>
      </c>
      <c r="F538" s="6"/>
      <c r="G538" s="10">
        <f>IFERROR(__xludf.DUMMYFUNCTION("""COMPUTED_VALUE"""),45800.0)</f>
        <v>45800</v>
      </c>
      <c r="H538" s="6">
        <f>IFERROR(__xludf.DUMMYFUNCTION("""COMPUTED_VALUE"""),320.59999999999997)</f>
        <v>320.6</v>
      </c>
      <c r="I538" s="11">
        <f>IFERROR(__xludf.DUMMYFUNCTION("""COMPUTED_VALUE"""),45479.4)</f>
        <v>45479.4</v>
      </c>
      <c r="J538" s="6" t="str">
        <f>IFERROR(__xludf.DUMMYFUNCTION("""COMPUTED_VALUE"""),"оплатили в QUGO")</f>
        <v>оплатили в QUGO</v>
      </c>
      <c r="K538" s="6"/>
      <c r="L538" s="6">
        <f>IFERROR(__xludf.DUMMYFUNCTION("""COMPUTED_VALUE"""),7.71487989675E11)</f>
        <v>771487989675</v>
      </c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>
        <f>IFERROR(__xludf.DUMMYFUNCTION("""COMPUTED_VALUE"""),2026.0)</f>
        <v>2026</v>
      </c>
      <c r="B539" s="7" t="str">
        <f>IFERROR(__xludf.DUMMYFUNCTION("""COMPUTED_VALUE"""),"16.01-31.01")</f>
        <v>16.01-31.01</v>
      </c>
      <c r="C539" s="8" t="str">
        <f>IFERROR(__xludf.DUMMYFUNCTION("""COMPUTED_VALUE"""),"Нематов Мухаммад")</f>
        <v>Нематов Мухаммад</v>
      </c>
      <c r="D539" s="6" t="str">
        <f>IFERROR(__xludf.DUMMYFUNCTION("""COMPUTED_VALUE"""),"79932625819")</f>
        <v>79932625819</v>
      </c>
      <c r="E539" s="9">
        <f>IFERROR(__xludf.DUMMYFUNCTION("""COMPUTED_VALUE"""),60800.0)</f>
        <v>60800</v>
      </c>
      <c r="F539" s="6"/>
      <c r="G539" s="10">
        <f>IFERROR(__xludf.DUMMYFUNCTION("""COMPUTED_VALUE"""),60800.0)</f>
        <v>60800</v>
      </c>
      <c r="H539" s="6">
        <f>IFERROR(__xludf.DUMMYFUNCTION("""COMPUTED_VALUE"""),425.59999999999997)</f>
        <v>425.6</v>
      </c>
      <c r="I539" s="11">
        <f>IFERROR(__xludf.DUMMYFUNCTION("""COMPUTED_VALUE"""),60374.4)</f>
        <v>60374.4</v>
      </c>
      <c r="J539" s="6" t="str">
        <f>IFERROR(__xludf.DUMMYFUNCTION("""COMPUTED_VALUE"""),"оплатили в QUGO")</f>
        <v>оплатили в QUGO</v>
      </c>
      <c r="K539" s="6"/>
      <c r="L539" s="6">
        <f>IFERROR(__xludf.DUMMYFUNCTION("""COMPUTED_VALUE"""),7.75147436504E11)</f>
        <v>775147436504</v>
      </c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>
        <f>IFERROR(__xludf.DUMMYFUNCTION("""COMPUTED_VALUE"""),2026.0)</f>
        <v>2026</v>
      </c>
      <c r="B540" s="7" t="str">
        <f>IFERROR(__xludf.DUMMYFUNCTION("""COMPUTED_VALUE"""),"16.01-31.01")</f>
        <v>16.01-31.01</v>
      </c>
      <c r="C540" s="8" t="str">
        <f>IFERROR(__xludf.DUMMYFUNCTION("""COMPUTED_VALUE"""),"Азиззода Джамшед")</f>
        <v>Азиззода Джамшед</v>
      </c>
      <c r="D540" s="6" t="str">
        <f>IFERROR(__xludf.DUMMYFUNCTION("""COMPUTED_VALUE"""),"79116699346")</f>
        <v>79116699346</v>
      </c>
      <c r="E540" s="9">
        <f>IFERROR(__xludf.DUMMYFUNCTION("""COMPUTED_VALUE"""),63333.0)</f>
        <v>63333</v>
      </c>
      <c r="F540" s="6"/>
      <c r="G540" s="10">
        <f>IFERROR(__xludf.DUMMYFUNCTION("""COMPUTED_VALUE"""),63333.0)</f>
        <v>63333</v>
      </c>
      <c r="H540" s="6">
        <f>IFERROR(__xludf.DUMMYFUNCTION("""COMPUTED_VALUE"""),443.33099999999996)</f>
        <v>443.331</v>
      </c>
      <c r="I540" s="11">
        <f>IFERROR(__xludf.DUMMYFUNCTION("""COMPUTED_VALUE"""),62889.669)</f>
        <v>62889.669</v>
      </c>
      <c r="J540" s="6" t="str">
        <f>IFERROR(__xludf.DUMMYFUNCTION("""COMPUTED_VALUE"""),"оплатили в QUGO")</f>
        <v>оплатили в QUGO</v>
      </c>
      <c r="K540" s="6"/>
      <c r="L540" s="6">
        <f>IFERROR(__xludf.DUMMYFUNCTION("""COMPUTED_VALUE"""),1.00000868544E11)</f>
        <v>100000868544</v>
      </c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>
        <f>IFERROR(__xludf.DUMMYFUNCTION("""COMPUTED_VALUE"""),2026.0)</f>
        <v>2026</v>
      </c>
      <c r="B541" s="7" t="str">
        <f>IFERROR(__xludf.DUMMYFUNCTION("""COMPUTED_VALUE"""),"16.01-31.01")</f>
        <v>16.01-31.01</v>
      </c>
      <c r="C541" s="8" t="str">
        <f>IFERROR(__xludf.DUMMYFUNCTION("""COMPUTED_VALUE"""),"Султонзода Нодира")</f>
        <v>Султонзода Нодира</v>
      </c>
      <c r="D541" s="6" t="str">
        <f>IFERROR(__xludf.DUMMYFUNCTION("""COMPUTED_VALUE"""),"79891031216")</f>
        <v>79891031216</v>
      </c>
      <c r="E541" s="9">
        <f>IFERROR(__xludf.DUMMYFUNCTION("""COMPUTED_VALUE"""),56683.0)</f>
        <v>56683</v>
      </c>
      <c r="F541" s="6"/>
      <c r="G541" s="10">
        <f>IFERROR(__xludf.DUMMYFUNCTION("""COMPUTED_VALUE"""),56683.0)</f>
        <v>56683</v>
      </c>
      <c r="H541" s="6">
        <f>IFERROR(__xludf.DUMMYFUNCTION("""COMPUTED_VALUE"""),396.78099999999995)</f>
        <v>396.781</v>
      </c>
      <c r="I541" s="11">
        <f>IFERROR(__xludf.DUMMYFUNCTION("""COMPUTED_VALUE"""),56286.219)</f>
        <v>56286.219</v>
      </c>
      <c r="J541" s="6" t="str">
        <f>IFERROR(__xludf.DUMMYFUNCTION("""COMPUTED_VALUE"""),"оплатили в QUGO")</f>
        <v>оплатили в QUGO</v>
      </c>
      <c r="K541" s="6"/>
      <c r="L541" s="6">
        <f>IFERROR(__xludf.DUMMYFUNCTION("""COMPUTED_VALUE"""),7.75184127705E11)</f>
        <v>775184127705</v>
      </c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>
        <f>IFERROR(__xludf.DUMMYFUNCTION("""COMPUTED_VALUE"""),2026.0)</f>
        <v>2026</v>
      </c>
      <c r="B542" s="7" t="str">
        <f>IFERROR(__xludf.DUMMYFUNCTION("""COMPUTED_VALUE"""),"16.01-31.01")</f>
        <v>16.01-31.01</v>
      </c>
      <c r="C542" s="8" t="str">
        <f>IFERROR(__xludf.DUMMYFUNCTION("""COMPUTED_VALUE"""),"Баратова Хадича")</f>
        <v>Баратова Хадича</v>
      </c>
      <c r="D542" s="6" t="str">
        <f>IFERROR(__xludf.DUMMYFUNCTION("""COMPUTED_VALUE"""),"79969779048")</f>
        <v>79969779048</v>
      </c>
      <c r="E542" s="9">
        <f>IFERROR(__xludf.DUMMYFUNCTION("""COMPUTED_VALUE"""),69600.0)</f>
        <v>69600</v>
      </c>
      <c r="F542" s="6"/>
      <c r="G542" s="10">
        <f>IFERROR(__xludf.DUMMYFUNCTION("""COMPUTED_VALUE"""),69600.0)</f>
        <v>69600</v>
      </c>
      <c r="H542" s="6">
        <f>IFERROR(__xludf.DUMMYFUNCTION("""COMPUTED_VALUE"""),487.19999999999993)</f>
        <v>487.2</v>
      </c>
      <c r="I542" s="11">
        <f>IFERROR(__xludf.DUMMYFUNCTION("""COMPUTED_VALUE"""),69112.8)</f>
        <v>69112.8</v>
      </c>
      <c r="J542" s="6" t="str">
        <f>IFERROR(__xludf.DUMMYFUNCTION("""COMPUTED_VALUE"""),"оплатили в QUGO")</f>
        <v>оплатили в QUGO</v>
      </c>
      <c r="K542" s="6" t="str">
        <f>IFERROR(__xludf.DUMMYFUNCTION("""COMPUTED_VALUE"""),"повторили оплату")</f>
        <v>повторили оплату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>
        <f>IFERROR(__xludf.DUMMYFUNCTION("""COMPUTED_VALUE"""),2026.0)</f>
        <v>2026</v>
      </c>
      <c r="B543" s="7" t="str">
        <f>IFERROR(__xludf.DUMMYFUNCTION("""COMPUTED_VALUE"""),"16.01-31.01")</f>
        <v>16.01-31.01</v>
      </c>
      <c r="C543" s="8" t="str">
        <f>IFERROR(__xludf.DUMMYFUNCTION("""COMPUTED_VALUE"""),"Исманов Мухаммадкодир")</f>
        <v>Исманов Мухаммадкодир</v>
      </c>
      <c r="D543" s="6" t="str">
        <f>IFERROR(__xludf.DUMMYFUNCTION("""COMPUTED_VALUE"""),"79255086393")</f>
        <v>79255086393</v>
      </c>
      <c r="E543" s="9">
        <f>IFERROR(__xludf.DUMMYFUNCTION("""COMPUTED_VALUE"""),64000.0)</f>
        <v>64000</v>
      </c>
      <c r="F543" s="6"/>
      <c r="G543" s="10">
        <f>IFERROR(__xludf.DUMMYFUNCTION("""COMPUTED_VALUE"""),64000.0)</f>
        <v>64000</v>
      </c>
      <c r="H543" s="6">
        <f>IFERROR(__xludf.DUMMYFUNCTION("""COMPUTED_VALUE"""),447.99999999999994)</f>
        <v>448</v>
      </c>
      <c r="I543" s="11">
        <f>IFERROR(__xludf.DUMMYFUNCTION("""COMPUTED_VALUE"""),63552.0)</f>
        <v>63552</v>
      </c>
      <c r="J543" s="6" t="str">
        <f>IFERROR(__xludf.DUMMYFUNCTION("""COMPUTED_VALUE"""),"оплатили в QUGO")</f>
        <v>оплатили в QUGO</v>
      </c>
      <c r="K543" s="6"/>
      <c r="L543" s="6">
        <f>IFERROR(__xludf.DUMMYFUNCTION("""COMPUTED_VALUE"""),5.0024439455E10)</f>
        <v>50024439455</v>
      </c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>
        <f>IFERROR(__xludf.DUMMYFUNCTION("""COMPUTED_VALUE"""),2026.0)</f>
        <v>2026</v>
      </c>
      <c r="B544" s="7" t="str">
        <f>IFERROR(__xludf.DUMMYFUNCTION("""COMPUTED_VALUE"""),"16.01-31.01")</f>
        <v>16.01-31.01</v>
      </c>
      <c r="C544" s="8" t="str">
        <f>IFERROR(__xludf.DUMMYFUNCTION("""COMPUTED_VALUE"""),"Усманов Нодир")</f>
        <v>Усманов Нодир</v>
      </c>
      <c r="D544" s="6" t="str">
        <f>IFERROR(__xludf.DUMMYFUNCTION("""COMPUTED_VALUE"""),"79800015369")</f>
        <v>79800015369</v>
      </c>
      <c r="E544" s="9">
        <f>IFERROR(__xludf.DUMMYFUNCTION("""COMPUTED_VALUE"""),64000.0)</f>
        <v>64000</v>
      </c>
      <c r="F544" s="6">
        <f>IFERROR(__xludf.DUMMYFUNCTION("""COMPUTED_VALUE"""),3828.0)</f>
        <v>3828</v>
      </c>
      <c r="G544" s="10">
        <f>IFERROR(__xludf.DUMMYFUNCTION("""COMPUTED_VALUE"""),60172.0)</f>
        <v>60172</v>
      </c>
      <c r="H544" s="6">
        <f>IFERROR(__xludf.DUMMYFUNCTION("""COMPUTED_VALUE"""),421.20399999999995)</f>
        <v>421.204</v>
      </c>
      <c r="I544" s="11">
        <f>IFERROR(__xludf.DUMMYFUNCTION("""COMPUTED_VALUE"""),59750.796)</f>
        <v>59750.796</v>
      </c>
      <c r="J544" s="6" t="str">
        <f>IFERROR(__xludf.DUMMYFUNCTION("""COMPUTED_VALUE"""),"оплатили в QUGO")</f>
        <v>оплатили в QUGO</v>
      </c>
      <c r="K544" s="6" t="str">
        <f>IFERROR(__xludf.DUMMYFUNCTION("""COMPUTED_VALUE"""),"3828 р. за Официальную ЗП Январь")</f>
        <v>3828 р. за Официальную ЗП Январь</v>
      </c>
      <c r="L544" s="6">
        <f>IFERROR(__xludf.DUMMYFUNCTION("""COMPUTED_VALUE"""),7.75155901184E11)</f>
        <v>775155901184</v>
      </c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>
        <f>IFERROR(__xludf.DUMMYFUNCTION("""COMPUTED_VALUE"""),2026.0)</f>
        <v>2026</v>
      </c>
      <c r="B545" s="7" t="str">
        <f>IFERROR(__xludf.DUMMYFUNCTION("""COMPUTED_VALUE"""),"16.01-31.01")</f>
        <v>16.01-31.01</v>
      </c>
      <c r="C545" s="8" t="str">
        <f>IFERROR(__xludf.DUMMYFUNCTION("""COMPUTED_VALUE"""),"Примова Нилюфер")</f>
        <v>Примова Нилюфер</v>
      </c>
      <c r="D545" s="6" t="str">
        <f>IFERROR(__xludf.DUMMYFUNCTION("""COMPUTED_VALUE"""),"79775621896")</f>
        <v>79775621896</v>
      </c>
      <c r="E545" s="9">
        <f>IFERROR(__xludf.DUMMYFUNCTION("""COMPUTED_VALUE"""),42900.0)</f>
        <v>42900</v>
      </c>
      <c r="F545" s="6"/>
      <c r="G545" s="10">
        <f>IFERROR(__xludf.DUMMYFUNCTION("""COMPUTED_VALUE"""),42900.0)</f>
        <v>42900</v>
      </c>
      <c r="H545" s="6">
        <f>IFERROR(__xludf.DUMMYFUNCTION("""COMPUTED_VALUE"""),300.29999999999995)</f>
        <v>300.3</v>
      </c>
      <c r="I545" s="11">
        <f>IFERROR(__xludf.DUMMYFUNCTION("""COMPUTED_VALUE"""),42599.7)</f>
        <v>42599.7</v>
      </c>
      <c r="J545" s="6" t="str">
        <f>IFERROR(__xludf.DUMMYFUNCTION("""COMPUTED_VALUE"""),"оплатили в QUGO")</f>
        <v>оплатили в QUGO</v>
      </c>
      <c r="K545" s="6"/>
      <c r="L545" s="6">
        <f>IFERROR(__xludf.DUMMYFUNCTION("""COMPUTED_VALUE"""),7.72312047604E11)</f>
        <v>772312047604</v>
      </c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>
        <f>IFERROR(__xludf.DUMMYFUNCTION("""COMPUTED_VALUE"""),2026.0)</f>
        <v>2026</v>
      </c>
      <c r="B546" s="7" t="str">
        <f>IFERROR(__xludf.DUMMYFUNCTION("""COMPUTED_VALUE"""),"16.01-31.01")</f>
        <v>16.01-31.01</v>
      </c>
      <c r="C546" s="8" t="str">
        <f>IFERROR(__xludf.DUMMYFUNCTION("""COMPUTED_VALUE"""),"Косимова Фарида")</f>
        <v>Косимова Фарида</v>
      </c>
      <c r="D546" s="6" t="str">
        <f>IFERROR(__xludf.DUMMYFUNCTION("""COMPUTED_VALUE"""),"79274990078")</f>
        <v>79274990078</v>
      </c>
      <c r="E546" s="9">
        <f>IFERROR(__xludf.DUMMYFUNCTION("""COMPUTED_VALUE"""),64600.0)</f>
        <v>64600</v>
      </c>
      <c r="F546" s="6"/>
      <c r="G546" s="10">
        <f>IFERROR(__xludf.DUMMYFUNCTION("""COMPUTED_VALUE"""),64600.0)</f>
        <v>64600</v>
      </c>
      <c r="H546" s="6">
        <f>IFERROR(__xludf.DUMMYFUNCTION("""COMPUTED_VALUE"""),452.19999999999993)</f>
        <v>452.2</v>
      </c>
      <c r="I546" s="11">
        <f>IFERROR(__xludf.DUMMYFUNCTION("""COMPUTED_VALUE"""),64147.8)</f>
        <v>64147.8</v>
      </c>
      <c r="J546" s="6" t="str">
        <f>IFERROR(__xludf.DUMMYFUNCTION("""COMPUTED_VALUE"""),"оплатили в QUGO")</f>
        <v>оплатили в QUGO</v>
      </c>
      <c r="K546" s="6"/>
      <c r="L546" s="6">
        <f>IFERROR(__xludf.DUMMYFUNCTION("""COMPUTED_VALUE"""),1.65070409534E11)</f>
        <v>165070409534</v>
      </c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>
        <f>IFERROR(__xludf.DUMMYFUNCTION("""COMPUTED_VALUE"""),2026.0)</f>
        <v>2026</v>
      </c>
      <c r="B547" s="7" t="str">
        <f>IFERROR(__xludf.DUMMYFUNCTION("""COMPUTED_VALUE"""),"16.01-31.01")</f>
        <v>16.01-31.01</v>
      </c>
      <c r="C547" s="8" t="str">
        <f>IFERROR(__xludf.DUMMYFUNCTION("""COMPUTED_VALUE"""),"Саксанова Курсия")</f>
        <v>Саксанова Курсия</v>
      </c>
      <c r="D547" s="6" t="str">
        <f>IFERROR(__xludf.DUMMYFUNCTION("""COMPUTED_VALUE"""),"79309216600")</f>
        <v>79309216600</v>
      </c>
      <c r="E547" s="9">
        <f>IFERROR(__xludf.DUMMYFUNCTION("""COMPUTED_VALUE"""),42900.0)</f>
        <v>42900</v>
      </c>
      <c r="F547" s="6"/>
      <c r="G547" s="10">
        <f>IFERROR(__xludf.DUMMYFUNCTION("""COMPUTED_VALUE"""),42900.0)</f>
        <v>42900</v>
      </c>
      <c r="H547" s="6">
        <f>IFERROR(__xludf.DUMMYFUNCTION("""COMPUTED_VALUE"""),300.29999999999995)</f>
        <v>300.3</v>
      </c>
      <c r="I547" s="11">
        <f>IFERROR(__xludf.DUMMYFUNCTION("""COMPUTED_VALUE"""),42599.7)</f>
        <v>42599.7</v>
      </c>
      <c r="J547" s="6" t="str">
        <f>IFERROR(__xludf.DUMMYFUNCTION("""COMPUTED_VALUE"""),"оплатили в QUGO")</f>
        <v>оплатили в QUGO</v>
      </c>
      <c r="K547" s="6" t="str">
        <f>IFERROR(__xludf.DUMMYFUNCTION("""COMPUTED_VALUE"""),"повторили оплату")</f>
        <v>повторили оплату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>
        <f>IFERROR(__xludf.DUMMYFUNCTION("""COMPUTED_VALUE"""),2026.0)</f>
        <v>2026</v>
      </c>
      <c r="B548" s="7" t="str">
        <f>IFERROR(__xludf.DUMMYFUNCTION("""COMPUTED_VALUE"""),"16.01-31.01")</f>
        <v>16.01-31.01</v>
      </c>
      <c r="C548" s="8" t="str">
        <f>IFERROR(__xludf.DUMMYFUNCTION("""COMPUTED_VALUE"""),"Тешабоев Расулжон")</f>
        <v>Тешабоев Расулжон</v>
      </c>
      <c r="D548" s="6" t="str">
        <f>IFERROR(__xludf.DUMMYFUNCTION("""COMPUTED_VALUE"""),"79777013390")</f>
        <v>79777013390</v>
      </c>
      <c r="E548" s="9">
        <f>IFERROR(__xludf.DUMMYFUNCTION("""COMPUTED_VALUE"""),11100.0)</f>
        <v>11100</v>
      </c>
      <c r="F548" s="6">
        <f>IFERROR(__xludf.DUMMYFUNCTION("""COMPUTED_VALUE"""),3654.0)</f>
        <v>3654</v>
      </c>
      <c r="G548" s="10">
        <f>IFERROR(__xludf.DUMMYFUNCTION("""COMPUTED_VALUE"""),7446.0)</f>
        <v>7446</v>
      </c>
      <c r="H548" s="6">
        <f>IFERROR(__xludf.DUMMYFUNCTION("""COMPUTED_VALUE"""),52.12199999999999)</f>
        <v>52.122</v>
      </c>
      <c r="I548" s="11">
        <f>IFERROR(__xludf.DUMMYFUNCTION("""COMPUTED_VALUE"""),7393.878)</f>
        <v>7393.878</v>
      </c>
      <c r="J548" s="6" t="str">
        <f>IFERROR(__xludf.DUMMYFUNCTION("""COMPUTED_VALUE"""),"оплатили в QUGO")</f>
        <v>оплатили в QUGO</v>
      </c>
      <c r="K548" s="6" t="str">
        <f>IFERROR(__xludf.DUMMYFUNCTION("""COMPUTED_VALUE"""),"3654 р. за Официальную ЗП Январь")</f>
        <v>3654 р. за Официальную ЗП Январь</v>
      </c>
      <c r="L548" s="6">
        <f>IFERROR(__xludf.DUMMYFUNCTION("""COMPUTED_VALUE"""),7.75171178607E11)</f>
        <v>775171178607</v>
      </c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>
        <f>IFERROR(__xludf.DUMMYFUNCTION("""COMPUTED_VALUE"""),2026.0)</f>
        <v>2026</v>
      </c>
      <c r="B549" s="7" t="str">
        <f>IFERROR(__xludf.DUMMYFUNCTION("""COMPUTED_VALUE"""),"16.01-31.01")</f>
        <v>16.01-31.01</v>
      </c>
      <c r="C549" s="8" t="str">
        <f>IFERROR(__xludf.DUMMYFUNCTION("""COMPUTED_VALUE"""),"Рахмонов Сухроб")</f>
        <v>Рахмонов Сухроб</v>
      </c>
      <c r="D549" s="6" t="str">
        <f>IFERROR(__xludf.DUMMYFUNCTION("""COMPUTED_VALUE"""),"79336934364")</f>
        <v>79336934364</v>
      </c>
      <c r="E549" s="9">
        <f>IFERROR(__xludf.DUMMYFUNCTION("""COMPUTED_VALUE"""),69067.0)</f>
        <v>69067</v>
      </c>
      <c r="F549" s="6">
        <f>IFERROR(__xludf.DUMMYFUNCTION("""COMPUTED_VALUE"""),3654.0)</f>
        <v>3654</v>
      </c>
      <c r="G549" s="10">
        <f>IFERROR(__xludf.DUMMYFUNCTION("""COMPUTED_VALUE"""),65413.0)</f>
        <v>65413</v>
      </c>
      <c r="H549" s="6">
        <f>IFERROR(__xludf.DUMMYFUNCTION("""COMPUTED_VALUE"""),457.89099999999996)</f>
        <v>457.891</v>
      </c>
      <c r="I549" s="11">
        <f>IFERROR(__xludf.DUMMYFUNCTION("""COMPUTED_VALUE"""),64955.109)</f>
        <v>64955.109</v>
      </c>
      <c r="J549" s="6" t="str">
        <f>IFERROR(__xludf.DUMMYFUNCTION("""COMPUTED_VALUE"""),"оплатили в QUGO")</f>
        <v>оплатили в QUGO</v>
      </c>
      <c r="K549" s="6" t="str">
        <f>IFERROR(__xludf.DUMMYFUNCTION("""COMPUTED_VALUE"""),"3654 р. за Официальную ЗП Январь")</f>
        <v>3654 р. за Официальную ЗП Январь</v>
      </c>
      <c r="L549" s="6">
        <f>IFERROR(__xludf.DUMMYFUNCTION("""COMPUTED_VALUE"""),7.75185498484E11)</f>
        <v>775185498484</v>
      </c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>
        <f>IFERROR(__xludf.DUMMYFUNCTION("""COMPUTED_VALUE"""),2026.0)</f>
        <v>2026</v>
      </c>
      <c r="B550" s="7" t="str">
        <f>IFERROR(__xludf.DUMMYFUNCTION("""COMPUTED_VALUE"""),"16.01-31.01")</f>
        <v>16.01-31.01</v>
      </c>
      <c r="C550" s="8" t="str">
        <f>IFERROR(__xludf.DUMMYFUNCTION("""COMPUTED_VALUE"""),"Аюбова Мухайе")</f>
        <v>Аюбова Мухайе</v>
      </c>
      <c r="D550" s="6" t="str">
        <f>IFERROR(__xludf.DUMMYFUNCTION("""COMPUTED_VALUE"""),"79858680976")</f>
        <v>79858680976</v>
      </c>
      <c r="E550" s="9">
        <f>IFERROR(__xludf.DUMMYFUNCTION("""COMPUTED_VALUE"""),51000.0)</f>
        <v>51000</v>
      </c>
      <c r="F550" s="6"/>
      <c r="G550" s="10">
        <f>IFERROR(__xludf.DUMMYFUNCTION("""COMPUTED_VALUE"""),51000.0)</f>
        <v>51000</v>
      </c>
      <c r="H550" s="6">
        <f>IFERROR(__xludf.DUMMYFUNCTION("""COMPUTED_VALUE"""),356.99999999999994)</f>
        <v>357</v>
      </c>
      <c r="I550" s="11">
        <f>IFERROR(__xludf.DUMMYFUNCTION("""COMPUTED_VALUE"""),50643.0)</f>
        <v>50643</v>
      </c>
      <c r="J550" s="6" t="str">
        <f>IFERROR(__xludf.DUMMYFUNCTION("""COMPUTED_VALUE"""),"оплатили в QUGO")</f>
        <v>оплатили в QUGO</v>
      </c>
      <c r="K550" s="6"/>
      <c r="L550" s="6">
        <f>IFERROR(__xludf.DUMMYFUNCTION("""COMPUTED_VALUE"""),6.67803019045E11)</f>
        <v>667803019045</v>
      </c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>
        <f>IFERROR(__xludf.DUMMYFUNCTION("""COMPUTED_VALUE"""),2026.0)</f>
        <v>2026</v>
      </c>
      <c r="B551" s="7" t="str">
        <f>IFERROR(__xludf.DUMMYFUNCTION("""COMPUTED_VALUE"""),"16.01-31.01")</f>
        <v>16.01-31.01</v>
      </c>
      <c r="C551" s="8" t="str">
        <f>IFERROR(__xludf.DUMMYFUNCTION("""COMPUTED_VALUE"""),"Мусаева Мавтуна")</f>
        <v>Мусаева Мавтуна</v>
      </c>
      <c r="D551" s="6" t="str">
        <f>IFERROR(__xludf.DUMMYFUNCTION("""COMPUTED_VALUE"""),"79057784048")</f>
        <v>79057784048</v>
      </c>
      <c r="E551" s="9">
        <f>IFERROR(__xludf.DUMMYFUNCTION("""COMPUTED_VALUE"""),51200.0)</f>
        <v>51200</v>
      </c>
      <c r="F551" s="6"/>
      <c r="G551" s="10">
        <f>IFERROR(__xludf.DUMMYFUNCTION("""COMPUTED_VALUE"""),51200.0)</f>
        <v>51200</v>
      </c>
      <c r="H551" s="6">
        <f>IFERROR(__xludf.DUMMYFUNCTION("""COMPUTED_VALUE"""),358.4)</f>
        <v>358.4</v>
      </c>
      <c r="I551" s="11">
        <f>IFERROR(__xludf.DUMMYFUNCTION("""COMPUTED_VALUE"""),50841.6)</f>
        <v>50841.6</v>
      </c>
      <c r="J551" s="6" t="str">
        <f>IFERROR(__xludf.DUMMYFUNCTION("""COMPUTED_VALUE"""),"оплатили в QUGO")</f>
        <v>оплатили в QUGO</v>
      </c>
      <c r="K551" s="6"/>
      <c r="L551" s="6">
        <f>IFERROR(__xludf.DUMMYFUNCTION("""COMPUTED_VALUE"""),5.00726635205E11)</f>
        <v>500726635205</v>
      </c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>
        <f>IFERROR(__xludf.DUMMYFUNCTION("""COMPUTED_VALUE"""),2026.0)</f>
        <v>2026</v>
      </c>
      <c r="B552" s="7" t="str">
        <f>IFERROR(__xludf.DUMMYFUNCTION("""COMPUTED_VALUE"""),"16.01-31.01")</f>
        <v>16.01-31.01</v>
      </c>
      <c r="C552" s="8" t="str">
        <f>IFERROR(__xludf.DUMMYFUNCTION("""COMPUTED_VALUE"""),"Мовлонова Феруза")</f>
        <v>Мовлонова Феруза</v>
      </c>
      <c r="D552" s="6" t="str">
        <f>IFERROR(__xludf.DUMMYFUNCTION("""COMPUTED_VALUE"""),"79035410190")</f>
        <v>79035410190</v>
      </c>
      <c r="E552" s="9">
        <f>IFERROR(__xludf.DUMMYFUNCTION("""COMPUTED_VALUE"""),52800.0)</f>
        <v>52800</v>
      </c>
      <c r="F552" s="6"/>
      <c r="G552" s="10">
        <f>IFERROR(__xludf.DUMMYFUNCTION("""COMPUTED_VALUE"""),52800.0)</f>
        <v>52800</v>
      </c>
      <c r="H552" s="6">
        <f>IFERROR(__xludf.DUMMYFUNCTION("""COMPUTED_VALUE"""),369.59999999999997)</f>
        <v>369.6</v>
      </c>
      <c r="I552" s="11">
        <f>IFERROR(__xludf.DUMMYFUNCTION("""COMPUTED_VALUE"""),52430.4)</f>
        <v>52430.4</v>
      </c>
      <c r="J552" s="6" t="str">
        <f>IFERROR(__xludf.DUMMYFUNCTION("""COMPUTED_VALUE"""),"оплатили в QUGO")</f>
        <v>оплатили в QUGO</v>
      </c>
      <c r="K552" s="6"/>
      <c r="L552" s="6">
        <f>IFERROR(__xludf.DUMMYFUNCTION("""COMPUTED_VALUE"""),5.02780207956E11)</f>
        <v>502780207956</v>
      </c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>
        <f>IFERROR(__xludf.DUMMYFUNCTION("""COMPUTED_VALUE"""),2026.0)</f>
        <v>2026</v>
      </c>
      <c r="B553" s="7" t="str">
        <f>IFERROR(__xludf.DUMMYFUNCTION("""COMPUTED_VALUE"""),"16.01-31.01")</f>
        <v>16.01-31.01</v>
      </c>
      <c r="C553" s="8" t="str">
        <f>IFERROR(__xludf.DUMMYFUNCTION("""COMPUTED_VALUE"""),"Куватова Холбека Зокировна")</f>
        <v>Куватова Холбека Зокировна</v>
      </c>
      <c r="D553" s="6" t="str">
        <f>IFERROR(__xludf.DUMMYFUNCTION("""COMPUTED_VALUE"""),"79060885518")</f>
        <v>79060885518</v>
      </c>
      <c r="E553" s="9">
        <f>IFERROR(__xludf.DUMMYFUNCTION("""COMPUTED_VALUE"""),56583.0)</f>
        <v>56583</v>
      </c>
      <c r="F553" s="6"/>
      <c r="G553" s="10">
        <f>IFERROR(__xludf.DUMMYFUNCTION("""COMPUTED_VALUE"""),56583.0)</f>
        <v>56583</v>
      </c>
      <c r="H553" s="6">
        <f>IFERROR(__xludf.DUMMYFUNCTION("""COMPUTED_VALUE"""),396.08099999999996)</f>
        <v>396.081</v>
      </c>
      <c r="I553" s="11">
        <f>IFERROR(__xludf.DUMMYFUNCTION("""COMPUTED_VALUE"""),56186.919)</f>
        <v>56186.919</v>
      </c>
      <c r="J553" s="6" t="str">
        <f>IFERROR(__xludf.DUMMYFUNCTION("""COMPUTED_VALUE"""),"оплатили в QUGO")</f>
        <v>оплатили в QUGO</v>
      </c>
      <c r="K553" s="6"/>
      <c r="L553" s="6">
        <f>IFERROR(__xludf.DUMMYFUNCTION("""COMPUTED_VALUE"""),7.74354320506E11)</f>
        <v>774354320506</v>
      </c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>
        <f>IFERROR(__xludf.DUMMYFUNCTION("""COMPUTED_VALUE"""),2026.0)</f>
        <v>2026</v>
      </c>
      <c r="B554" s="7" t="str">
        <f>IFERROR(__xludf.DUMMYFUNCTION("""COMPUTED_VALUE"""),"16.01-31.01")</f>
        <v>16.01-31.01</v>
      </c>
      <c r="C554" s="8" t="str">
        <f>IFERROR(__xludf.DUMMYFUNCTION("""COMPUTED_VALUE"""),"Джовлиева Чаман")</f>
        <v>Джовлиева Чаман</v>
      </c>
      <c r="D554" s="6" t="str">
        <f>IFERROR(__xludf.DUMMYFUNCTION("""COMPUTED_VALUE"""),"79099908237")</f>
        <v>79099908237</v>
      </c>
      <c r="E554" s="9">
        <f>IFERROR(__xludf.DUMMYFUNCTION("""COMPUTED_VALUE"""),51200.0)</f>
        <v>51200</v>
      </c>
      <c r="F554" s="6">
        <f>IFERROR(__xludf.DUMMYFUNCTION("""COMPUTED_VALUE"""),3654.0)</f>
        <v>3654</v>
      </c>
      <c r="G554" s="10">
        <f>IFERROR(__xludf.DUMMYFUNCTION("""COMPUTED_VALUE"""),47546.0)</f>
        <v>47546</v>
      </c>
      <c r="H554" s="6">
        <f>IFERROR(__xludf.DUMMYFUNCTION("""COMPUTED_VALUE"""),332.82199999999995)</f>
        <v>332.822</v>
      </c>
      <c r="I554" s="11">
        <f>IFERROR(__xludf.DUMMYFUNCTION("""COMPUTED_VALUE"""),47213.178)</f>
        <v>47213.178</v>
      </c>
      <c r="J554" s="6" t="str">
        <f>IFERROR(__xludf.DUMMYFUNCTION("""COMPUTED_VALUE"""),"оплатили в QUGO")</f>
        <v>оплатили в QUGO</v>
      </c>
      <c r="K554" s="6" t="str">
        <f>IFERROR(__xludf.DUMMYFUNCTION("""COMPUTED_VALUE"""),"3654 р. за Официальную ЗП Январь")</f>
        <v>3654 р. за Официальную ЗП Январь</v>
      </c>
      <c r="L554" s="6">
        <f>IFERROR(__xludf.DUMMYFUNCTION("""COMPUTED_VALUE"""),7.71392768519E11)</f>
        <v>771392768519</v>
      </c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>
        <f>IFERROR(__xludf.DUMMYFUNCTION("""COMPUTED_VALUE"""),2026.0)</f>
        <v>2026</v>
      </c>
      <c r="B555" s="7" t="str">
        <f>IFERROR(__xludf.DUMMYFUNCTION("""COMPUTED_VALUE"""),"16.01-31.01")</f>
        <v>16.01-31.01</v>
      </c>
      <c r="C555" s="8" t="str">
        <f>IFERROR(__xludf.DUMMYFUNCTION("""COMPUTED_VALUE"""),"Зулунов Акбарали Шухратбек угли")</f>
        <v>Зулунов Акбарали Шухратбек угли</v>
      </c>
      <c r="D555" s="6" t="str">
        <f>IFERROR(__xludf.DUMMYFUNCTION("""COMPUTED_VALUE"""),"79684325555")</f>
        <v>79684325555</v>
      </c>
      <c r="E555" s="9">
        <f>IFERROR(__xludf.DUMMYFUNCTION("""COMPUTED_VALUE"""),53342.0)</f>
        <v>53342</v>
      </c>
      <c r="F555" s="6"/>
      <c r="G555" s="10">
        <f>IFERROR(__xludf.DUMMYFUNCTION("""COMPUTED_VALUE"""),53342.0)</f>
        <v>53342</v>
      </c>
      <c r="H555" s="6">
        <f>IFERROR(__xludf.DUMMYFUNCTION("""COMPUTED_VALUE"""),373.39399999999995)</f>
        <v>373.394</v>
      </c>
      <c r="I555" s="11">
        <f>IFERROR(__xludf.DUMMYFUNCTION("""COMPUTED_VALUE"""),52968.606)</f>
        <v>52968.606</v>
      </c>
      <c r="J555" s="6" t="str">
        <f>IFERROR(__xludf.DUMMYFUNCTION("""COMPUTED_VALUE"""),"оплатили в QUGO")</f>
        <v>оплатили в QUGO</v>
      </c>
      <c r="K555" s="6"/>
      <c r="L555" s="6">
        <f>IFERROR(__xludf.DUMMYFUNCTION("""COMPUTED_VALUE"""),5.02765439695E11)</f>
        <v>502765439695</v>
      </c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>
        <f>IFERROR(__xludf.DUMMYFUNCTION("""COMPUTED_VALUE"""),2026.0)</f>
        <v>2026</v>
      </c>
      <c r="B556" s="7" t="str">
        <f>IFERROR(__xludf.DUMMYFUNCTION("""COMPUTED_VALUE"""),"16.01-31.01")</f>
        <v>16.01-31.01</v>
      </c>
      <c r="C556" s="8" t="str">
        <f>IFERROR(__xludf.DUMMYFUNCTION("""COMPUTED_VALUE"""),"Рустамов Дониёр Абдукахорович")</f>
        <v>Рустамов Дониёр Абдукахорович</v>
      </c>
      <c r="D556" s="6" t="str">
        <f>IFERROR(__xludf.DUMMYFUNCTION("""COMPUTED_VALUE"""),"79776800074")</f>
        <v>79776800074</v>
      </c>
      <c r="E556" s="9">
        <f>IFERROR(__xludf.DUMMYFUNCTION("""COMPUTED_VALUE"""),62400.0)</f>
        <v>62400</v>
      </c>
      <c r="F556" s="6"/>
      <c r="G556" s="10">
        <f>IFERROR(__xludf.DUMMYFUNCTION("""COMPUTED_VALUE"""),62400.0)</f>
        <v>62400</v>
      </c>
      <c r="H556" s="6">
        <f>IFERROR(__xludf.DUMMYFUNCTION("""COMPUTED_VALUE"""),436.79999999999995)</f>
        <v>436.8</v>
      </c>
      <c r="I556" s="11">
        <f>IFERROR(__xludf.DUMMYFUNCTION("""COMPUTED_VALUE"""),61963.2)</f>
        <v>61963.2</v>
      </c>
      <c r="J556" s="6" t="str">
        <f>IFERROR(__xludf.DUMMYFUNCTION("""COMPUTED_VALUE"""),"оплатили в QUGO")</f>
        <v>оплатили в QUGO</v>
      </c>
      <c r="K556" s="6"/>
      <c r="L556" s="6">
        <f>IFERROR(__xludf.DUMMYFUNCTION("""COMPUTED_VALUE"""),9.7180693062E11)</f>
        <v>971806930620</v>
      </c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>
        <f>IFERROR(__xludf.DUMMYFUNCTION("""COMPUTED_VALUE"""),2026.0)</f>
        <v>2026</v>
      </c>
      <c r="B557" s="7" t="str">
        <f>IFERROR(__xludf.DUMMYFUNCTION("""COMPUTED_VALUE"""),"16.01-31.01")</f>
        <v>16.01-31.01</v>
      </c>
      <c r="C557" s="8" t="str">
        <f>IFERROR(__xludf.DUMMYFUNCTION("""COMPUTED_VALUE"""),"Юсупов Илхомидин Гозиевич")</f>
        <v>Юсупов Илхомидин Гозиевич</v>
      </c>
      <c r="D557" s="6" t="str">
        <f>IFERROR(__xludf.DUMMYFUNCTION("""COMPUTED_VALUE"""),"79162515030")</f>
        <v>79162515030</v>
      </c>
      <c r="E557" s="9">
        <f>IFERROR(__xludf.DUMMYFUNCTION("""COMPUTED_VALUE"""),68800.0)</f>
        <v>68800</v>
      </c>
      <c r="F557" s="6"/>
      <c r="G557" s="10">
        <f>IFERROR(__xludf.DUMMYFUNCTION("""COMPUTED_VALUE"""),68800.0)</f>
        <v>68800</v>
      </c>
      <c r="H557" s="6">
        <f>IFERROR(__xludf.DUMMYFUNCTION("""COMPUTED_VALUE"""),481.59999999999997)</f>
        <v>481.6</v>
      </c>
      <c r="I557" s="11">
        <f>IFERROR(__xludf.DUMMYFUNCTION("""COMPUTED_VALUE"""),68318.4)</f>
        <v>68318.4</v>
      </c>
      <c r="J557" s="6" t="str">
        <f>IFERROR(__xludf.DUMMYFUNCTION("""COMPUTED_VALUE"""),"оплатили в QUGO")</f>
        <v>оплатили в QUGO</v>
      </c>
      <c r="K557" s="6"/>
      <c r="L557" s="6">
        <f>IFERROR(__xludf.DUMMYFUNCTION("""COMPUTED_VALUE"""),7.72418658586E11)</f>
        <v>772418658586</v>
      </c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>
        <f>IFERROR(__xludf.DUMMYFUNCTION("""COMPUTED_VALUE"""),2026.0)</f>
        <v>2026</v>
      </c>
      <c r="B558" s="7" t="str">
        <f>IFERROR(__xludf.DUMMYFUNCTION("""COMPUTED_VALUE"""),"16.01-31.01")</f>
        <v>16.01-31.01</v>
      </c>
      <c r="C558" s="8" t="str">
        <f>IFERROR(__xludf.DUMMYFUNCTION("""COMPUTED_VALUE"""),"Иброхимзода Юсуф")</f>
        <v>Иброхимзода Юсуф</v>
      </c>
      <c r="D558" s="6" t="str">
        <f>IFERROR(__xludf.DUMMYFUNCTION("""COMPUTED_VALUE"""),"79694795092")</f>
        <v>79694795092</v>
      </c>
      <c r="E558" s="9">
        <f>IFERROR(__xludf.DUMMYFUNCTION("""COMPUTED_VALUE"""),68800.0)</f>
        <v>68800</v>
      </c>
      <c r="F558" s="6"/>
      <c r="G558" s="10">
        <f>IFERROR(__xludf.DUMMYFUNCTION("""COMPUTED_VALUE"""),68800.0)</f>
        <v>68800</v>
      </c>
      <c r="H558" s="6">
        <f>IFERROR(__xludf.DUMMYFUNCTION("""COMPUTED_VALUE"""),481.59999999999997)</f>
        <v>481.6</v>
      </c>
      <c r="I558" s="11">
        <f>IFERROR(__xludf.DUMMYFUNCTION("""COMPUTED_VALUE"""),68318.4)</f>
        <v>68318.4</v>
      </c>
      <c r="J558" s="6" t="str">
        <f>IFERROR(__xludf.DUMMYFUNCTION("""COMPUTED_VALUE"""),"оплатили в QUGO")</f>
        <v>оплатили в QUGO</v>
      </c>
      <c r="K558" s="6"/>
      <c r="L558" s="6">
        <f>IFERROR(__xludf.DUMMYFUNCTION("""COMPUTED_VALUE"""),7.72321986304E11)</f>
        <v>772321986304</v>
      </c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>
        <f>IFERROR(__xludf.DUMMYFUNCTION("""COMPUTED_VALUE"""),2026.0)</f>
        <v>2026</v>
      </c>
      <c r="B559" s="7" t="str">
        <f>IFERROR(__xludf.DUMMYFUNCTION("""COMPUTED_VALUE"""),"16.01-31.01")</f>
        <v>16.01-31.01</v>
      </c>
      <c r="C559" s="8" t="str">
        <f>IFERROR(__xludf.DUMMYFUNCTION("""COMPUTED_VALUE"""),"Хаитова Лайло Норбоевна")</f>
        <v>Хаитова Лайло Норбоевна</v>
      </c>
      <c r="D559" s="6" t="str">
        <f>IFERROR(__xludf.DUMMYFUNCTION("""COMPUTED_VALUE"""),"79694748125")</f>
        <v>79694748125</v>
      </c>
      <c r="E559" s="9">
        <f>IFERROR(__xludf.DUMMYFUNCTION("""COMPUTED_VALUE"""),54000.0)</f>
        <v>54000</v>
      </c>
      <c r="F559" s="6">
        <f>IFERROR(__xludf.DUMMYFUNCTION("""COMPUTED_VALUE"""),3741.0)</f>
        <v>3741</v>
      </c>
      <c r="G559" s="10">
        <f>IFERROR(__xludf.DUMMYFUNCTION("""COMPUTED_VALUE"""),50259.0)</f>
        <v>50259</v>
      </c>
      <c r="H559" s="6">
        <f>IFERROR(__xludf.DUMMYFUNCTION("""COMPUTED_VALUE"""),351.813)</f>
        <v>351.813</v>
      </c>
      <c r="I559" s="11">
        <f>IFERROR(__xludf.DUMMYFUNCTION("""COMPUTED_VALUE"""),49907.187)</f>
        <v>49907.187</v>
      </c>
      <c r="J559" s="6" t="str">
        <f>IFERROR(__xludf.DUMMYFUNCTION("""COMPUTED_VALUE"""),"оплатили в QUGO")</f>
        <v>оплатили в QUGO</v>
      </c>
      <c r="K559" s="6" t="str">
        <f>IFERROR(__xludf.DUMMYFUNCTION("""COMPUTED_VALUE"""),"3741 р. за Официальную ЗП Январь")</f>
        <v>3741 р. за Официальную ЗП Январь</v>
      </c>
      <c r="L559" s="6">
        <f>IFERROR(__xludf.DUMMYFUNCTION("""COMPUTED_VALUE"""),7.71778280523E11)</f>
        <v>771778280523</v>
      </c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>
        <f>IFERROR(__xludf.DUMMYFUNCTION("""COMPUTED_VALUE"""),2026.0)</f>
        <v>2026</v>
      </c>
      <c r="B560" s="7" t="str">
        <f>IFERROR(__xludf.DUMMYFUNCTION("""COMPUTED_VALUE"""),"16.01-31.01")</f>
        <v>16.01-31.01</v>
      </c>
      <c r="C560" s="8" t="str">
        <f>IFERROR(__xludf.DUMMYFUNCTION("""COMPUTED_VALUE"""),"Солиев Алимардон Акбаралиевич")</f>
        <v>Солиев Алимардон Акбаралиевич</v>
      </c>
      <c r="D560" s="6" t="str">
        <f>IFERROR(__xludf.DUMMYFUNCTION("""COMPUTED_VALUE"""),"79161154264")</f>
        <v>79161154264</v>
      </c>
      <c r="E560" s="9">
        <f>IFERROR(__xludf.DUMMYFUNCTION("""COMPUTED_VALUE"""),72000.0)</f>
        <v>72000</v>
      </c>
      <c r="F560" s="6"/>
      <c r="G560" s="10">
        <f>IFERROR(__xludf.DUMMYFUNCTION("""COMPUTED_VALUE"""),72000.0)</f>
        <v>72000</v>
      </c>
      <c r="H560" s="6">
        <f>IFERROR(__xludf.DUMMYFUNCTION("""COMPUTED_VALUE"""),503.99999999999994)</f>
        <v>504</v>
      </c>
      <c r="I560" s="11">
        <f>IFERROR(__xludf.DUMMYFUNCTION("""COMPUTED_VALUE"""),71496.0)</f>
        <v>71496</v>
      </c>
      <c r="J560" s="6" t="str">
        <f>IFERROR(__xludf.DUMMYFUNCTION("""COMPUTED_VALUE"""),"оплатили в QUGO")</f>
        <v>оплатили в QUGO</v>
      </c>
      <c r="K560" s="6"/>
      <c r="L560" s="6">
        <f>IFERROR(__xludf.DUMMYFUNCTION("""COMPUTED_VALUE"""),4.02818158835E11)</f>
        <v>402818158835</v>
      </c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>
        <f>IFERROR(__xludf.DUMMYFUNCTION("""COMPUTED_VALUE"""),2026.0)</f>
        <v>2026</v>
      </c>
      <c r="B561" s="7" t="str">
        <f>IFERROR(__xludf.DUMMYFUNCTION("""COMPUTED_VALUE"""),"16.01-31.01")</f>
        <v>16.01-31.01</v>
      </c>
      <c r="C561" s="8" t="str">
        <f>IFERROR(__xludf.DUMMYFUNCTION("""COMPUTED_VALUE"""),"Нуруллаев Нодирбек")</f>
        <v>Нуруллаев Нодирбек</v>
      </c>
      <c r="D561" s="6" t="str">
        <f>IFERROR(__xludf.DUMMYFUNCTION("""COMPUTED_VALUE"""),"79801360139")</f>
        <v>79801360139</v>
      </c>
      <c r="E561" s="9">
        <f>IFERROR(__xludf.DUMMYFUNCTION("""COMPUTED_VALUE"""),59817.0)</f>
        <v>59817</v>
      </c>
      <c r="F561" s="6">
        <f>IFERROR(__xludf.DUMMYFUNCTION("""COMPUTED_VALUE"""),3654.0)</f>
        <v>3654</v>
      </c>
      <c r="G561" s="10">
        <f>IFERROR(__xludf.DUMMYFUNCTION("""COMPUTED_VALUE"""),56163.0)</f>
        <v>56163</v>
      </c>
      <c r="H561" s="6">
        <f>IFERROR(__xludf.DUMMYFUNCTION("""COMPUTED_VALUE"""),393.14099999999996)</f>
        <v>393.141</v>
      </c>
      <c r="I561" s="11">
        <f>IFERROR(__xludf.DUMMYFUNCTION("""COMPUTED_VALUE"""),55769.859)</f>
        <v>55769.859</v>
      </c>
      <c r="J561" s="6" t="str">
        <f>IFERROR(__xludf.DUMMYFUNCTION("""COMPUTED_VALUE"""),"оплатили в QUGO")</f>
        <v>оплатили в QUGO</v>
      </c>
      <c r="K561" s="6" t="str">
        <f>IFERROR(__xludf.DUMMYFUNCTION("""COMPUTED_VALUE"""),"3654 р. за Официальную ЗП Январь")</f>
        <v>3654 р. за Официальную ЗП Январь</v>
      </c>
      <c r="L561" s="6">
        <f>IFERROR(__xludf.DUMMYFUNCTION("""COMPUTED_VALUE"""),7.7518750507E11)</f>
        <v>775187505070</v>
      </c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>
        <f>IFERROR(__xludf.DUMMYFUNCTION("""COMPUTED_VALUE"""),2026.0)</f>
        <v>2026</v>
      </c>
      <c r="B562" s="7" t="str">
        <f>IFERROR(__xludf.DUMMYFUNCTION("""COMPUTED_VALUE"""),"16.01-31.01")</f>
        <v>16.01-31.01</v>
      </c>
      <c r="C562" s="8" t="str">
        <f>IFERROR(__xludf.DUMMYFUNCTION("""COMPUTED_VALUE"""),"Жураев Бахриддин Фахриддинович")</f>
        <v>Жураев Бахриддин Фахриддинович</v>
      </c>
      <c r="D562" s="6" t="str">
        <f>IFERROR(__xludf.DUMMYFUNCTION("""COMPUTED_VALUE"""),"79260684763")</f>
        <v>79260684763</v>
      </c>
      <c r="E562" s="9">
        <f>IFERROR(__xludf.DUMMYFUNCTION("""COMPUTED_VALUE"""),57000.0)</f>
        <v>57000</v>
      </c>
      <c r="F562" s="6"/>
      <c r="G562" s="10">
        <f>IFERROR(__xludf.DUMMYFUNCTION("""COMPUTED_VALUE"""),57000.0)</f>
        <v>57000</v>
      </c>
      <c r="H562" s="6">
        <f>IFERROR(__xludf.DUMMYFUNCTION("""COMPUTED_VALUE"""),398.99999999999994)</f>
        <v>399</v>
      </c>
      <c r="I562" s="11">
        <f>IFERROR(__xludf.DUMMYFUNCTION("""COMPUTED_VALUE"""),56601.0)</f>
        <v>56601</v>
      </c>
      <c r="J562" s="6" t="str">
        <f>IFERROR(__xludf.DUMMYFUNCTION("""COMPUTED_VALUE"""),"оплатили в QUGO")</f>
        <v>оплатили в QUGO</v>
      </c>
      <c r="K562" s="6"/>
      <c r="L562" s="6">
        <f>IFERROR(__xludf.DUMMYFUNCTION("""COMPUTED_VALUE"""),7.75182197834E11)</f>
        <v>775182197834</v>
      </c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>
        <f>IFERROR(__xludf.DUMMYFUNCTION("""COMPUTED_VALUE"""),2026.0)</f>
        <v>2026</v>
      </c>
      <c r="B563" s="7" t="str">
        <f>IFERROR(__xludf.DUMMYFUNCTION("""COMPUTED_VALUE"""),"16.01-31.01")</f>
        <v>16.01-31.01</v>
      </c>
      <c r="C563" s="8" t="str">
        <f>IFERROR(__xludf.DUMMYFUNCTION("""COMPUTED_VALUE"""),"Мажитова Диляфруз Юлдашевна")</f>
        <v>Мажитова Диляфруз Юлдашевна</v>
      </c>
      <c r="D563" s="6" t="str">
        <f>IFERROR(__xludf.DUMMYFUNCTION("""COMPUTED_VALUE"""),"79031479284")</f>
        <v>79031479284</v>
      </c>
      <c r="E563" s="9">
        <f>IFERROR(__xludf.DUMMYFUNCTION("""COMPUTED_VALUE"""),57517.0)</f>
        <v>57517</v>
      </c>
      <c r="F563" s="6"/>
      <c r="G563" s="10">
        <f>IFERROR(__xludf.DUMMYFUNCTION("""COMPUTED_VALUE"""),57517.0)</f>
        <v>57517</v>
      </c>
      <c r="H563" s="6">
        <f>IFERROR(__xludf.DUMMYFUNCTION("""COMPUTED_VALUE"""),402.61899999999997)</f>
        <v>402.619</v>
      </c>
      <c r="I563" s="11">
        <f>IFERROR(__xludf.DUMMYFUNCTION("""COMPUTED_VALUE"""),57114.381)</f>
        <v>57114.381</v>
      </c>
      <c r="J563" s="6" t="str">
        <f>IFERROR(__xludf.DUMMYFUNCTION("""COMPUTED_VALUE"""),"оплатили в QUGO")</f>
        <v>оплатили в QUGO</v>
      </c>
      <c r="K563" s="6"/>
      <c r="L563" s="6">
        <f>IFERROR(__xludf.DUMMYFUNCTION("""COMPUTED_VALUE"""),5.02776500895E11)</f>
        <v>502776500895</v>
      </c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>
        <f>IFERROR(__xludf.DUMMYFUNCTION("""COMPUTED_VALUE"""),2026.0)</f>
        <v>2026</v>
      </c>
      <c r="B564" s="7" t="str">
        <f>IFERROR(__xludf.DUMMYFUNCTION("""COMPUTED_VALUE"""),"16.01-31.01")</f>
        <v>16.01-31.01</v>
      </c>
      <c r="C564" s="8" t="str">
        <f>IFERROR(__xludf.DUMMYFUNCTION("""COMPUTED_VALUE"""),"Мачитова Амонгул")</f>
        <v>Мачитова Амонгул</v>
      </c>
      <c r="D564" s="6" t="str">
        <f>IFERROR(__xludf.DUMMYFUNCTION("""COMPUTED_VALUE"""),"79180245751")</f>
        <v>79180245751</v>
      </c>
      <c r="E564" s="9">
        <f>IFERROR(__xludf.DUMMYFUNCTION("""COMPUTED_VALUE"""),49867.0)</f>
        <v>49867</v>
      </c>
      <c r="F564" s="6"/>
      <c r="G564" s="10">
        <f>IFERROR(__xludf.DUMMYFUNCTION("""COMPUTED_VALUE"""),49867.0)</f>
        <v>49867</v>
      </c>
      <c r="H564" s="6">
        <f>IFERROR(__xludf.DUMMYFUNCTION("""COMPUTED_VALUE"""),349.06899999999996)</f>
        <v>349.069</v>
      </c>
      <c r="I564" s="11">
        <f>IFERROR(__xludf.DUMMYFUNCTION("""COMPUTED_VALUE"""),49517.931)</f>
        <v>49517.931</v>
      </c>
      <c r="J564" s="6" t="str">
        <f>IFERROR(__xludf.DUMMYFUNCTION("""COMPUTED_VALUE"""),"оплатили в QUGO")</f>
        <v>оплатили в QUGO</v>
      </c>
      <c r="K564" s="6" t="str">
        <f>IFERROR(__xludf.DUMMYFUNCTION("""COMPUTED_VALUE"""),"повторили оплату")</f>
        <v>повторили оплату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>
        <f>IFERROR(__xludf.DUMMYFUNCTION("""COMPUTED_VALUE"""),2026.0)</f>
        <v>2026</v>
      </c>
      <c r="B565" s="7" t="str">
        <f>IFERROR(__xludf.DUMMYFUNCTION("""COMPUTED_VALUE"""),"16.01-31.01")</f>
        <v>16.01-31.01</v>
      </c>
      <c r="C565" s="8" t="str">
        <f>IFERROR(__xludf.DUMMYFUNCTION("""COMPUTED_VALUE"""),"Курбонова Гулжахон Абдуразоковна")</f>
        <v>Курбонова Гулжахон Абдуразоковна</v>
      </c>
      <c r="D565" s="6" t="str">
        <f>IFERROR(__xludf.DUMMYFUNCTION("""COMPUTED_VALUE"""),"79255103455")</f>
        <v>79255103455</v>
      </c>
      <c r="E565" s="9">
        <f>IFERROR(__xludf.DUMMYFUNCTION("""COMPUTED_VALUE"""),60000.0)</f>
        <v>60000</v>
      </c>
      <c r="F565" s="6"/>
      <c r="G565" s="10">
        <f>IFERROR(__xludf.DUMMYFUNCTION("""COMPUTED_VALUE"""),60000.0)</f>
        <v>60000</v>
      </c>
      <c r="H565" s="6">
        <f>IFERROR(__xludf.DUMMYFUNCTION("""COMPUTED_VALUE"""),419.99999999999994)</f>
        <v>420</v>
      </c>
      <c r="I565" s="11">
        <f>IFERROR(__xludf.DUMMYFUNCTION("""COMPUTED_VALUE"""),59580.0)</f>
        <v>59580</v>
      </c>
      <c r="J565" s="6" t="str">
        <f>IFERROR(__xludf.DUMMYFUNCTION("""COMPUTED_VALUE"""),"оплатили в QUGO")</f>
        <v>оплатили в QUGO</v>
      </c>
      <c r="K565" s="6"/>
      <c r="L565" s="6">
        <f>IFERROR(__xludf.DUMMYFUNCTION("""COMPUTED_VALUE"""),7.75151914986E11)</f>
        <v>775151914986</v>
      </c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>
        <f>IFERROR(__xludf.DUMMYFUNCTION("""COMPUTED_VALUE"""),2026.0)</f>
        <v>2026</v>
      </c>
      <c r="B566" s="7" t="str">
        <f>IFERROR(__xludf.DUMMYFUNCTION("""COMPUTED_VALUE"""),"16.01-31.01")</f>
        <v>16.01-31.01</v>
      </c>
      <c r="C566" s="8" t="str">
        <f>IFERROR(__xludf.DUMMYFUNCTION("""COMPUTED_VALUE"""),"Вахобов Мехроджиддин Махмадович")</f>
        <v>Вахобов Мехроджиддин Махмадович</v>
      </c>
      <c r="D566" s="6" t="str">
        <f>IFERROR(__xludf.DUMMYFUNCTION("""COMPUTED_VALUE"""),"79969262030")</f>
        <v>79969262030</v>
      </c>
      <c r="E566" s="9">
        <f>IFERROR(__xludf.DUMMYFUNCTION("""COMPUTED_VALUE"""),66200.0)</f>
        <v>66200</v>
      </c>
      <c r="F566" s="6"/>
      <c r="G566" s="10">
        <f>IFERROR(__xludf.DUMMYFUNCTION("""COMPUTED_VALUE"""),66200.0)</f>
        <v>66200</v>
      </c>
      <c r="H566" s="6">
        <f>IFERROR(__xludf.DUMMYFUNCTION("""COMPUTED_VALUE"""),463.4)</f>
        <v>463.4</v>
      </c>
      <c r="I566" s="11">
        <f>IFERROR(__xludf.DUMMYFUNCTION("""COMPUTED_VALUE"""),65736.6)</f>
        <v>65736.6</v>
      </c>
      <c r="J566" s="6" t="str">
        <f>IFERROR(__xludf.DUMMYFUNCTION("""COMPUTED_VALUE"""),"оплатили в QUGO")</f>
        <v>оплатили в QUGO</v>
      </c>
      <c r="K566" s="6"/>
      <c r="L566" s="6">
        <f>IFERROR(__xludf.DUMMYFUNCTION("""COMPUTED_VALUE"""),7.60419142561E11)</f>
        <v>760419142561</v>
      </c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>
        <f>IFERROR(__xludf.DUMMYFUNCTION("""COMPUTED_VALUE"""),2026.0)</f>
        <v>2026</v>
      </c>
      <c r="B567" s="7" t="str">
        <f>IFERROR(__xludf.DUMMYFUNCTION("""COMPUTED_VALUE"""),"16.01-31.01")</f>
        <v>16.01-31.01</v>
      </c>
      <c r="C567" s="8" t="str">
        <f>IFERROR(__xludf.DUMMYFUNCTION("""COMPUTED_VALUE"""),"Мухаммаджонов Акмалджон Аюбович")</f>
        <v>Мухаммаджонов Акмалджон Аюбович</v>
      </c>
      <c r="D567" s="6" t="str">
        <f>IFERROR(__xludf.DUMMYFUNCTION("""COMPUTED_VALUE"""),"79955553419")</f>
        <v>79955553419</v>
      </c>
      <c r="E567" s="9">
        <f>IFERROR(__xludf.DUMMYFUNCTION("""COMPUTED_VALUE"""),56700.0)</f>
        <v>56700</v>
      </c>
      <c r="F567" s="6"/>
      <c r="G567" s="10">
        <f>IFERROR(__xludf.DUMMYFUNCTION("""COMPUTED_VALUE"""),56700.0)</f>
        <v>56700</v>
      </c>
      <c r="H567" s="6">
        <f>IFERROR(__xludf.DUMMYFUNCTION("""COMPUTED_VALUE"""),396.9)</f>
        <v>396.9</v>
      </c>
      <c r="I567" s="11">
        <f>IFERROR(__xludf.DUMMYFUNCTION("""COMPUTED_VALUE"""),56303.1)</f>
        <v>56303.1</v>
      </c>
      <c r="J567" s="6" t="str">
        <f>IFERROR(__xludf.DUMMYFUNCTION("""COMPUTED_VALUE"""),"оплатили в QUGO")</f>
        <v>оплатили в QUGO</v>
      </c>
      <c r="K567" s="6"/>
      <c r="L567" s="6">
        <f>IFERROR(__xludf.DUMMYFUNCTION("""COMPUTED_VALUE"""),9.7151845056E11)</f>
        <v>971518450560</v>
      </c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>
        <f>IFERROR(__xludf.DUMMYFUNCTION("""COMPUTED_VALUE"""),2026.0)</f>
        <v>2026</v>
      </c>
      <c r="B568" s="7" t="str">
        <f>IFERROR(__xludf.DUMMYFUNCTION("""COMPUTED_VALUE"""),"16.01-31.01")</f>
        <v>16.01-31.01</v>
      </c>
      <c r="C568" s="8" t="str">
        <f>IFERROR(__xludf.DUMMYFUNCTION("""COMPUTED_VALUE"""),"Турдибекова Мухайё Уктамовна")</f>
        <v>Турдибекова Мухайё Уктамовна</v>
      </c>
      <c r="D568" s="6" t="str">
        <f>IFERROR(__xludf.DUMMYFUNCTION("""COMPUTED_VALUE"""),"79966796423")</f>
        <v>79966796423</v>
      </c>
      <c r="E568" s="9">
        <f>IFERROR(__xludf.DUMMYFUNCTION("""COMPUTED_VALUE"""),44400.0)</f>
        <v>44400</v>
      </c>
      <c r="F568" s="6"/>
      <c r="G568" s="10">
        <f>IFERROR(__xludf.DUMMYFUNCTION("""COMPUTED_VALUE"""),44400.0)</f>
        <v>44400</v>
      </c>
      <c r="H568" s="6">
        <f>IFERROR(__xludf.DUMMYFUNCTION("""COMPUTED_VALUE"""),310.79999999999995)</f>
        <v>310.8</v>
      </c>
      <c r="I568" s="11">
        <f>IFERROR(__xludf.DUMMYFUNCTION("""COMPUTED_VALUE"""),44089.2)</f>
        <v>44089.2</v>
      </c>
      <c r="J568" s="6" t="str">
        <f>IFERROR(__xludf.DUMMYFUNCTION("""COMPUTED_VALUE"""),"оплатили в QUGO")</f>
        <v>оплатили в QUGO</v>
      </c>
      <c r="K568" s="6"/>
      <c r="L568" s="6">
        <f>IFERROR(__xludf.DUMMYFUNCTION("""COMPUTED_VALUE"""),5.02777123914E11)</f>
        <v>502777123914</v>
      </c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>
        <f>IFERROR(__xludf.DUMMYFUNCTION("""COMPUTED_VALUE"""),2026.0)</f>
        <v>2026</v>
      </c>
      <c r="B569" s="7" t="str">
        <f>IFERROR(__xludf.DUMMYFUNCTION("""COMPUTED_VALUE"""),"16.01-31.01")</f>
        <v>16.01-31.01</v>
      </c>
      <c r="C569" s="8" t="str">
        <f>IFERROR(__xludf.DUMMYFUNCTION("""COMPUTED_VALUE"""),"Дусматов Равшан Алишерович")</f>
        <v>Дусматов Равшан Алишерович</v>
      </c>
      <c r="D569" s="6" t="str">
        <f>IFERROR(__xludf.DUMMYFUNCTION("""COMPUTED_VALUE"""),"79254088185")</f>
        <v>79254088185</v>
      </c>
      <c r="E569" s="9">
        <f>IFERROR(__xludf.DUMMYFUNCTION("""COMPUTED_VALUE"""),67500.0)</f>
        <v>67500</v>
      </c>
      <c r="F569" s="6"/>
      <c r="G569" s="10">
        <f>IFERROR(__xludf.DUMMYFUNCTION("""COMPUTED_VALUE"""),67500.0)</f>
        <v>67500</v>
      </c>
      <c r="H569" s="6">
        <f>IFERROR(__xludf.DUMMYFUNCTION("""COMPUTED_VALUE"""),472.49999999999994)</f>
        <v>472.5</v>
      </c>
      <c r="I569" s="11">
        <f>IFERROR(__xludf.DUMMYFUNCTION("""COMPUTED_VALUE"""),67027.5)</f>
        <v>67027.5</v>
      </c>
      <c r="J569" s="6" t="str">
        <f>IFERROR(__xludf.DUMMYFUNCTION("""COMPUTED_VALUE"""),"оплатили в QUGO")</f>
        <v>оплатили в QUGO</v>
      </c>
      <c r="K569" s="6"/>
      <c r="L569" s="6">
        <f>IFERROR(__xludf.DUMMYFUNCTION("""COMPUTED_VALUE"""),7.71689013702E11)</f>
        <v>771689013702</v>
      </c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>
        <f>IFERROR(__xludf.DUMMYFUNCTION("""COMPUTED_VALUE"""),2026.0)</f>
        <v>2026</v>
      </c>
      <c r="B570" s="7" t="str">
        <f>IFERROR(__xludf.DUMMYFUNCTION("""COMPUTED_VALUE"""),"16.01-31.01")</f>
        <v>16.01-31.01</v>
      </c>
      <c r="C570" s="8" t="str">
        <f>IFERROR(__xludf.DUMMYFUNCTION("""COMPUTED_VALUE"""),"Дусматова Зулола Агзамовна")</f>
        <v>Дусматова Зулола Агзамовна</v>
      </c>
      <c r="D570" s="6" t="str">
        <f>IFERROR(__xludf.DUMMYFUNCTION("""COMPUTED_VALUE"""),"79997675838")</f>
        <v>79997675838</v>
      </c>
      <c r="E570" s="9">
        <f>IFERROR(__xludf.DUMMYFUNCTION("""COMPUTED_VALUE"""),60000.0)</f>
        <v>60000</v>
      </c>
      <c r="F570" s="6"/>
      <c r="G570" s="10">
        <f>IFERROR(__xludf.DUMMYFUNCTION("""COMPUTED_VALUE"""),60000.0)</f>
        <v>60000</v>
      </c>
      <c r="H570" s="6">
        <f>IFERROR(__xludf.DUMMYFUNCTION("""COMPUTED_VALUE"""),419.99999999999994)</f>
        <v>420</v>
      </c>
      <c r="I570" s="11">
        <f>IFERROR(__xludf.DUMMYFUNCTION("""COMPUTED_VALUE"""),59580.0)</f>
        <v>59580</v>
      </c>
      <c r="J570" s="6" t="str">
        <f>IFERROR(__xludf.DUMMYFUNCTION("""COMPUTED_VALUE"""),"оплатили в QUGO")</f>
        <v>оплатили в QUGO</v>
      </c>
      <c r="K570" s="6"/>
      <c r="L570" s="6">
        <f>IFERROR(__xludf.DUMMYFUNCTION("""COMPUTED_VALUE"""),7.7148705793E11)</f>
        <v>771487057930</v>
      </c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>
        <f>IFERROR(__xludf.DUMMYFUNCTION("""COMPUTED_VALUE"""),2026.0)</f>
        <v>2026</v>
      </c>
      <c r="B571" s="7" t="str">
        <f>IFERROR(__xludf.DUMMYFUNCTION("""COMPUTED_VALUE"""),"16.01-31.01")</f>
        <v>16.01-31.01</v>
      </c>
      <c r="C571" s="8" t="str">
        <f>IFERROR(__xludf.DUMMYFUNCTION("""COMPUTED_VALUE"""),"Анорбоев Шахзод Тулгин Угли")</f>
        <v>Анорбоев Шахзод Тулгин Угли</v>
      </c>
      <c r="D571" s="6" t="str">
        <f>IFERROR(__xludf.DUMMYFUNCTION("""COMPUTED_VALUE"""),"79777470317")</f>
        <v>79777470317</v>
      </c>
      <c r="E571" s="9">
        <f>IFERROR(__xludf.DUMMYFUNCTION("""COMPUTED_VALUE"""),61500.0)</f>
        <v>61500</v>
      </c>
      <c r="F571" s="6"/>
      <c r="G571" s="10">
        <f>IFERROR(__xludf.DUMMYFUNCTION("""COMPUTED_VALUE"""),61500.0)</f>
        <v>61500</v>
      </c>
      <c r="H571" s="6">
        <f>IFERROR(__xludf.DUMMYFUNCTION("""COMPUTED_VALUE"""),430.49999999999994)</f>
        <v>430.5</v>
      </c>
      <c r="I571" s="11">
        <f>IFERROR(__xludf.DUMMYFUNCTION("""COMPUTED_VALUE"""),61069.5)</f>
        <v>61069.5</v>
      </c>
      <c r="J571" s="6" t="str">
        <f>IFERROR(__xludf.DUMMYFUNCTION("""COMPUTED_VALUE"""),"оплатили в QUGO")</f>
        <v>оплатили в QUGO</v>
      </c>
      <c r="K571" s="6"/>
      <c r="L571" s="6">
        <f>IFERROR(__xludf.DUMMYFUNCTION("""COMPUTED_VALUE"""),3.43537688905E11)</f>
        <v>343537688905</v>
      </c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>
        <f>IFERROR(__xludf.DUMMYFUNCTION("""COMPUTED_VALUE"""),2026.0)</f>
        <v>2026</v>
      </c>
      <c r="B572" s="7" t="str">
        <f>IFERROR(__xludf.DUMMYFUNCTION("""COMPUTED_VALUE"""),"16.01-31.01")</f>
        <v>16.01-31.01</v>
      </c>
      <c r="C572" s="8" t="str">
        <f>IFERROR(__xludf.DUMMYFUNCTION("""COMPUTED_VALUE"""),"Анорбоев Учкун")</f>
        <v>Анорбоев Учкун</v>
      </c>
      <c r="D572" s="6" t="str">
        <f>IFERROR(__xludf.DUMMYFUNCTION("""COMPUTED_VALUE"""),"79035193511")</f>
        <v>79035193511</v>
      </c>
      <c r="E572" s="9">
        <f>IFERROR(__xludf.DUMMYFUNCTION("""COMPUTED_VALUE"""),61500.0)</f>
        <v>61500</v>
      </c>
      <c r="F572" s="6"/>
      <c r="G572" s="10">
        <f>IFERROR(__xludf.DUMMYFUNCTION("""COMPUTED_VALUE"""),61500.0)</f>
        <v>61500</v>
      </c>
      <c r="H572" s="6">
        <f>IFERROR(__xludf.DUMMYFUNCTION("""COMPUTED_VALUE"""),430.49999999999994)</f>
        <v>430.5</v>
      </c>
      <c r="I572" s="11">
        <f>IFERROR(__xludf.DUMMYFUNCTION("""COMPUTED_VALUE"""),61069.5)</f>
        <v>61069.5</v>
      </c>
      <c r="J572" s="6" t="str">
        <f>IFERROR(__xludf.DUMMYFUNCTION("""COMPUTED_VALUE"""),"оплатили в QUGO")</f>
        <v>оплатили в QUGO</v>
      </c>
      <c r="K572" s="6"/>
      <c r="L572" s="6">
        <f>IFERROR(__xludf.DUMMYFUNCTION("""COMPUTED_VALUE"""),7.75160172385E11)</f>
        <v>775160172385</v>
      </c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>
        <f>IFERROR(__xludf.DUMMYFUNCTION("""COMPUTED_VALUE"""),2026.0)</f>
        <v>2026</v>
      </c>
      <c r="B573" s="7" t="str">
        <f>IFERROR(__xludf.DUMMYFUNCTION("""COMPUTED_VALUE"""),"16.01-31.01")</f>
        <v>16.01-31.01</v>
      </c>
      <c r="C573" s="8" t="str">
        <f>IFERROR(__xludf.DUMMYFUNCTION("""COMPUTED_VALUE"""),"Сайдуллаев Музаффар")</f>
        <v>Сайдуллаев Музаффар</v>
      </c>
      <c r="D573" s="6" t="str">
        <f>IFERROR(__xludf.DUMMYFUNCTION("""COMPUTED_VALUE"""),"79997977857")</f>
        <v>79997977857</v>
      </c>
      <c r="E573" s="9">
        <f>IFERROR(__xludf.DUMMYFUNCTION("""COMPUTED_VALUE"""),11100.0)</f>
        <v>11100</v>
      </c>
      <c r="F573" s="6"/>
      <c r="G573" s="10">
        <f>IFERROR(__xludf.DUMMYFUNCTION("""COMPUTED_VALUE"""),11100.0)</f>
        <v>11100</v>
      </c>
      <c r="H573" s="6">
        <f>IFERROR(__xludf.DUMMYFUNCTION("""COMPUTED_VALUE"""),77.69999999999999)</f>
        <v>77.7</v>
      </c>
      <c r="I573" s="11">
        <f>IFERROR(__xludf.DUMMYFUNCTION("""COMPUTED_VALUE"""),11022.3)</f>
        <v>11022.3</v>
      </c>
      <c r="J573" s="6" t="str">
        <f>IFERROR(__xludf.DUMMYFUNCTION("""COMPUTED_VALUE"""),"оплатили в QUGO")</f>
        <v>оплатили в QUGO</v>
      </c>
      <c r="K573" s="6"/>
      <c r="L573" s="6">
        <f>IFERROR(__xludf.DUMMYFUNCTION("""COMPUTED_VALUE"""),7.75123675454E11)</f>
        <v>775123675454</v>
      </c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>
        <f>IFERROR(__xludf.DUMMYFUNCTION("""COMPUTED_VALUE"""),2026.0)</f>
        <v>2026</v>
      </c>
      <c r="B574" s="7" t="str">
        <f>IFERROR(__xludf.DUMMYFUNCTION("""COMPUTED_VALUE"""),"16.01-31.01")</f>
        <v>16.01-31.01</v>
      </c>
      <c r="C574" s="8" t="str">
        <f>IFERROR(__xludf.DUMMYFUNCTION("""COMPUTED_VALUE"""),"Тагайлиева Гульбарчын Абдырахмоновна")</f>
        <v>Тагайлиева Гульбарчын Абдырахмоновна</v>
      </c>
      <c r="D574" s="6" t="str">
        <f>IFERROR(__xludf.DUMMYFUNCTION("""COMPUTED_VALUE"""),"79999895773")</f>
        <v>79999895773</v>
      </c>
      <c r="E574" s="9">
        <f>IFERROR(__xludf.DUMMYFUNCTION("""COMPUTED_VALUE"""),22800.0)</f>
        <v>22800</v>
      </c>
      <c r="F574" s="6"/>
      <c r="G574" s="10">
        <f>IFERROR(__xludf.DUMMYFUNCTION("""COMPUTED_VALUE"""),22800.0)</f>
        <v>22800</v>
      </c>
      <c r="H574" s="6">
        <f>IFERROR(__xludf.DUMMYFUNCTION("""COMPUTED_VALUE"""),159.6)</f>
        <v>159.6</v>
      </c>
      <c r="I574" s="11">
        <f>IFERROR(__xludf.DUMMYFUNCTION("""COMPUTED_VALUE"""),22640.4)</f>
        <v>22640.4</v>
      </c>
      <c r="J574" s="6" t="str">
        <f>IFERROR(__xludf.DUMMYFUNCTION("""COMPUTED_VALUE"""),"оплатили в QUGO")</f>
        <v>оплатили в QUGO</v>
      </c>
      <c r="K574" s="6"/>
      <c r="L574" s="6">
        <f>IFERROR(__xludf.DUMMYFUNCTION("""COMPUTED_VALUE"""),7.75162962212E11)</f>
        <v>775162962212</v>
      </c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>
        <f>IFERROR(__xludf.DUMMYFUNCTION("""COMPUTED_VALUE"""),2026.0)</f>
        <v>2026</v>
      </c>
      <c r="B575" s="7" t="str">
        <f>IFERROR(__xludf.DUMMYFUNCTION("""COMPUTED_VALUE"""),"16.01-31.01")</f>
        <v>16.01-31.01</v>
      </c>
      <c r="C575" s="8" t="str">
        <f>IFERROR(__xludf.DUMMYFUNCTION("""COMPUTED_VALUE"""),"Курбанова Саломат Амиркуловна")</f>
        <v>Курбанова Саломат Амиркуловна</v>
      </c>
      <c r="D575" s="6" t="str">
        <f>IFERROR(__xludf.DUMMYFUNCTION("""COMPUTED_VALUE"""),"79252580102")</f>
        <v>79252580102</v>
      </c>
      <c r="E575" s="9">
        <f>IFERROR(__xludf.DUMMYFUNCTION("""COMPUTED_VALUE"""),59200.0)</f>
        <v>59200</v>
      </c>
      <c r="F575" s="6"/>
      <c r="G575" s="10">
        <f>IFERROR(__xludf.DUMMYFUNCTION("""COMPUTED_VALUE"""),59200.0)</f>
        <v>59200</v>
      </c>
      <c r="H575" s="6">
        <f>IFERROR(__xludf.DUMMYFUNCTION("""COMPUTED_VALUE"""),414.4)</f>
        <v>414.4</v>
      </c>
      <c r="I575" s="11">
        <f>IFERROR(__xludf.DUMMYFUNCTION("""COMPUTED_VALUE"""),58785.6)</f>
        <v>58785.6</v>
      </c>
      <c r="J575" s="6" t="str">
        <f>IFERROR(__xludf.DUMMYFUNCTION("""COMPUTED_VALUE"""),"оплатили в QUGO")</f>
        <v>оплатили в QUGO</v>
      </c>
      <c r="K575" s="6"/>
      <c r="L575" s="6">
        <f>IFERROR(__xludf.DUMMYFUNCTION("""COMPUTED_VALUE"""),7.743424938E11)</f>
        <v>774342493800</v>
      </c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>
        <f>IFERROR(__xludf.DUMMYFUNCTION("""COMPUTED_VALUE"""),2026.0)</f>
        <v>2026</v>
      </c>
      <c r="B576" s="7" t="str">
        <f>IFERROR(__xludf.DUMMYFUNCTION("""COMPUTED_VALUE"""),"16.01-31.01")</f>
        <v>16.01-31.01</v>
      </c>
      <c r="C576" s="8" t="str">
        <f>IFERROR(__xludf.DUMMYFUNCTION("""COMPUTED_VALUE"""),"Маматова Хуршедахон Исроиловна")</f>
        <v>Маматова Хуршедахон Исроиловна</v>
      </c>
      <c r="D576" s="6" t="str">
        <f>IFERROR(__xludf.DUMMYFUNCTION("""COMPUTED_VALUE"""),"79955042471")</f>
        <v>79955042471</v>
      </c>
      <c r="E576" s="9">
        <f>IFERROR(__xludf.DUMMYFUNCTION("""COMPUTED_VALUE"""),28800.0)</f>
        <v>28800</v>
      </c>
      <c r="F576" s="6"/>
      <c r="G576" s="10">
        <f>IFERROR(__xludf.DUMMYFUNCTION("""COMPUTED_VALUE"""),28800.0)</f>
        <v>28800</v>
      </c>
      <c r="H576" s="6">
        <f>IFERROR(__xludf.DUMMYFUNCTION("""COMPUTED_VALUE"""),201.59999999999997)</f>
        <v>201.6</v>
      </c>
      <c r="I576" s="11">
        <f>IFERROR(__xludf.DUMMYFUNCTION("""COMPUTED_VALUE"""),28598.4)</f>
        <v>28598.4</v>
      </c>
      <c r="J576" s="6" t="str">
        <f>IFERROR(__xludf.DUMMYFUNCTION("""COMPUTED_VALUE"""),"оплатили в QUGO")</f>
        <v>оплатили в QUGO</v>
      </c>
      <c r="K576" s="6" t="str">
        <f>IFERROR(__xludf.DUMMYFUNCTION("""COMPUTED_VALUE"""),"повторили оплату")</f>
        <v>повторили оплату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>
        <f>IFERROR(__xludf.DUMMYFUNCTION("""COMPUTED_VALUE"""),2026.0)</f>
        <v>2026</v>
      </c>
      <c r="B577" s="7" t="str">
        <f>IFERROR(__xludf.DUMMYFUNCTION("""COMPUTED_VALUE"""),"16.01-31.01")</f>
        <v>16.01-31.01</v>
      </c>
      <c r="C577" s="8" t="str">
        <f>IFERROR(__xludf.DUMMYFUNCTION("""COMPUTED_VALUE"""),"Раджабова Мавджуда")</f>
        <v>Раджабова Мавджуда</v>
      </c>
      <c r="D577" s="6" t="str">
        <f>IFERROR(__xludf.DUMMYFUNCTION("""COMPUTED_VALUE"""),"79915623943")</f>
        <v>79915623943</v>
      </c>
      <c r="E577" s="9">
        <f>IFERROR(__xludf.DUMMYFUNCTION("""COMPUTED_VALUE"""),63000.0)</f>
        <v>63000</v>
      </c>
      <c r="F577" s="6"/>
      <c r="G577" s="10">
        <f>IFERROR(__xludf.DUMMYFUNCTION("""COMPUTED_VALUE"""),63000.0)</f>
        <v>63000</v>
      </c>
      <c r="H577" s="6">
        <f>IFERROR(__xludf.DUMMYFUNCTION("""COMPUTED_VALUE"""),440.99999999999994)</f>
        <v>441</v>
      </c>
      <c r="I577" s="11">
        <f>IFERROR(__xludf.DUMMYFUNCTION("""COMPUTED_VALUE"""),62559.0)</f>
        <v>62559</v>
      </c>
      <c r="J577" s="6" t="str">
        <f>IFERROR(__xludf.DUMMYFUNCTION("""COMPUTED_VALUE"""),"оплатили в QUGO")</f>
        <v>оплатили в QUGO</v>
      </c>
      <c r="K577" s="6"/>
      <c r="L577" s="6">
        <f>IFERROR(__xludf.DUMMYFUNCTION("""COMPUTED_VALUE"""),7.75116699528E11)</f>
        <v>775116699528</v>
      </c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>
        <f>IFERROR(__xludf.DUMMYFUNCTION("""COMPUTED_VALUE"""),2026.0)</f>
        <v>2026</v>
      </c>
      <c r="B578" s="7" t="str">
        <f>IFERROR(__xludf.DUMMYFUNCTION("""COMPUTED_VALUE"""),"16.01-31.01")</f>
        <v>16.01-31.01</v>
      </c>
      <c r="C578" s="8" t="str">
        <f>IFERROR(__xludf.DUMMYFUNCTION("""COMPUTED_VALUE"""),"Азимбай уулу Умар")</f>
        <v>Азимбай уулу Умар</v>
      </c>
      <c r="D578" s="6" t="str">
        <f>IFERROR(__xludf.DUMMYFUNCTION("""COMPUTED_VALUE"""),"79031140181")</f>
        <v>79031140181</v>
      </c>
      <c r="E578" s="9">
        <f>IFERROR(__xludf.DUMMYFUNCTION("""COMPUTED_VALUE"""),31500.0)</f>
        <v>31500</v>
      </c>
      <c r="F578" s="6"/>
      <c r="G578" s="10">
        <f>IFERROR(__xludf.DUMMYFUNCTION("""COMPUTED_VALUE"""),31500.0)</f>
        <v>31500</v>
      </c>
      <c r="H578" s="6">
        <f>IFERROR(__xludf.DUMMYFUNCTION("""COMPUTED_VALUE"""),220.49999999999997)</f>
        <v>220.5</v>
      </c>
      <c r="I578" s="11">
        <f>IFERROR(__xludf.DUMMYFUNCTION("""COMPUTED_VALUE"""),31279.5)</f>
        <v>31279.5</v>
      </c>
      <c r="J578" s="6" t="str">
        <f>IFERROR(__xludf.DUMMYFUNCTION("""COMPUTED_VALUE"""),"оплатили в QUGO")</f>
        <v>оплатили в QUGO</v>
      </c>
      <c r="K578" s="6"/>
      <c r="L578" s="6">
        <f>IFERROR(__xludf.DUMMYFUNCTION("""COMPUTED_VALUE"""),5.0277590954E11)</f>
        <v>502775909540</v>
      </c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>
        <f>IFERROR(__xludf.DUMMYFUNCTION("""COMPUTED_VALUE"""),2026.0)</f>
        <v>2026</v>
      </c>
      <c r="B579" s="7" t="str">
        <f>IFERROR(__xludf.DUMMYFUNCTION("""COMPUTED_VALUE"""),"16.01-31.01")</f>
        <v>16.01-31.01</v>
      </c>
      <c r="C579" s="8" t="str">
        <f>IFERROR(__xludf.DUMMYFUNCTION("""COMPUTED_VALUE"""),"Гапарова Бегимай")</f>
        <v>Гапарова Бегимай</v>
      </c>
      <c r="D579" s="6" t="str">
        <f>IFERROR(__xludf.DUMMYFUNCTION("""COMPUTED_VALUE"""),"79257537783")</f>
        <v>79257537783</v>
      </c>
      <c r="E579" s="9">
        <f>IFERROR(__xludf.DUMMYFUNCTION("""COMPUTED_VALUE"""),56000.0)</f>
        <v>56000</v>
      </c>
      <c r="F579" s="6"/>
      <c r="G579" s="10">
        <f>IFERROR(__xludf.DUMMYFUNCTION("""COMPUTED_VALUE"""),56000.0)</f>
        <v>56000</v>
      </c>
      <c r="H579" s="6">
        <f>IFERROR(__xludf.DUMMYFUNCTION("""COMPUTED_VALUE"""),391.99999999999994)</f>
        <v>392</v>
      </c>
      <c r="I579" s="11">
        <f>IFERROR(__xludf.DUMMYFUNCTION("""COMPUTED_VALUE"""),55608.0)</f>
        <v>55608</v>
      </c>
      <c r="J579" s="6" t="str">
        <f>IFERROR(__xludf.DUMMYFUNCTION("""COMPUTED_VALUE"""),"оплатили в QUGO")</f>
        <v>оплатили в QUGO</v>
      </c>
      <c r="K579" s="6"/>
      <c r="L579" s="6">
        <f>IFERROR(__xludf.DUMMYFUNCTION("""COMPUTED_VALUE"""),7.72065375012E11)</f>
        <v>772065375012</v>
      </c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>
        <f>IFERROR(__xludf.DUMMYFUNCTION("""COMPUTED_VALUE"""),2026.0)</f>
        <v>2026</v>
      </c>
      <c r="B580" s="7" t="str">
        <f>IFERROR(__xludf.DUMMYFUNCTION("""COMPUTED_VALUE"""),"16.01-31.01")</f>
        <v>16.01-31.01</v>
      </c>
      <c r="C580" s="8" t="str">
        <f>IFERROR(__xludf.DUMMYFUNCTION("""COMPUTED_VALUE"""),"Улугхочаев Абдулазиз")</f>
        <v>Улугхочаев Абдулазиз</v>
      </c>
      <c r="D580" s="6" t="str">
        <f>IFERROR(__xludf.DUMMYFUNCTION("""COMPUTED_VALUE"""),"79990004416")</f>
        <v>79990004416</v>
      </c>
      <c r="E580" s="9">
        <f>IFERROR(__xludf.DUMMYFUNCTION("""COMPUTED_VALUE"""),26600.0)</f>
        <v>26600</v>
      </c>
      <c r="F580" s="6"/>
      <c r="G580" s="10">
        <f>IFERROR(__xludf.DUMMYFUNCTION("""COMPUTED_VALUE"""),26600.0)</f>
        <v>26600</v>
      </c>
      <c r="H580" s="6">
        <f>IFERROR(__xludf.DUMMYFUNCTION("""COMPUTED_VALUE"""),186.2)</f>
        <v>186.2</v>
      </c>
      <c r="I580" s="11">
        <f>IFERROR(__xludf.DUMMYFUNCTION("""COMPUTED_VALUE"""),26413.8)</f>
        <v>26413.8</v>
      </c>
      <c r="J580" s="6" t="str">
        <f>IFERROR(__xludf.DUMMYFUNCTION("""COMPUTED_VALUE"""),"оплатили в QUGO")</f>
        <v>оплатили в QUGO</v>
      </c>
      <c r="K580" s="6"/>
      <c r="L580" s="6">
        <f>IFERROR(__xludf.DUMMYFUNCTION("""COMPUTED_VALUE"""),7.73585885004E11)</f>
        <v>773585885004</v>
      </c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>
        <f>IFERROR(__xludf.DUMMYFUNCTION("""COMPUTED_VALUE"""),2026.0)</f>
        <v>2026</v>
      </c>
      <c r="B581" s="7" t="str">
        <f>IFERROR(__xludf.DUMMYFUNCTION("""COMPUTED_VALUE"""),"16.01-31.01")</f>
        <v>16.01-31.01</v>
      </c>
      <c r="C581" s="8" t="str">
        <f>IFERROR(__xludf.DUMMYFUNCTION("""COMPUTED_VALUE"""),"Оторбаев Бектурган")</f>
        <v>Оторбаев Бектурган</v>
      </c>
      <c r="D581" s="6" t="str">
        <f>IFERROR(__xludf.DUMMYFUNCTION("""COMPUTED_VALUE"""),"79777540107")</f>
        <v>79777540107</v>
      </c>
      <c r="E581" s="9">
        <f>IFERROR(__xludf.DUMMYFUNCTION("""COMPUTED_VALUE"""),44400.0)</f>
        <v>44400</v>
      </c>
      <c r="F581" s="6"/>
      <c r="G581" s="10">
        <f>IFERROR(__xludf.DUMMYFUNCTION("""COMPUTED_VALUE"""),44400.0)</f>
        <v>44400</v>
      </c>
      <c r="H581" s="6">
        <f>IFERROR(__xludf.DUMMYFUNCTION("""COMPUTED_VALUE"""),310.79999999999995)</f>
        <v>310.8</v>
      </c>
      <c r="I581" s="11">
        <f>IFERROR(__xludf.DUMMYFUNCTION("""COMPUTED_VALUE"""),44089.2)</f>
        <v>44089.2</v>
      </c>
      <c r="J581" s="6" t="str">
        <f>IFERROR(__xludf.DUMMYFUNCTION("""COMPUTED_VALUE"""),"оплатили в QUGO")</f>
        <v>оплатили в QUGO</v>
      </c>
      <c r="K581" s="6"/>
      <c r="L581" s="6">
        <f>IFERROR(__xludf.DUMMYFUNCTION("""COMPUTED_VALUE"""),5.01220476256E11)</f>
        <v>501220476256</v>
      </c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>
        <f>IFERROR(__xludf.DUMMYFUNCTION("""COMPUTED_VALUE"""),2026.0)</f>
        <v>2026</v>
      </c>
      <c r="B582" s="7" t="str">
        <f>IFERROR(__xludf.DUMMYFUNCTION("""COMPUTED_VALUE"""),"16.01-31.01")</f>
        <v>16.01-31.01</v>
      </c>
      <c r="C582" s="8" t="str">
        <f>IFERROR(__xludf.DUMMYFUNCTION("""COMPUTED_VALUE"""),"Курманбаева Назиира")</f>
        <v>Курманбаева Назиира</v>
      </c>
      <c r="D582" s="6" t="str">
        <f>IFERROR(__xludf.DUMMYFUNCTION("""COMPUTED_VALUE"""),"79256402505")</f>
        <v>79256402505</v>
      </c>
      <c r="E582" s="9">
        <f>IFERROR(__xludf.DUMMYFUNCTION("""COMPUTED_VALUE"""),56000.0)</f>
        <v>56000</v>
      </c>
      <c r="F582" s="6"/>
      <c r="G582" s="10">
        <f>IFERROR(__xludf.DUMMYFUNCTION("""COMPUTED_VALUE"""),56000.0)</f>
        <v>56000</v>
      </c>
      <c r="H582" s="6">
        <f>IFERROR(__xludf.DUMMYFUNCTION("""COMPUTED_VALUE"""),391.99999999999994)</f>
        <v>392</v>
      </c>
      <c r="I582" s="11">
        <f>IFERROR(__xludf.DUMMYFUNCTION("""COMPUTED_VALUE"""),55608.0)</f>
        <v>55608</v>
      </c>
      <c r="J582" s="6" t="str">
        <f>IFERROR(__xludf.DUMMYFUNCTION("""COMPUTED_VALUE"""),"оплатили в QUGO")</f>
        <v>оплатили в QUGO</v>
      </c>
      <c r="K582" s="6"/>
      <c r="L582" s="6">
        <f>IFERROR(__xludf.DUMMYFUNCTION("""COMPUTED_VALUE"""),7.71487450668E11)</f>
        <v>771487450668</v>
      </c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>
        <f>IFERROR(__xludf.DUMMYFUNCTION("""COMPUTED_VALUE"""),2026.0)</f>
        <v>2026</v>
      </c>
      <c r="B583" s="7" t="str">
        <f>IFERROR(__xludf.DUMMYFUNCTION("""COMPUTED_VALUE"""),"16.01-31.01")</f>
        <v>16.01-31.01</v>
      </c>
      <c r="C583" s="8" t="str">
        <f>IFERROR(__xludf.DUMMYFUNCTION("""COMPUTED_VALUE"""),"Сайдалиев Салмон")</f>
        <v>Сайдалиев Салмон</v>
      </c>
      <c r="D583" s="6" t="str">
        <f>IFERROR(__xludf.DUMMYFUNCTION("""COMPUTED_VALUE"""),"79309826676")</f>
        <v>79309826676</v>
      </c>
      <c r="E583" s="9">
        <f>IFERROR(__xludf.DUMMYFUNCTION("""COMPUTED_VALUE"""),73600.0)</f>
        <v>73600</v>
      </c>
      <c r="F583" s="6"/>
      <c r="G583" s="10">
        <f>IFERROR(__xludf.DUMMYFUNCTION("""COMPUTED_VALUE"""),73600.0)</f>
        <v>73600</v>
      </c>
      <c r="H583" s="6">
        <f>IFERROR(__xludf.DUMMYFUNCTION("""COMPUTED_VALUE"""),515.1999999999999)</f>
        <v>515.2</v>
      </c>
      <c r="I583" s="11">
        <f>IFERROR(__xludf.DUMMYFUNCTION("""COMPUTED_VALUE"""),73084.8)</f>
        <v>73084.8</v>
      </c>
      <c r="J583" s="6" t="str">
        <f>IFERROR(__xludf.DUMMYFUNCTION("""COMPUTED_VALUE"""),"оплатили в QUGO")</f>
        <v>оплатили в QUGO</v>
      </c>
      <c r="K583" s="6"/>
      <c r="L583" s="6">
        <f>IFERROR(__xludf.DUMMYFUNCTION("""COMPUTED_VALUE"""),5.00924497331E11)</f>
        <v>500924497331</v>
      </c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>
        <f>IFERROR(__xludf.DUMMYFUNCTION("""COMPUTED_VALUE"""),2026.0)</f>
        <v>2026</v>
      </c>
      <c r="B584" s="7" t="str">
        <f>IFERROR(__xludf.DUMMYFUNCTION("""COMPUTED_VALUE"""),"16.01-31.01")</f>
        <v>16.01-31.01</v>
      </c>
      <c r="C584" s="8" t="str">
        <f>IFERROR(__xludf.DUMMYFUNCTION("""COMPUTED_VALUE"""),"Атаев Иброхим")</f>
        <v>Атаев Иброхим</v>
      </c>
      <c r="D584" s="6" t="str">
        <f>IFERROR(__xludf.DUMMYFUNCTION("""COMPUTED_VALUE"""),"79776848725")</f>
        <v>79776848725</v>
      </c>
      <c r="E584" s="9">
        <f>IFERROR(__xludf.DUMMYFUNCTION("""COMPUTED_VALUE"""),65000.0)</f>
        <v>65000</v>
      </c>
      <c r="F584" s="6"/>
      <c r="G584" s="10">
        <f>IFERROR(__xludf.DUMMYFUNCTION("""COMPUTED_VALUE"""),65000.0)</f>
        <v>65000</v>
      </c>
      <c r="H584" s="6">
        <f>IFERROR(__xludf.DUMMYFUNCTION("""COMPUTED_VALUE"""),454.99999999999994)</f>
        <v>455</v>
      </c>
      <c r="I584" s="11">
        <f>IFERROR(__xludf.DUMMYFUNCTION("""COMPUTED_VALUE"""),64545.0)</f>
        <v>64545</v>
      </c>
      <c r="J584" s="6" t="str">
        <f>IFERROR(__xludf.DUMMYFUNCTION("""COMPUTED_VALUE"""),"оплатили в QUGO")</f>
        <v>оплатили в QUGO</v>
      </c>
      <c r="K584" s="6"/>
      <c r="L584" s="6">
        <f>IFERROR(__xludf.DUMMYFUNCTION("""COMPUTED_VALUE"""),2.46415369245E11)</f>
        <v>246415369245</v>
      </c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>
        <f>IFERROR(__xludf.DUMMYFUNCTION("""COMPUTED_VALUE"""),2026.0)</f>
        <v>2026</v>
      </c>
      <c r="B585" s="7" t="str">
        <f>IFERROR(__xludf.DUMMYFUNCTION("""COMPUTED_VALUE"""),"16.01-31.01")</f>
        <v>16.01-31.01</v>
      </c>
      <c r="C585" s="8" t="str">
        <f>IFERROR(__xludf.DUMMYFUNCTION("""COMPUTED_VALUE"""),"Каримов Мирзохид")</f>
        <v>Каримов Мирзохид</v>
      </c>
      <c r="D585" s="6" t="str">
        <f>IFERROR(__xludf.DUMMYFUNCTION("""COMPUTED_VALUE"""),"79898450604")</f>
        <v>79898450604</v>
      </c>
      <c r="E585" s="9">
        <f>IFERROR(__xludf.DUMMYFUNCTION("""COMPUTED_VALUE"""),64500.0)</f>
        <v>64500</v>
      </c>
      <c r="F585" s="6"/>
      <c r="G585" s="10">
        <f>IFERROR(__xludf.DUMMYFUNCTION("""COMPUTED_VALUE"""),64500.0)</f>
        <v>64500</v>
      </c>
      <c r="H585" s="6">
        <f>IFERROR(__xludf.DUMMYFUNCTION("""COMPUTED_VALUE"""),451.49999999999994)</f>
        <v>451.5</v>
      </c>
      <c r="I585" s="11">
        <f>IFERROR(__xludf.DUMMYFUNCTION("""COMPUTED_VALUE"""),64048.5)</f>
        <v>64048.5</v>
      </c>
      <c r="J585" s="6" t="str">
        <f>IFERROR(__xludf.DUMMYFUNCTION("""COMPUTED_VALUE"""),"оплатили в QUGO")</f>
        <v>оплатили в QUGO</v>
      </c>
      <c r="K585" s="6"/>
      <c r="L585" s="6">
        <f>IFERROR(__xludf.DUMMYFUNCTION("""COMPUTED_VALUE"""),7.74355173773E11)</f>
        <v>774355173773</v>
      </c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>
        <f>IFERROR(__xludf.DUMMYFUNCTION("""COMPUTED_VALUE"""),2026.0)</f>
        <v>2026</v>
      </c>
      <c r="B586" s="7" t="str">
        <f>IFERROR(__xludf.DUMMYFUNCTION("""COMPUTED_VALUE"""),"16.01-31.01")</f>
        <v>16.01-31.01</v>
      </c>
      <c r="C586" s="8" t="str">
        <f>IFERROR(__xludf.DUMMYFUNCTION("""COMPUTED_VALUE"""),"Сулейманов Санжар")</f>
        <v>Сулейманов Санжар</v>
      </c>
      <c r="D586" s="6" t="str">
        <f>IFERROR(__xludf.DUMMYFUNCTION("""COMPUTED_VALUE"""),"79019835829")</f>
        <v>79019835829</v>
      </c>
      <c r="E586" s="9">
        <f>IFERROR(__xludf.DUMMYFUNCTION("""COMPUTED_VALUE"""),91000.0)</f>
        <v>91000</v>
      </c>
      <c r="F586" s="6"/>
      <c r="G586" s="10">
        <f>IFERROR(__xludf.DUMMYFUNCTION("""COMPUTED_VALUE"""),91000.0)</f>
        <v>91000</v>
      </c>
      <c r="H586" s="6">
        <f>IFERROR(__xludf.DUMMYFUNCTION("""COMPUTED_VALUE"""),636.9999999999999)</f>
        <v>637</v>
      </c>
      <c r="I586" s="11">
        <f>IFERROR(__xludf.DUMMYFUNCTION("""COMPUTED_VALUE"""),90363.0)</f>
        <v>90363</v>
      </c>
      <c r="J586" s="6" t="str">
        <f>IFERROR(__xludf.DUMMYFUNCTION("""COMPUTED_VALUE"""),"оплатили в QUGO")</f>
        <v>оплатили в QUGO</v>
      </c>
      <c r="K586" s="6" t="str">
        <f>IFERROR(__xludf.DUMMYFUNCTION("""COMPUTED_VALUE"""),"повторили оплату")</f>
        <v>повторили оплату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>
        <f>IFERROR(__xludf.DUMMYFUNCTION("""COMPUTED_VALUE"""),2026.0)</f>
        <v>2026</v>
      </c>
      <c r="B587" s="7" t="str">
        <f>IFERROR(__xludf.DUMMYFUNCTION("""COMPUTED_VALUE"""),"16.01-31.01")</f>
        <v>16.01-31.01</v>
      </c>
      <c r="C587" s="8" t="str">
        <f>IFERROR(__xludf.DUMMYFUNCTION("""COMPUTED_VALUE"""),"Абдурахманов Улугбек")</f>
        <v>Абдурахманов Улугбек</v>
      </c>
      <c r="D587" s="6" t="str">
        <f>IFERROR(__xludf.DUMMYFUNCTION("""COMPUTED_VALUE"""),"79775787432")</f>
        <v>79775787432</v>
      </c>
      <c r="E587" s="9">
        <f>IFERROR(__xludf.DUMMYFUNCTION("""COMPUTED_VALUE"""),76500.0)</f>
        <v>76500</v>
      </c>
      <c r="F587" s="6"/>
      <c r="G587" s="10">
        <f>IFERROR(__xludf.DUMMYFUNCTION("""COMPUTED_VALUE"""),76500.0)</f>
        <v>76500</v>
      </c>
      <c r="H587" s="6">
        <f>IFERROR(__xludf.DUMMYFUNCTION("""COMPUTED_VALUE"""),535.5)</f>
        <v>535.5</v>
      </c>
      <c r="I587" s="11">
        <f>IFERROR(__xludf.DUMMYFUNCTION("""COMPUTED_VALUE"""),75964.5)</f>
        <v>75964.5</v>
      </c>
      <c r="J587" s="6" t="str">
        <f>IFERROR(__xludf.DUMMYFUNCTION("""COMPUTED_VALUE"""),"оплатили в QUGO")</f>
        <v>оплатили в QUGO</v>
      </c>
      <c r="K587" s="6"/>
      <c r="L587" s="6">
        <f>IFERROR(__xludf.DUMMYFUNCTION("""COMPUTED_VALUE"""),4.02513629575E11)</f>
        <v>402513629575</v>
      </c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>
        <f>IFERROR(__xludf.DUMMYFUNCTION("""COMPUTED_VALUE"""),2026.0)</f>
        <v>2026</v>
      </c>
      <c r="B588" s="7" t="str">
        <f>IFERROR(__xludf.DUMMYFUNCTION("""COMPUTED_VALUE"""),"16.01-31.01")</f>
        <v>16.01-31.01</v>
      </c>
      <c r="C588" s="8" t="str">
        <f>IFERROR(__xludf.DUMMYFUNCTION("""COMPUTED_VALUE"""),"Акбарова Зылола")</f>
        <v>Акбарова Зылола</v>
      </c>
      <c r="D588" s="6" t="str">
        <f>IFERROR(__xludf.DUMMYFUNCTION("""COMPUTED_VALUE"""),"79912261183")</f>
        <v>79912261183</v>
      </c>
      <c r="E588" s="9">
        <f>IFERROR(__xludf.DUMMYFUNCTION("""COMPUTED_VALUE"""),55500.0)</f>
        <v>55500</v>
      </c>
      <c r="F588" s="6"/>
      <c r="G588" s="10">
        <f>IFERROR(__xludf.DUMMYFUNCTION("""COMPUTED_VALUE"""),55500.0)</f>
        <v>55500</v>
      </c>
      <c r="H588" s="6">
        <f>IFERROR(__xludf.DUMMYFUNCTION("""COMPUTED_VALUE"""),388.49999999999994)</f>
        <v>388.5</v>
      </c>
      <c r="I588" s="11">
        <f>IFERROR(__xludf.DUMMYFUNCTION("""COMPUTED_VALUE"""),55111.5)</f>
        <v>55111.5</v>
      </c>
      <c r="J588" s="6" t="str">
        <f>IFERROR(__xludf.DUMMYFUNCTION("""COMPUTED_VALUE"""),"оплатили в QUGO")</f>
        <v>оплатили в QUGO</v>
      </c>
      <c r="K588" s="6"/>
      <c r="L588" s="6">
        <f>IFERROR(__xludf.DUMMYFUNCTION("""COMPUTED_VALUE"""),5.0423296544E11)</f>
        <v>504232965440</v>
      </c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>
        <f>IFERROR(__xludf.DUMMYFUNCTION("""COMPUTED_VALUE"""),2026.0)</f>
        <v>2026</v>
      </c>
      <c r="B589" s="7" t="str">
        <f>IFERROR(__xludf.DUMMYFUNCTION("""COMPUTED_VALUE"""),"16.01-31.01")</f>
        <v>16.01-31.01</v>
      </c>
      <c r="C589" s="8" t="str">
        <f>IFERROR(__xludf.DUMMYFUNCTION("""COMPUTED_VALUE"""),"Зиятова Комила")</f>
        <v>Зиятова Комила</v>
      </c>
      <c r="D589" s="6" t="str">
        <f>IFERROR(__xludf.DUMMYFUNCTION("""COMPUTED_VALUE"""),"79998253929")</f>
        <v>79998253929</v>
      </c>
      <c r="E589" s="9">
        <f>IFERROR(__xludf.DUMMYFUNCTION("""COMPUTED_VALUE"""),49500.0)</f>
        <v>49500</v>
      </c>
      <c r="F589" s="6">
        <f>IFERROR(__xludf.DUMMYFUNCTION("""COMPUTED_VALUE"""),3915.0)</f>
        <v>3915</v>
      </c>
      <c r="G589" s="10">
        <f>IFERROR(__xludf.DUMMYFUNCTION("""COMPUTED_VALUE"""),45585.0)</f>
        <v>45585</v>
      </c>
      <c r="H589" s="6">
        <f>IFERROR(__xludf.DUMMYFUNCTION("""COMPUTED_VALUE"""),319.09499999999997)</f>
        <v>319.095</v>
      </c>
      <c r="I589" s="11">
        <f>IFERROR(__xludf.DUMMYFUNCTION("""COMPUTED_VALUE"""),45265.905)</f>
        <v>45265.905</v>
      </c>
      <c r="J589" s="6" t="str">
        <f>IFERROR(__xludf.DUMMYFUNCTION("""COMPUTED_VALUE"""),"оплатили в QUGO")</f>
        <v>оплатили в QUGO</v>
      </c>
      <c r="K589" s="6" t="str">
        <f>IFERROR(__xludf.DUMMYFUNCTION("""COMPUTED_VALUE"""),"3915 р. за Официальную ЗП Январь")</f>
        <v>3915 р. за Официальную ЗП Январь</v>
      </c>
      <c r="L589" s="6">
        <f>IFERROR(__xludf.DUMMYFUNCTION("""COMPUTED_VALUE"""),7.81160795068E11)</f>
        <v>781160795068</v>
      </c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>
        <f>IFERROR(__xludf.DUMMYFUNCTION("""COMPUTED_VALUE"""),2026.0)</f>
        <v>2026</v>
      </c>
      <c r="B590" s="7" t="str">
        <f>IFERROR(__xludf.DUMMYFUNCTION("""COMPUTED_VALUE"""),"16.01-31.01")</f>
        <v>16.01-31.01</v>
      </c>
      <c r="C590" s="8" t="str">
        <f>IFERROR(__xludf.DUMMYFUNCTION("""COMPUTED_VALUE"""),"Мухидинова Ирода")</f>
        <v>Мухидинова Ирода</v>
      </c>
      <c r="D590" s="6" t="str">
        <f>IFERROR(__xludf.DUMMYFUNCTION("""COMPUTED_VALUE"""),"79055847717")</f>
        <v>79055847717</v>
      </c>
      <c r="E590" s="9">
        <f>IFERROR(__xludf.DUMMYFUNCTION("""COMPUTED_VALUE"""),56900.0)</f>
        <v>56900</v>
      </c>
      <c r="F590" s="6"/>
      <c r="G590" s="10">
        <f>IFERROR(__xludf.DUMMYFUNCTION("""COMPUTED_VALUE"""),56900.0)</f>
        <v>56900</v>
      </c>
      <c r="H590" s="6">
        <f>IFERROR(__xludf.DUMMYFUNCTION("""COMPUTED_VALUE"""),398.29999999999995)</f>
        <v>398.3</v>
      </c>
      <c r="I590" s="11">
        <f>IFERROR(__xludf.DUMMYFUNCTION("""COMPUTED_VALUE"""),56501.7)</f>
        <v>56501.7</v>
      </c>
      <c r="J590" s="6" t="str">
        <f>IFERROR(__xludf.DUMMYFUNCTION("""COMPUTED_VALUE"""),"оплатили в QUGO")</f>
        <v>оплатили в QUGO</v>
      </c>
      <c r="K590" s="6"/>
      <c r="L590" s="6">
        <f>IFERROR(__xludf.DUMMYFUNCTION("""COMPUTED_VALUE"""),7.7242950104E11)</f>
        <v>772429501040</v>
      </c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>
        <f>IFERROR(__xludf.DUMMYFUNCTION("""COMPUTED_VALUE"""),2026.0)</f>
        <v>2026</v>
      </c>
      <c r="B591" s="7" t="str">
        <f>IFERROR(__xludf.DUMMYFUNCTION("""COMPUTED_VALUE"""),"16.01-31.01")</f>
        <v>16.01-31.01</v>
      </c>
      <c r="C591" s="8" t="str">
        <f>IFERROR(__xludf.DUMMYFUNCTION("""COMPUTED_VALUE"""),"Рашид кызы Айгул")</f>
        <v>Рашид кызы Айгул</v>
      </c>
      <c r="D591" s="6" t="str">
        <f>IFERROR(__xludf.DUMMYFUNCTION("""COMPUTED_VALUE"""),"79258747563")</f>
        <v>79258747563</v>
      </c>
      <c r="E591" s="9">
        <f>IFERROR(__xludf.DUMMYFUNCTION("""COMPUTED_VALUE"""),26800.0)</f>
        <v>26800</v>
      </c>
      <c r="F591" s="6"/>
      <c r="G591" s="10">
        <f>IFERROR(__xludf.DUMMYFUNCTION("""COMPUTED_VALUE"""),26800.0)</f>
        <v>26800</v>
      </c>
      <c r="H591" s="6">
        <f>IFERROR(__xludf.DUMMYFUNCTION("""COMPUTED_VALUE"""),187.6)</f>
        <v>187.6</v>
      </c>
      <c r="I591" s="11">
        <f>IFERROR(__xludf.DUMMYFUNCTION("""COMPUTED_VALUE"""),26612.4)</f>
        <v>26612.4</v>
      </c>
      <c r="J591" s="6" t="str">
        <f>IFERROR(__xludf.DUMMYFUNCTION("""COMPUTED_VALUE"""),"оплатили в QUGO")</f>
        <v>оплатили в QUGO</v>
      </c>
      <c r="K591" s="6"/>
      <c r="L591" s="6">
        <f>IFERROR(__xludf.DUMMYFUNCTION("""COMPUTED_VALUE"""),9.10319207378E11)</f>
        <v>910319207378</v>
      </c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>
        <f>IFERROR(__xludf.DUMMYFUNCTION("""COMPUTED_VALUE"""),2026.0)</f>
        <v>2026</v>
      </c>
      <c r="B592" s="7" t="str">
        <f>IFERROR(__xludf.DUMMYFUNCTION("""COMPUTED_VALUE"""),"16.01-31.01")</f>
        <v>16.01-31.01</v>
      </c>
      <c r="C592" s="8" t="str">
        <f>IFERROR(__xludf.DUMMYFUNCTION("""COMPUTED_VALUE"""),"Холбаева Феруза")</f>
        <v>Холбаева Феруза</v>
      </c>
      <c r="D592" s="6" t="str">
        <f>IFERROR(__xludf.DUMMYFUNCTION("""COMPUTED_VALUE"""),"79694901782")</f>
        <v>79694901782</v>
      </c>
      <c r="E592" s="9">
        <f>IFERROR(__xludf.DUMMYFUNCTION("""COMPUTED_VALUE"""),48000.0)</f>
        <v>48000</v>
      </c>
      <c r="F592" s="6"/>
      <c r="G592" s="10">
        <f>IFERROR(__xludf.DUMMYFUNCTION("""COMPUTED_VALUE"""),48000.0)</f>
        <v>48000</v>
      </c>
      <c r="H592" s="6">
        <f>IFERROR(__xludf.DUMMYFUNCTION("""COMPUTED_VALUE"""),335.99999999999994)</f>
        <v>336</v>
      </c>
      <c r="I592" s="11">
        <f>IFERROR(__xludf.DUMMYFUNCTION("""COMPUTED_VALUE"""),47664.0)</f>
        <v>47664</v>
      </c>
      <c r="J592" s="6" t="str">
        <f>IFERROR(__xludf.DUMMYFUNCTION("""COMPUTED_VALUE"""),"оплатили в QUGO")</f>
        <v>оплатили в QUGO</v>
      </c>
      <c r="K592" s="6"/>
      <c r="L592" s="6">
        <f>IFERROR(__xludf.DUMMYFUNCTION("""COMPUTED_VALUE"""),7.81724641498E11)</f>
        <v>781724641498</v>
      </c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>
        <f>IFERROR(__xludf.DUMMYFUNCTION("""COMPUTED_VALUE"""),2026.0)</f>
        <v>2026</v>
      </c>
      <c r="B593" s="7" t="str">
        <f>IFERROR(__xludf.DUMMYFUNCTION("""COMPUTED_VALUE"""),"16.01-31.01")</f>
        <v>16.01-31.01</v>
      </c>
      <c r="C593" s="8" t="str">
        <f>IFERROR(__xludf.DUMMYFUNCTION("""COMPUTED_VALUE"""),"Ходжиматова Нафиса")</f>
        <v>Ходжиматова Нафиса</v>
      </c>
      <c r="D593" s="6" t="str">
        <f>IFERROR(__xludf.DUMMYFUNCTION("""COMPUTED_VALUE"""),"79775789034")</f>
        <v>79775789034</v>
      </c>
      <c r="E593" s="9">
        <f>IFERROR(__xludf.DUMMYFUNCTION("""COMPUTED_VALUE"""),51567.0)</f>
        <v>51567</v>
      </c>
      <c r="F593" s="6"/>
      <c r="G593" s="10">
        <f>IFERROR(__xludf.DUMMYFUNCTION("""COMPUTED_VALUE"""),51567.0)</f>
        <v>51567</v>
      </c>
      <c r="H593" s="6">
        <f>IFERROR(__xludf.DUMMYFUNCTION("""COMPUTED_VALUE"""),360.96899999999994)</f>
        <v>360.969</v>
      </c>
      <c r="I593" s="11">
        <f>IFERROR(__xludf.DUMMYFUNCTION("""COMPUTED_VALUE"""),51206.031)</f>
        <v>51206.031</v>
      </c>
      <c r="J593" s="6" t="str">
        <f>IFERROR(__xludf.DUMMYFUNCTION("""COMPUTED_VALUE"""),"оплатили в QUGO")</f>
        <v>оплатили в QUGO</v>
      </c>
      <c r="K593" s="6"/>
      <c r="L593" s="6">
        <f>IFERROR(__xludf.DUMMYFUNCTION("""COMPUTED_VALUE"""),7.75186849992E11)</f>
        <v>775186849992</v>
      </c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>
        <f>IFERROR(__xludf.DUMMYFUNCTION("""COMPUTED_VALUE"""),2026.0)</f>
        <v>2026</v>
      </c>
      <c r="B594" s="7" t="str">
        <f>IFERROR(__xludf.DUMMYFUNCTION("""COMPUTED_VALUE"""),"16.01-31.01")</f>
        <v>16.01-31.01</v>
      </c>
      <c r="C594" s="8" t="str">
        <f>IFERROR(__xludf.DUMMYFUNCTION("""COMPUTED_VALUE"""),"Дустназарзода Джавлонбек")</f>
        <v>Дустназарзода Джавлонбек</v>
      </c>
      <c r="D594" s="6" t="str">
        <f>IFERROR(__xludf.DUMMYFUNCTION("""COMPUTED_VALUE"""),"79774431553")</f>
        <v>79774431553</v>
      </c>
      <c r="E594" s="9">
        <f>IFERROR(__xludf.DUMMYFUNCTION("""COMPUTED_VALUE"""),21000.0)</f>
        <v>21000</v>
      </c>
      <c r="F594" s="6"/>
      <c r="G594" s="10">
        <f>IFERROR(__xludf.DUMMYFUNCTION("""COMPUTED_VALUE"""),21000.0)</f>
        <v>21000</v>
      </c>
      <c r="H594" s="6">
        <f>IFERROR(__xludf.DUMMYFUNCTION("""COMPUTED_VALUE"""),146.99999999999997)</f>
        <v>147</v>
      </c>
      <c r="I594" s="11">
        <f>IFERROR(__xludf.DUMMYFUNCTION("""COMPUTED_VALUE"""),20853.0)</f>
        <v>20853</v>
      </c>
      <c r="J594" s="6" t="str">
        <f>IFERROR(__xludf.DUMMYFUNCTION("""COMPUTED_VALUE"""),"оплатили в QUGO")</f>
        <v>оплатили в QUGO</v>
      </c>
      <c r="K594" s="6"/>
      <c r="L594" s="6">
        <f>IFERROR(__xludf.DUMMYFUNCTION("""COMPUTED_VALUE"""),5.04726268129E11)</f>
        <v>504726268129</v>
      </c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>
        <f>IFERROR(__xludf.DUMMYFUNCTION("""COMPUTED_VALUE"""),2026.0)</f>
        <v>2026</v>
      </c>
      <c r="B595" s="7" t="str">
        <f>IFERROR(__xludf.DUMMYFUNCTION("""COMPUTED_VALUE"""),"16.01-31.01")</f>
        <v>16.01-31.01</v>
      </c>
      <c r="C595" s="8" t="str">
        <f>IFERROR(__xludf.DUMMYFUNCTION("""COMPUTED_VALUE"""),"Рахимов Некбахт")</f>
        <v>Рахимов Некбахт</v>
      </c>
      <c r="D595" s="6" t="str">
        <f>IFERROR(__xludf.DUMMYFUNCTION("""COMPUTED_VALUE"""),"79890499153")</f>
        <v>79890499153</v>
      </c>
      <c r="E595" s="9">
        <f>IFERROR(__xludf.DUMMYFUNCTION("""COMPUTED_VALUE"""),21000.0)</f>
        <v>21000</v>
      </c>
      <c r="F595" s="6"/>
      <c r="G595" s="10">
        <f>IFERROR(__xludf.DUMMYFUNCTION("""COMPUTED_VALUE"""),21000.0)</f>
        <v>21000</v>
      </c>
      <c r="H595" s="6">
        <f>IFERROR(__xludf.DUMMYFUNCTION("""COMPUTED_VALUE"""),146.99999999999997)</f>
        <v>147</v>
      </c>
      <c r="I595" s="11">
        <f>IFERROR(__xludf.DUMMYFUNCTION("""COMPUTED_VALUE"""),20853.0)</f>
        <v>20853</v>
      </c>
      <c r="J595" s="6" t="str">
        <f>IFERROR(__xludf.DUMMYFUNCTION("""COMPUTED_VALUE"""),"оплатили в QUGO")</f>
        <v>оплатили в QUGO</v>
      </c>
      <c r="K595" s="6"/>
      <c r="L595" s="6">
        <f>IFERROR(__xludf.DUMMYFUNCTION("""COMPUTED_VALUE"""),7.72281929709E11)</f>
        <v>772281929709</v>
      </c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>
        <f>IFERROR(__xludf.DUMMYFUNCTION("""COMPUTED_VALUE"""),2026.0)</f>
        <v>2026</v>
      </c>
      <c r="B596" s="7" t="str">
        <f>IFERROR(__xludf.DUMMYFUNCTION("""COMPUTED_VALUE"""),"16.01-31.01")</f>
        <v>16.01-31.01</v>
      </c>
      <c r="C596" s="8" t="str">
        <f>IFERROR(__xludf.DUMMYFUNCTION("""COMPUTED_VALUE"""),"Тураева Райхон")</f>
        <v>Тураева Райхон</v>
      </c>
      <c r="D596" s="6" t="str">
        <f>IFERROR(__xludf.DUMMYFUNCTION("""COMPUTED_VALUE"""),"79776109620")</f>
        <v>79776109620</v>
      </c>
      <c r="E596" s="9">
        <f>IFERROR(__xludf.DUMMYFUNCTION("""COMPUTED_VALUE"""),21000.0)</f>
        <v>21000</v>
      </c>
      <c r="F596" s="6"/>
      <c r="G596" s="10">
        <f>IFERROR(__xludf.DUMMYFUNCTION("""COMPUTED_VALUE"""),21000.0)</f>
        <v>21000</v>
      </c>
      <c r="H596" s="6">
        <f>IFERROR(__xludf.DUMMYFUNCTION("""COMPUTED_VALUE"""),146.99999999999997)</f>
        <v>147</v>
      </c>
      <c r="I596" s="11">
        <f>IFERROR(__xludf.DUMMYFUNCTION("""COMPUTED_VALUE"""),20853.0)</f>
        <v>20853</v>
      </c>
      <c r="J596" s="6" t="str">
        <f>IFERROR(__xludf.DUMMYFUNCTION("""COMPUTED_VALUE"""),"оплатили в QUGO")</f>
        <v>оплатили в QUGO</v>
      </c>
      <c r="K596" s="6"/>
      <c r="L596" s="6">
        <f>IFERROR(__xludf.DUMMYFUNCTION("""COMPUTED_VALUE"""),5.0072713242E11)</f>
        <v>500727132420</v>
      </c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>
        <f>IFERROR(__xludf.DUMMYFUNCTION("""COMPUTED_VALUE"""),2026.0)</f>
        <v>2026</v>
      </c>
      <c r="B597" s="7" t="str">
        <f>IFERROR(__xludf.DUMMYFUNCTION("""COMPUTED_VALUE"""),"16.01-31.01")</f>
        <v>16.01-31.01</v>
      </c>
      <c r="C597" s="8" t="str">
        <f>IFERROR(__xludf.DUMMYFUNCTION("""COMPUTED_VALUE"""),"Рахимов Сафарали")</f>
        <v>Рахимов Сафарали</v>
      </c>
      <c r="D597" s="6" t="str">
        <f>IFERROR(__xludf.DUMMYFUNCTION("""COMPUTED_VALUE"""),"79776437403")</f>
        <v>79776437403</v>
      </c>
      <c r="E597" s="9">
        <f>IFERROR(__xludf.DUMMYFUNCTION("""COMPUTED_VALUE"""),21000.0)</f>
        <v>21000</v>
      </c>
      <c r="F597" s="6"/>
      <c r="G597" s="10">
        <f>IFERROR(__xludf.DUMMYFUNCTION("""COMPUTED_VALUE"""),21000.0)</f>
        <v>21000</v>
      </c>
      <c r="H597" s="6">
        <f>IFERROR(__xludf.DUMMYFUNCTION("""COMPUTED_VALUE"""),146.99999999999997)</f>
        <v>147</v>
      </c>
      <c r="I597" s="11">
        <f>IFERROR(__xludf.DUMMYFUNCTION("""COMPUTED_VALUE"""),20853.0)</f>
        <v>20853</v>
      </c>
      <c r="J597" s="6" t="str">
        <f>IFERROR(__xludf.DUMMYFUNCTION("""COMPUTED_VALUE"""),"оплатили в QUGO")</f>
        <v>оплатили в QUGO</v>
      </c>
      <c r="K597" s="6"/>
      <c r="L597" s="6">
        <f>IFERROR(__xludf.DUMMYFUNCTION("""COMPUTED_VALUE"""),7.70979908855E11)</f>
        <v>770979908855</v>
      </c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>
        <f>IFERROR(__xludf.DUMMYFUNCTION("""COMPUTED_VALUE"""),2026.0)</f>
        <v>2026</v>
      </c>
      <c r="B598" s="7" t="str">
        <f>IFERROR(__xludf.DUMMYFUNCTION("""COMPUTED_VALUE"""),"16.01-31.01")</f>
        <v>16.01-31.01</v>
      </c>
      <c r="C598" s="8" t="str">
        <f>IFERROR(__xludf.DUMMYFUNCTION("""COMPUTED_VALUE"""),"Примова Нилуфар")</f>
        <v>Примова Нилуфар</v>
      </c>
      <c r="D598" s="6" t="str">
        <f>IFERROR(__xludf.DUMMYFUNCTION("""COMPUTED_VALUE"""),"79775621896")</f>
        <v>79775621896</v>
      </c>
      <c r="E598" s="9">
        <f>IFERROR(__xludf.DUMMYFUNCTION("""COMPUTED_VALUE"""),14800.0)</f>
        <v>14800</v>
      </c>
      <c r="F598" s="6"/>
      <c r="G598" s="10">
        <f>IFERROR(__xludf.DUMMYFUNCTION("""COMPUTED_VALUE"""),14800.0)</f>
        <v>14800</v>
      </c>
      <c r="H598" s="6">
        <f>IFERROR(__xludf.DUMMYFUNCTION("""COMPUTED_VALUE"""),103.6)</f>
        <v>103.6</v>
      </c>
      <c r="I598" s="11">
        <f>IFERROR(__xludf.DUMMYFUNCTION("""COMPUTED_VALUE"""),14696.4)</f>
        <v>14696.4</v>
      </c>
      <c r="J598" s="6" t="str">
        <f>IFERROR(__xludf.DUMMYFUNCTION("""COMPUTED_VALUE"""),"оплатили в QUGO")</f>
        <v>оплатили в QUGO</v>
      </c>
      <c r="K598" s="6"/>
      <c r="L598" s="6">
        <f>IFERROR(__xludf.DUMMYFUNCTION("""COMPUTED_VALUE"""),7.72312047604E11)</f>
        <v>772312047604</v>
      </c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>
        <f>IFERROR(__xludf.DUMMYFUNCTION("""COMPUTED_VALUE"""),2026.0)</f>
        <v>2026</v>
      </c>
      <c r="B599" s="7" t="str">
        <f>IFERROR(__xludf.DUMMYFUNCTION("""COMPUTED_VALUE"""),"16.01-31.01")</f>
        <v>16.01-31.01</v>
      </c>
      <c r="C599" s="8" t="str">
        <f>IFERROR(__xludf.DUMMYFUNCTION("""COMPUTED_VALUE"""),"Тешабоев Расулжон")</f>
        <v>Тешабоев Расулжон</v>
      </c>
      <c r="D599" s="6" t="str">
        <f>IFERROR(__xludf.DUMMYFUNCTION("""COMPUTED_VALUE"""),"79777013390")</f>
        <v>79777013390</v>
      </c>
      <c r="E599" s="9">
        <f>IFERROR(__xludf.DUMMYFUNCTION("""COMPUTED_VALUE"""),21000.0)</f>
        <v>21000</v>
      </c>
      <c r="F599" s="6"/>
      <c r="G599" s="10">
        <f>IFERROR(__xludf.DUMMYFUNCTION("""COMPUTED_VALUE"""),21000.0)</f>
        <v>21000</v>
      </c>
      <c r="H599" s="6">
        <f>IFERROR(__xludf.DUMMYFUNCTION("""COMPUTED_VALUE"""),146.99999999999997)</f>
        <v>147</v>
      </c>
      <c r="I599" s="11">
        <f>IFERROR(__xludf.DUMMYFUNCTION("""COMPUTED_VALUE"""),20853.0)</f>
        <v>20853</v>
      </c>
      <c r="J599" s="6" t="str">
        <f>IFERROR(__xludf.DUMMYFUNCTION("""COMPUTED_VALUE"""),"оплатили в QUGO")</f>
        <v>оплатили в QUGO</v>
      </c>
      <c r="K599" s="6"/>
      <c r="L599" s="6">
        <f>IFERROR(__xludf.DUMMYFUNCTION("""COMPUTED_VALUE"""),7.75171178607E11)</f>
        <v>775171178607</v>
      </c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>
        <f>IFERROR(__xludf.DUMMYFUNCTION("""COMPUTED_VALUE"""),2026.0)</f>
        <v>2026</v>
      </c>
      <c r="B600" s="7" t="str">
        <f>IFERROR(__xludf.DUMMYFUNCTION("""COMPUTED_VALUE"""),"16.01-31.01")</f>
        <v>16.01-31.01</v>
      </c>
      <c r="C600" s="8" t="str">
        <f>IFERROR(__xludf.DUMMYFUNCTION("""COMPUTED_VALUE"""),"Рахматуллаев Мухаммад")</f>
        <v>Рахматуллаев Мухаммад</v>
      </c>
      <c r="D600" s="6" t="str">
        <f>IFERROR(__xludf.DUMMYFUNCTION("""COMPUTED_VALUE"""),"79662669660")</f>
        <v>79662669660</v>
      </c>
      <c r="E600" s="9">
        <f>IFERROR(__xludf.DUMMYFUNCTION("""COMPUTED_VALUE"""),21000.0)</f>
        <v>21000</v>
      </c>
      <c r="F600" s="6"/>
      <c r="G600" s="10">
        <f>IFERROR(__xludf.DUMMYFUNCTION("""COMPUTED_VALUE"""),21000.0)</f>
        <v>21000</v>
      </c>
      <c r="H600" s="6">
        <f>IFERROR(__xludf.DUMMYFUNCTION("""COMPUTED_VALUE"""),146.99999999999997)</f>
        <v>147</v>
      </c>
      <c r="I600" s="11">
        <f>IFERROR(__xludf.DUMMYFUNCTION("""COMPUTED_VALUE"""),20853.0)</f>
        <v>20853</v>
      </c>
      <c r="J600" s="6" t="str">
        <f>IFERROR(__xludf.DUMMYFUNCTION("""COMPUTED_VALUE"""),"оплатили в QUGO")</f>
        <v>оплатили в QUGO</v>
      </c>
      <c r="K600" s="6"/>
      <c r="L600" s="6">
        <f>IFERROR(__xludf.DUMMYFUNCTION("""COMPUTED_VALUE"""),7.75175953769E11)</f>
        <v>775175953769</v>
      </c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>
        <f>IFERROR(__xludf.DUMMYFUNCTION("""COMPUTED_VALUE"""),2026.0)</f>
        <v>2026</v>
      </c>
      <c r="B601" s="7" t="str">
        <f>IFERROR(__xludf.DUMMYFUNCTION("""COMPUTED_VALUE"""),"16.01-31.01")</f>
        <v>16.01-31.01</v>
      </c>
      <c r="C601" s="8" t="str">
        <f>IFERROR(__xludf.DUMMYFUNCTION("""COMPUTED_VALUE"""),"Сайдуллаев Музаффар")</f>
        <v>Сайдуллаев Музаффар</v>
      </c>
      <c r="D601" s="6" t="str">
        <f>IFERROR(__xludf.DUMMYFUNCTION("""COMPUTED_VALUE"""),"79997977857")</f>
        <v>79997977857</v>
      </c>
      <c r="E601" s="9">
        <f>IFERROR(__xludf.DUMMYFUNCTION("""COMPUTED_VALUE"""),21000.0)</f>
        <v>21000</v>
      </c>
      <c r="F601" s="6"/>
      <c r="G601" s="10">
        <f>IFERROR(__xludf.DUMMYFUNCTION("""COMPUTED_VALUE"""),21000.0)</f>
        <v>21000</v>
      </c>
      <c r="H601" s="6">
        <f>IFERROR(__xludf.DUMMYFUNCTION("""COMPUTED_VALUE"""),146.99999999999997)</f>
        <v>147</v>
      </c>
      <c r="I601" s="11">
        <f>IFERROR(__xludf.DUMMYFUNCTION("""COMPUTED_VALUE"""),20853.0)</f>
        <v>20853</v>
      </c>
      <c r="J601" s="6" t="str">
        <f>IFERROR(__xludf.DUMMYFUNCTION("""COMPUTED_VALUE"""),"оплатили в QUGO")</f>
        <v>оплатили в QUGO</v>
      </c>
      <c r="K601" s="6"/>
      <c r="L601" s="6">
        <f>IFERROR(__xludf.DUMMYFUNCTION("""COMPUTED_VALUE"""),7.75123675454E11)</f>
        <v>775123675454</v>
      </c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>
        <f>IFERROR(__xludf.DUMMYFUNCTION("""COMPUTED_VALUE"""),2026.0)</f>
        <v>2026</v>
      </c>
      <c r="B602" s="7" t="str">
        <f>IFERROR(__xludf.DUMMYFUNCTION("""COMPUTED_VALUE"""),"16.01-31.01")</f>
        <v>16.01-31.01</v>
      </c>
      <c r="C602" s="8" t="str">
        <f>IFERROR(__xludf.DUMMYFUNCTION("""COMPUTED_VALUE"""),"Муратова Алие")</f>
        <v>Муратова Алие</v>
      </c>
      <c r="D602" s="6" t="str">
        <f>IFERROR(__xludf.DUMMYFUNCTION("""COMPUTED_VALUE"""),"79129707604")</f>
        <v>79129707604</v>
      </c>
      <c r="E602" s="9">
        <f>IFERROR(__xludf.DUMMYFUNCTION("""COMPUTED_VALUE"""),21000.0)</f>
        <v>21000</v>
      </c>
      <c r="F602" s="6"/>
      <c r="G602" s="10">
        <f>IFERROR(__xludf.DUMMYFUNCTION("""COMPUTED_VALUE"""),21000.0)</f>
        <v>21000</v>
      </c>
      <c r="H602" s="6">
        <f>IFERROR(__xludf.DUMMYFUNCTION("""COMPUTED_VALUE"""),146.99999999999997)</f>
        <v>147</v>
      </c>
      <c r="I602" s="11">
        <f>IFERROR(__xludf.DUMMYFUNCTION("""COMPUTED_VALUE"""),20853.0)</f>
        <v>20853</v>
      </c>
      <c r="J602" s="6" t="str">
        <f>IFERROR(__xludf.DUMMYFUNCTION("""COMPUTED_VALUE"""),"оплатили в QUGO")</f>
        <v>оплатили в QUGO</v>
      </c>
      <c r="K602" s="6"/>
      <c r="L602" s="6">
        <f>IFERROR(__xludf.DUMMYFUNCTION("""COMPUTED_VALUE"""),2.30412983604E11)</f>
        <v>230412983604</v>
      </c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>
        <f>IFERROR(__xludf.DUMMYFUNCTION("""COMPUTED_VALUE"""),2026.0)</f>
        <v>2026</v>
      </c>
      <c r="B603" s="7" t="str">
        <f>IFERROR(__xludf.DUMMYFUNCTION("""COMPUTED_VALUE"""),"16.01-31.01")</f>
        <v>16.01-31.01</v>
      </c>
      <c r="C603" s="8" t="str">
        <f>IFERROR(__xludf.DUMMYFUNCTION("""COMPUTED_VALUE"""),"Рахимова Нигора")</f>
        <v>Рахимова Нигора</v>
      </c>
      <c r="D603" s="6" t="str">
        <f>IFERROR(__xludf.DUMMYFUNCTION("""COMPUTED_VALUE"""),"79032802321")</f>
        <v>79032802321</v>
      </c>
      <c r="E603" s="9">
        <f>IFERROR(__xludf.DUMMYFUNCTION("""COMPUTED_VALUE"""),21000.0)</f>
        <v>21000</v>
      </c>
      <c r="F603" s="6"/>
      <c r="G603" s="10">
        <f>IFERROR(__xludf.DUMMYFUNCTION("""COMPUTED_VALUE"""),21000.0)</f>
        <v>21000</v>
      </c>
      <c r="H603" s="6">
        <f>IFERROR(__xludf.DUMMYFUNCTION("""COMPUTED_VALUE"""),146.99999999999997)</f>
        <v>147</v>
      </c>
      <c r="I603" s="11">
        <f>IFERROR(__xludf.DUMMYFUNCTION("""COMPUTED_VALUE"""),20853.0)</f>
        <v>20853</v>
      </c>
      <c r="J603" s="6" t="str">
        <f>IFERROR(__xludf.DUMMYFUNCTION("""COMPUTED_VALUE"""),"оплатили в QUGO")</f>
        <v>оплатили в QUGO</v>
      </c>
      <c r="K603" s="6"/>
      <c r="L603" s="6">
        <f>IFERROR(__xludf.DUMMYFUNCTION("""COMPUTED_VALUE"""),7.7515166163E11)</f>
        <v>775151661630</v>
      </c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>
        <f>IFERROR(__xludf.DUMMYFUNCTION("""COMPUTED_VALUE"""),2026.0)</f>
        <v>2026</v>
      </c>
      <c r="B604" s="7" t="str">
        <f>IFERROR(__xludf.DUMMYFUNCTION("""COMPUTED_VALUE"""),"16.01-31.01")</f>
        <v>16.01-31.01</v>
      </c>
      <c r="C604" s="8" t="str">
        <f>IFERROR(__xludf.DUMMYFUNCTION("""COMPUTED_VALUE"""),"Нурбаева Умеда")</f>
        <v>Нурбаева Умеда</v>
      </c>
      <c r="D604" s="6" t="str">
        <f>IFERROR(__xludf.DUMMYFUNCTION("""COMPUTED_VALUE"""),"79250388417")</f>
        <v>79250388417</v>
      </c>
      <c r="E604" s="9">
        <f>IFERROR(__xludf.DUMMYFUNCTION("""COMPUTED_VALUE"""),21000.0)</f>
        <v>21000</v>
      </c>
      <c r="F604" s="6"/>
      <c r="G604" s="10">
        <f>IFERROR(__xludf.DUMMYFUNCTION("""COMPUTED_VALUE"""),21000.0)</f>
        <v>21000</v>
      </c>
      <c r="H604" s="6">
        <f>IFERROR(__xludf.DUMMYFUNCTION("""COMPUTED_VALUE"""),146.99999999999997)</f>
        <v>147</v>
      </c>
      <c r="I604" s="11">
        <f>IFERROR(__xludf.DUMMYFUNCTION("""COMPUTED_VALUE"""),20853.0)</f>
        <v>20853</v>
      </c>
      <c r="J604" s="6" t="str">
        <f>IFERROR(__xludf.DUMMYFUNCTION("""COMPUTED_VALUE"""),"оплатили в QUGO")</f>
        <v>оплатили в QUGO</v>
      </c>
      <c r="K604" s="6"/>
      <c r="L604" s="6">
        <f>IFERROR(__xludf.DUMMYFUNCTION("""COMPUTED_VALUE"""),9.71521363276E11)</f>
        <v>971521363276</v>
      </c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>
        <f>IFERROR(__xludf.DUMMYFUNCTION("""COMPUTED_VALUE"""),2026.0)</f>
        <v>2026</v>
      </c>
      <c r="B605" s="7" t="str">
        <f>IFERROR(__xludf.DUMMYFUNCTION("""COMPUTED_VALUE"""),"16.01-31.01")</f>
        <v>16.01-31.01</v>
      </c>
      <c r="C605" s="8" t="str">
        <f>IFERROR(__xludf.DUMMYFUNCTION("""COMPUTED_VALUE"""),"Ходжаев Мухаммад")</f>
        <v>Ходжаев Мухаммад</v>
      </c>
      <c r="D605" s="6" t="str">
        <f>IFERROR(__xludf.DUMMYFUNCTION("""COMPUTED_VALUE"""),"79851400399")</f>
        <v>79851400399</v>
      </c>
      <c r="E605" s="9">
        <f>IFERROR(__xludf.DUMMYFUNCTION("""COMPUTED_VALUE"""),51492.0)</f>
        <v>51492</v>
      </c>
      <c r="F605" s="6"/>
      <c r="G605" s="10">
        <f>IFERROR(__xludf.DUMMYFUNCTION("""COMPUTED_VALUE"""),51492.0)</f>
        <v>51492</v>
      </c>
      <c r="H605" s="6">
        <f>IFERROR(__xludf.DUMMYFUNCTION("""COMPUTED_VALUE"""),360.44399999999996)</f>
        <v>360.444</v>
      </c>
      <c r="I605" s="11">
        <f>IFERROR(__xludf.DUMMYFUNCTION("""COMPUTED_VALUE"""),51131.556)</f>
        <v>51131.556</v>
      </c>
      <c r="J605" s="6" t="str">
        <f>IFERROR(__xludf.DUMMYFUNCTION("""COMPUTED_VALUE"""),"оплатили в QUGO")</f>
        <v>оплатили в QUGO</v>
      </c>
      <c r="K605" s="6"/>
      <c r="L605" s="6">
        <f>IFERROR(__xludf.DUMMYFUNCTION("""COMPUTED_VALUE"""),7.7515935605E11)</f>
        <v>775159356050</v>
      </c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>
        <f>IFERROR(__xludf.DUMMYFUNCTION("""COMPUTED_VALUE"""),2026.0)</f>
        <v>2026</v>
      </c>
      <c r="B606" s="7" t="str">
        <f>IFERROR(__xludf.DUMMYFUNCTION("""COMPUTED_VALUE"""),"16.01-31.01")</f>
        <v>16.01-31.01</v>
      </c>
      <c r="C606" s="8" t="str">
        <f>IFERROR(__xludf.DUMMYFUNCTION("""COMPUTED_VALUE"""),"Камолзода Саидабону")</f>
        <v>Камолзода Саидабону</v>
      </c>
      <c r="D606" s="6" t="str">
        <f>IFERROR(__xludf.DUMMYFUNCTION("""COMPUTED_VALUE"""),"79776328956")</f>
        <v>79776328956</v>
      </c>
      <c r="E606" s="9">
        <f>IFERROR(__xludf.DUMMYFUNCTION("""COMPUTED_VALUE"""),68617.0)</f>
        <v>68617</v>
      </c>
      <c r="F606" s="6"/>
      <c r="G606" s="10">
        <f>IFERROR(__xludf.DUMMYFUNCTION("""COMPUTED_VALUE"""),68617.0)</f>
        <v>68617</v>
      </c>
      <c r="H606" s="6">
        <f>IFERROR(__xludf.DUMMYFUNCTION("""COMPUTED_VALUE"""),480.31899999999996)</f>
        <v>480.319</v>
      </c>
      <c r="I606" s="11">
        <f>IFERROR(__xludf.DUMMYFUNCTION("""COMPUTED_VALUE"""),68136.681)</f>
        <v>68136.681</v>
      </c>
      <c r="J606" s="6" t="str">
        <f>IFERROR(__xludf.DUMMYFUNCTION("""COMPUTED_VALUE"""),"оплатили в QUGO")</f>
        <v>оплатили в QUGO</v>
      </c>
      <c r="K606" s="6"/>
      <c r="L606" s="6">
        <f>IFERROR(__xludf.DUMMYFUNCTION("""COMPUTED_VALUE"""),7.72844070731E11)</f>
        <v>772844070731</v>
      </c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>
        <f>IFERROR(__xludf.DUMMYFUNCTION("""COMPUTED_VALUE"""),2026.0)</f>
        <v>2026</v>
      </c>
      <c r="B607" s="7" t="str">
        <f>IFERROR(__xludf.DUMMYFUNCTION("""COMPUTED_VALUE"""),"16.01-31.01")</f>
        <v>16.01-31.01</v>
      </c>
      <c r="C607" s="8" t="str">
        <f>IFERROR(__xludf.DUMMYFUNCTION("""COMPUTED_VALUE"""),"Холмирзаев Сахиб")</f>
        <v>Холмирзаев Сахиб</v>
      </c>
      <c r="D607" s="6" t="str">
        <f>IFERROR(__xludf.DUMMYFUNCTION("""COMPUTED_VALUE"""),"79969750701")</f>
        <v>79969750701</v>
      </c>
      <c r="E607" s="9">
        <f>IFERROR(__xludf.DUMMYFUNCTION("""COMPUTED_VALUE"""),64000.0)</f>
        <v>64000</v>
      </c>
      <c r="F607" s="6"/>
      <c r="G607" s="10">
        <f>IFERROR(__xludf.DUMMYFUNCTION("""COMPUTED_VALUE"""),64000.0)</f>
        <v>64000</v>
      </c>
      <c r="H607" s="6">
        <f>IFERROR(__xludf.DUMMYFUNCTION("""COMPUTED_VALUE"""),447.99999999999994)</f>
        <v>448</v>
      </c>
      <c r="I607" s="11">
        <f>IFERROR(__xludf.DUMMYFUNCTION("""COMPUTED_VALUE"""),63552.0)</f>
        <v>63552</v>
      </c>
      <c r="J607" s="6" t="str">
        <f>IFERROR(__xludf.DUMMYFUNCTION("""COMPUTED_VALUE"""),"оплатили в QUGO")</f>
        <v>оплатили в QUGO</v>
      </c>
      <c r="K607" s="6"/>
      <c r="L607" s="6">
        <f>IFERROR(__xludf.DUMMYFUNCTION("""COMPUTED_VALUE"""),7.84210910349E11)</f>
        <v>784210910349</v>
      </c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>
        <f>IFERROR(__xludf.DUMMYFUNCTION("""COMPUTED_VALUE"""),2026.0)</f>
        <v>2026</v>
      </c>
      <c r="B608" s="7" t="str">
        <f>IFERROR(__xludf.DUMMYFUNCTION("""COMPUTED_VALUE"""),"16.01-31.01")</f>
        <v>16.01-31.01</v>
      </c>
      <c r="C608" s="8" t="str">
        <f>IFERROR(__xludf.DUMMYFUNCTION("""COMPUTED_VALUE"""),"Джуманиязова Саида")</f>
        <v>Джуманиязова Саида</v>
      </c>
      <c r="D608" s="6" t="str">
        <f>IFERROR(__xludf.DUMMYFUNCTION("""COMPUTED_VALUE"""),"79686192625")</f>
        <v>79686192625</v>
      </c>
      <c r="E608" s="9">
        <f>IFERROR(__xludf.DUMMYFUNCTION("""COMPUTED_VALUE"""),64000.0)</f>
        <v>64000</v>
      </c>
      <c r="F608" s="6"/>
      <c r="G608" s="10">
        <f>IFERROR(__xludf.DUMMYFUNCTION("""COMPUTED_VALUE"""),64000.0)</f>
        <v>64000</v>
      </c>
      <c r="H608" s="6">
        <f>IFERROR(__xludf.DUMMYFUNCTION("""COMPUTED_VALUE"""),447.99999999999994)</f>
        <v>448</v>
      </c>
      <c r="I608" s="11">
        <f>IFERROR(__xludf.DUMMYFUNCTION("""COMPUTED_VALUE"""),63552.0)</f>
        <v>63552</v>
      </c>
      <c r="J608" s="6" t="str">
        <f>IFERROR(__xludf.DUMMYFUNCTION("""COMPUTED_VALUE"""),"оплатили в QUGO")</f>
        <v>оплатили в QUGO</v>
      </c>
      <c r="K608" s="6"/>
      <c r="L608" s="6">
        <f>IFERROR(__xludf.DUMMYFUNCTION("""COMPUTED_VALUE"""),7.7343164594E11)</f>
        <v>773431645940</v>
      </c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>
        <f>IFERROR(__xludf.DUMMYFUNCTION("""COMPUTED_VALUE"""),2026.0)</f>
        <v>2026</v>
      </c>
      <c r="B609" s="7" t="str">
        <f>IFERROR(__xludf.DUMMYFUNCTION("""COMPUTED_VALUE"""),"16.01-31.01")</f>
        <v>16.01-31.01</v>
      </c>
      <c r="C609" s="8" t="str">
        <f>IFERROR(__xludf.DUMMYFUNCTION("""COMPUTED_VALUE"""),"Юлдашева Нигора")</f>
        <v>Юлдашева Нигора</v>
      </c>
      <c r="D609" s="6" t="str">
        <f>IFERROR(__xludf.DUMMYFUNCTION("""COMPUTED_VALUE"""),"79963682991")</f>
        <v>79963682991</v>
      </c>
      <c r="E609" s="9">
        <f>IFERROR(__xludf.DUMMYFUNCTION("""COMPUTED_VALUE"""),14800.0)</f>
        <v>14800</v>
      </c>
      <c r="F609" s="6"/>
      <c r="G609" s="10">
        <f>IFERROR(__xludf.DUMMYFUNCTION("""COMPUTED_VALUE"""),14800.0)</f>
        <v>14800</v>
      </c>
      <c r="H609" s="6">
        <f>IFERROR(__xludf.DUMMYFUNCTION("""COMPUTED_VALUE"""),103.6)</f>
        <v>103.6</v>
      </c>
      <c r="I609" s="11">
        <f>IFERROR(__xludf.DUMMYFUNCTION("""COMPUTED_VALUE"""),14696.4)</f>
        <v>14696.4</v>
      </c>
      <c r="J609" s="6" t="str">
        <f>IFERROR(__xludf.DUMMYFUNCTION("""COMPUTED_VALUE"""),"оплатили в QUGO")</f>
        <v>оплатили в QUGO</v>
      </c>
      <c r="K609" s="6"/>
      <c r="L609" s="6">
        <f>IFERROR(__xludf.DUMMYFUNCTION("""COMPUTED_VALUE"""),7.7512017364E11)</f>
        <v>775120173640</v>
      </c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>
        <f>IFERROR(__xludf.DUMMYFUNCTION("""COMPUTED_VALUE"""),2026.0)</f>
        <v>2026</v>
      </c>
      <c r="B610" s="7" t="str">
        <f>IFERROR(__xludf.DUMMYFUNCTION("""COMPUTED_VALUE"""),"16.01-31.01")</f>
        <v>16.01-31.01</v>
      </c>
      <c r="C610" s="8" t="str">
        <f>IFERROR(__xludf.DUMMYFUNCTION("""COMPUTED_VALUE"""),"Уринова Гулсара")</f>
        <v>Уринова Гулсара</v>
      </c>
      <c r="D610" s="6" t="str">
        <f>IFERROR(__xludf.DUMMYFUNCTION("""COMPUTED_VALUE"""),"79969800138")</f>
        <v>79969800138</v>
      </c>
      <c r="E610" s="9">
        <f>IFERROR(__xludf.DUMMYFUNCTION("""COMPUTED_VALUE"""),64000.0)</f>
        <v>64000</v>
      </c>
      <c r="F610" s="6"/>
      <c r="G610" s="10">
        <f>IFERROR(__xludf.DUMMYFUNCTION("""COMPUTED_VALUE"""),64000.0)</f>
        <v>64000</v>
      </c>
      <c r="H610" s="6">
        <f>IFERROR(__xludf.DUMMYFUNCTION("""COMPUTED_VALUE"""),447.99999999999994)</f>
        <v>448</v>
      </c>
      <c r="I610" s="11">
        <f>IFERROR(__xludf.DUMMYFUNCTION("""COMPUTED_VALUE"""),63552.0)</f>
        <v>63552</v>
      </c>
      <c r="J610" s="6" t="str">
        <f>IFERROR(__xludf.DUMMYFUNCTION("""COMPUTED_VALUE"""),"оплатили в QUGO")</f>
        <v>оплатили в QUGO</v>
      </c>
      <c r="K610" s="6"/>
      <c r="L610" s="6">
        <f>IFERROR(__xludf.DUMMYFUNCTION("""COMPUTED_VALUE"""),7.75175950165E11)</f>
        <v>775175950165</v>
      </c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>
        <f>IFERROR(__xludf.DUMMYFUNCTION("""COMPUTED_VALUE"""),2026.0)</f>
        <v>2026</v>
      </c>
      <c r="B611" s="7" t="str">
        <f>IFERROR(__xludf.DUMMYFUNCTION("""COMPUTED_VALUE"""),"16.01-31.01")</f>
        <v>16.01-31.01</v>
      </c>
      <c r="C611" s="8" t="str">
        <f>IFERROR(__xludf.DUMMYFUNCTION("""COMPUTED_VALUE"""),"Адилбаева Умида")</f>
        <v>Адилбаева Умида</v>
      </c>
      <c r="D611" s="6" t="str">
        <f>IFERROR(__xludf.DUMMYFUNCTION("""COMPUTED_VALUE"""),"79890950860")</f>
        <v>79890950860</v>
      </c>
      <c r="E611" s="9">
        <f>IFERROR(__xludf.DUMMYFUNCTION("""COMPUTED_VALUE"""),33300.0)</f>
        <v>33300</v>
      </c>
      <c r="F611" s="6"/>
      <c r="G611" s="10">
        <f>IFERROR(__xludf.DUMMYFUNCTION("""COMPUTED_VALUE"""),33300.0)</f>
        <v>33300</v>
      </c>
      <c r="H611" s="6">
        <f>IFERROR(__xludf.DUMMYFUNCTION("""COMPUTED_VALUE"""),233.09999999999997)</f>
        <v>233.1</v>
      </c>
      <c r="I611" s="11">
        <f>IFERROR(__xludf.DUMMYFUNCTION("""COMPUTED_VALUE"""),33066.9)</f>
        <v>33066.9</v>
      </c>
      <c r="J611" s="6" t="str">
        <f>IFERROR(__xludf.DUMMYFUNCTION("""COMPUTED_VALUE"""),"оплатили в QUGO")</f>
        <v>оплатили в QUGO</v>
      </c>
      <c r="K611" s="6" t="str">
        <f>IFERROR(__xludf.DUMMYFUNCTION("""COMPUTED_VALUE"""),"повторили оплату")</f>
        <v>повторили оплату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>
        <f>IFERROR(__xludf.DUMMYFUNCTION("""COMPUTED_VALUE"""),2026.0)</f>
        <v>2026</v>
      </c>
      <c r="B612" s="7" t="str">
        <f>IFERROR(__xludf.DUMMYFUNCTION("""COMPUTED_VALUE"""),"16.01-31.01")</f>
        <v>16.01-31.01</v>
      </c>
      <c r="C612" s="8" t="str">
        <f>IFERROR(__xludf.DUMMYFUNCTION("""COMPUTED_VALUE"""),"Узаков Рустам")</f>
        <v>Узаков Рустам</v>
      </c>
      <c r="D612" s="6" t="str">
        <f>IFERROR(__xludf.DUMMYFUNCTION("""COMPUTED_VALUE"""),"79997197785")</f>
        <v>79997197785</v>
      </c>
      <c r="E612" s="9">
        <f>IFERROR(__xludf.DUMMYFUNCTION("""COMPUTED_VALUE"""),62200.0)</f>
        <v>62200</v>
      </c>
      <c r="F612" s="6"/>
      <c r="G612" s="10">
        <f>IFERROR(__xludf.DUMMYFUNCTION("""COMPUTED_VALUE"""),62200.0)</f>
        <v>62200</v>
      </c>
      <c r="H612" s="6">
        <f>IFERROR(__xludf.DUMMYFUNCTION("""COMPUTED_VALUE"""),435.4)</f>
        <v>435.4</v>
      </c>
      <c r="I612" s="11">
        <f>IFERROR(__xludf.DUMMYFUNCTION("""COMPUTED_VALUE"""),61764.6)</f>
        <v>61764.6</v>
      </c>
      <c r="J612" s="6" t="str">
        <f>IFERROR(__xludf.DUMMYFUNCTION("""COMPUTED_VALUE"""),"оплатили в QUGO")</f>
        <v>оплатили в QUGO</v>
      </c>
      <c r="K612" s="6"/>
      <c r="L612" s="6">
        <f>IFERROR(__xludf.DUMMYFUNCTION("""COMPUTED_VALUE"""),7.000117523E10)</f>
        <v>70001175230</v>
      </c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>
        <f>IFERROR(__xludf.DUMMYFUNCTION("""COMPUTED_VALUE"""),2026.0)</f>
        <v>2026</v>
      </c>
      <c r="B613" s="7" t="str">
        <f>IFERROR(__xludf.DUMMYFUNCTION("""COMPUTED_VALUE"""),"16.01-31.01")</f>
        <v>16.01-31.01</v>
      </c>
      <c r="C613" s="8" t="str">
        <f>IFERROR(__xludf.DUMMYFUNCTION("""COMPUTED_VALUE"""),"Мамадалиев Шамшод")</f>
        <v>Мамадалиев Шамшод</v>
      </c>
      <c r="D613" s="6" t="str">
        <f>IFERROR(__xludf.DUMMYFUNCTION("""COMPUTED_VALUE"""),"79309907663")</f>
        <v>79309907663</v>
      </c>
      <c r="E613" s="9">
        <f>IFERROR(__xludf.DUMMYFUNCTION("""COMPUTED_VALUE"""),57090.0)</f>
        <v>57090</v>
      </c>
      <c r="F613" s="6"/>
      <c r="G613" s="10">
        <f>IFERROR(__xludf.DUMMYFUNCTION("""COMPUTED_VALUE"""),57090.0)</f>
        <v>57090</v>
      </c>
      <c r="H613" s="6">
        <f>IFERROR(__xludf.DUMMYFUNCTION("""COMPUTED_VALUE"""),399.62999999999994)</f>
        <v>399.63</v>
      </c>
      <c r="I613" s="11">
        <f>IFERROR(__xludf.DUMMYFUNCTION("""COMPUTED_VALUE"""),56690.37)</f>
        <v>56690.37</v>
      </c>
      <c r="J613" s="6" t="str">
        <f>IFERROR(__xludf.DUMMYFUNCTION("""COMPUTED_VALUE"""),"оплатили в QUGO")</f>
        <v>оплатили в QUGO</v>
      </c>
      <c r="K613" s="6"/>
      <c r="L613" s="6">
        <f>IFERROR(__xludf.DUMMYFUNCTION("""COMPUTED_VALUE"""),7.75163599087E11)</f>
        <v>775163599087</v>
      </c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>
        <f>IFERROR(__xludf.DUMMYFUNCTION("""COMPUTED_VALUE"""),2026.0)</f>
        <v>2026</v>
      </c>
      <c r="B614" s="7" t="str">
        <f>IFERROR(__xludf.DUMMYFUNCTION("""COMPUTED_VALUE"""),"16.01-31.01")</f>
        <v>16.01-31.01</v>
      </c>
      <c r="C614" s="8" t="str">
        <f>IFERROR(__xludf.DUMMYFUNCTION("""COMPUTED_VALUE"""),"Сатаров Адхам")</f>
        <v>Сатаров Адхам</v>
      </c>
      <c r="D614" s="6" t="str">
        <f>IFERROR(__xludf.DUMMYFUNCTION("""COMPUTED_VALUE"""),"79057456061")</f>
        <v>79057456061</v>
      </c>
      <c r="E614" s="9">
        <f>IFERROR(__xludf.DUMMYFUNCTION("""COMPUTED_VALUE"""),60000.0)</f>
        <v>60000</v>
      </c>
      <c r="F614" s="6"/>
      <c r="G614" s="10">
        <f>IFERROR(__xludf.DUMMYFUNCTION("""COMPUTED_VALUE"""),60000.0)</f>
        <v>60000</v>
      </c>
      <c r="H614" s="6">
        <f>IFERROR(__xludf.DUMMYFUNCTION("""COMPUTED_VALUE"""),419.99999999999994)</f>
        <v>420</v>
      </c>
      <c r="I614" s="11">
        <f>IFERROR(__xludf.DUMMYFUNCTION("""COMPUTED_VALUE"""),59580.0)</f>
        <v>59580</v>
      </c>
      <c r="J614" s="6" t="str">
        <f>IFERROR(__xludf.DUMMYFUNCTION("""COMPUTED_VALUE"""),"оплатили в QUGO")</f>
        <v>оплатили в QUGO</v>
      </c>
      <c r="K614" s="6"/>
      <c r="L614" s="6">
        <f>IFERROR(__xludf.DUMMYFUNCTION("""COMPUTED_VALUE"""),7.75117173632E11)</f>
        <v>775117173632</v>
      </c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>
        <f>IFERROR(__xludf.DUMMYFUNCTION("""COMPUTED_VALUE"""),2026.0)</f>
        <v>2026</v>
      </c>
      <c r="B615" s="7" t="str">
        <f>IFERROR(__xludf.DUMMYFUNCTION("""COMPUTED_VALUE"""),"16.01-31.01")</f>
        <v>16.01-31.01</v>
      </c>
      <c r="C615" s="8" t="str">
        <f>IFERROR(__xludf.DUMMYFUNCTION("""COMPUTED_VALUE"""),"Мухмудов Ботиржон")</f>
        <v>Мухмудов Ботиржон</v>
      </c>
      <c r="D615" s="6" t="str">
        <f>IFERROR(__xludf.DUMMYFUNCTION("""COMPUTED_VALUE"""),"79030178883")</f>
        <v>79030178883</v>
      </c>
      <c r="E615" s="9">
        <f>IFERROR(__xludf.DUMMYFUNCTION("""COMPUTED_VALUE"""),20000.0)</f>
        <v>20000</v>
      </c>
      <c r="F615" s="6"/>
      <c r="G615" s="10">
        <f>IFERROR(__xludf.DUMMYFUNCTION("""COMPUTED_VALUE"""),20000.0)</f>
        <v>20000</v>
      </c>
      <c r="H615" s="6">
        <f>IFERROR(__xludf.DUMMYFUNCTION("""COMPUTED_VALUE"""),139.99999999999997)</f>
        <v>140</v>
      </c>
      <c r="I615" s="11">
        <f>IFERROR(__xludf.DUMMYFUNCTION("""COMPUTED_VALUE"""),19860.0)</f>
        <v>19860</v>
      </c>
      <c r="J615" s="6" t="str">
        <f>IFERROR(__xludf.DUMMYFUNCTION("""COMPUTED_VALUE"""),"оплатили в QUGO")</f>
        <v>оплатили в QUGO</v>
      </c>
      <c r="K615" s="6"/>
      <c r="L615" s="6">
        <f>IFERROR(__xludf.DUMMYFUNCTION("""COMPUTED_VALUE"""),5.02776294258E11)</f>
        <v>502776294258</v>
      </c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>
        <f>IFERROR(__xludf.DUMMYFUNCTION("""COMPUTED_VALUE"""),2026.0)</f>
        <v>2026</v>
      </c>
      <c r="B616" s="7" t="str">
        <f>IFERROR(__xludf.DUMMYFUNCTION("""COMPUTED_VALUE"""),"16.01-31.01")</f>
        <v>16.01-31.01</v>
      </c>
      <c r="C616" s="8" t="str">
        <f>IFERROR(__xludf.DUMMYFUNCTION("""COMPUTED_VALUE"""),"Абдуллаев Маруф")</f>
        <v>Абдуллаев Маруф</v>
      </c>
      <c r="D616" s="6" t="str">
        <f>IFERROR(__xludf.DUMMYFUNCTION("""COMPUTED_VALUE"""),"79036164768")</f>
        <v>79036164768</v>
      </c>
      <c r="E616" s="9">
        <f>IFERROR(__xludf.DUMMYFUNCTION("""COMPUTED_VALUE"""),60000.0)</f>
        <v>60000</v>
      </c>
      <c r="F616" s="6"/>
      <c r="G616" s="10">
        <f>IFERROR(__xludf.DUMMYFUNCTION("""COMPUTED_VALUE"""),60000.0)</f>
        <v>60000</v>
      </c>
      <c r="H616" s="6">
        <f>IFERROR(__xludf.DUMMYFUNCTION("""COMPUTED_VALUE"""),419.99999999999994)</f>
        <v>420</v>
      </c>
      <c r="I616" s="11">
        <f>IFERROR(__xludf.DUMMYFUNCTION("""COMPUTED_VALUE"""),59580.0)</f>
        <v>59580</v>
      </c>
      <c r="J616" s="6" t="str">
        <f>IFERROR(__xludf.DUMMYFUNCTION("""COMPUTED_VALUE"""),"оплатили в QUGO")</f>
        <v>оплатили в QUGO</v>
      </c>
      <c r="K616" s="6"/>
      <c r="L616" s="6">
        <f>IFERROR(__xludf.DUMMYFUNCTION("""COMPUTED_VALUE"""),5.61020333756E11)</f>
        <v>561020333756</v>
      </c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>
        <f>IFERROR(__xludf.DUMMYFUNCTION("""COMPUTED_VALUE"""),2026.0)</f>
        <v>2026</v>
      </c>
      <c r="B617" s="7" t="str">
        <f>IFERROR(__xludf.DUMMYFUNCTION("""COMPUTED_VALUE"""),"16.01-31.01")</f>
        <v>16.01-31.01</v>
      </c>
      <c r="C617" s="8" t="str">
        <f>IFERROR(__xludf.DUMMYFUNCTION("""COMPUTED_VALUE"""),"Хакимханов Мухаммадхон")</f>
        <v>Хакимханов Мухаммадхон</v>
      </c>
      <c r="D617" s="6" t="str">
        <f>IFERROR(__xludf.DUMMYFUNCTION("""COMPUTED_VALUE"""),"79955063157")</f>
        <v>79955063157</v>
      </c>
      <c r="E617" s="9">
        <f>IFERROR(__xludf.DUMMYFUNCTION("""COMPUTED_VALUE"""),86750.0)</f>
        <v>86750</v>
      </c>
      <c r="F617" s="6"/>
      <c r="G617" s="10">
        <f>IFERROR(__xludf.DUMMYFUNCTION("""COMPUTED_VALUE"""),86750.0)</f>
        <v>86750</v>
      </c>
      <c r="H617" s="6">
        <f>IFERROR(__xludf.DUMMYFUNCTION("""COMPUTED_VALUE"""),607.2499999999999)</f>
        <v>607.25</v>
      </c>
      <c r="I617" s="11">
        <f>IFERROR(__xludf.DUMMYFUNCTION("""COMPUTED_VALUE"""),86142.75)</f>
        <v>86142.75</v>
      </c>
      <c r="J617" s="6" t="str">
        <f>IFERROR(__xludf.DUMMYFUNCTION("""COMPUTED_VALUE"""),"оплатили в QUGO")</f>
        <v>оплатили в QUGO</v>
      </c>
      <c r="K617" s="6"/>
      <c r="L617" s="6">
        <f>IFERROR(__xludf.DUMMYFUNCTION("""COMPUTED_VALUE"""),7.72323442638E11)</f>
        <v>772323442638</v>
      </c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>
        <f>IFERROR(__xludf.DUMMYFUNCTION("""COMPUTED_VALUE"""),2026.0)</f>
        <v>2026</v>
      </c>
      <c r="B618" s="7" t="str">
        <f>IFERROR(__xludf.DUMMYFUNCTION("""COMPUTED_VALUE"""),"16.01-31.01")</f>
        <v>16.01-31.01</v>
      </c>
      <c r="C618" s="8" t="str">
        <f>IFERROR(__xludf.DUMMYFUNCTION("""COMPUTED_VALUE"""),"Жуманиязова Гулшод Базарбаевна")</f>
        <v>Жуманиязова Гулшод Базарбаевна</v>
      </c>
      <c r="D618" s="6" t="str">
        <f>IFERROR(__xludf.DUMMYFUNCTION("""COMPUTED_VALUE"""),"79255937717")</f>
        <v>79255937717</v>
      </c>
      <c r="E618" s="9">
        <f>IFERROR(__xludf.DUMMYFUNCTION("""COMPUTED_VALUE"""),50000.0)</f>
        <v>50000</v>
      </c>
      <c r="F618" s="6"/>
      <c r="G618" s="10">
        <f>IFERROR(__xludf.DUMMYFUNCTION("""COMPUTED_VALUE"""),50000.0)</f>
        <v>50000</v>
      </c>
      <c r="H618" s="6">
        <f>IFERROR(__xludf.DUMMYFUNCTION("""COMPUTED_VALUE"""),349.99999999999994)</f>
        <v>350</v>
      </c>
      <c r="I618" s="11">
        <f>IFERROR(__xludf.DUMMYFUNCTION("""COMPUTED_VALUE"""),49650.0)</f>
        <v>49650</v>
      </c>
      <c r="J618" s="6" t="str">
        <f>IFERROR(__xludf.DUMMYFUNCTION("""COMPUTED_VALUE"""),"оплатили в QUGO")</f>
        <v>оплатили в QUGO</v>
      </c>
      <c r="K618" s="6"/>
      <c r="L618" s="6">
        <f>IFERROR(__xludf.DUMMYFUNCTION("""COMPUTED_VALUE"""),9.71901898983E11)</f>
        <v>971901898983</v>
      </c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>
        <f>IFERROR(__xludf.DUMMYFUNCTION("""COMPUTED_VALUE"""),2026.0)</f>
        <v>2026</v>
      </c>
      <c r="B619" s="7" t="str">
        <f>IFERROR(__xludf.DUMMYFUNCTION("""COMPUTED_VALUE"""),"16.01-31.01")</f>
        <v>16.01-31.01</v>
      </c>
      <c r="C619" s="8" t="str">
        <f>IFERROR(__xludf.DUMMYFUNCTION("""COMPUTED_VALUE"""),"Зуфарова Дилбар")</f>
        <v>Зуфарова Дилбар</v>
      </c>
      <c r="D619" s="6" t="str">
        <f>IFERROR(__xludf.DUMMYFUNCTION("""COMPUTED_VALUE"""),"79057468188")</f>
        <v>79057468188</v>
      </c>
      <c r="E619" s="9">
        <f>IFERROR(__xludf.DUMMYFUNCTION("""COMPUTED_VALUE"""),60000.0)</f>
        <v>60000</v>
      </c>
      <c r="F619" s="6">
        <f>IFERROR(__xludf.DUMMYFUNCTION("""COMPUTED_VALUE"""),3654.0)</f>
        <v>3654</v>
      </c>
      <c r="G619" s="10">
        <f>IFERROR(__xludf.DUMMYFUNCTION("""COMPUTED_VALUE"""),56346.0)</f>
        <v>56346</v>
      </c>
      <c r="H619" s="6">
        <f>IFERROR(__xludf.DUMMYFUNCTION("""COMPUTED_VALUE"""),394.42199999999997)</f>
        <v>394.422</v>
      </c>
      <c r="I619" s="11">
        <f>IFERROR(__xludf.DUMMYFUNCTION("""COMPUTED_VALUE"""),55951.578)</f>
        <v>55951.578</v>
      </c>
      <c r="J619" s="6" t="str">
        <f>IFERROR(__xludf.DUMMYFUNCTION("""COMPUTED_VALUE"""),"оплатили в QUGO")</f>
        <v>оплатили в QUGO</v>
      </c>
      <c r="K619" s="6" t="str">
        <f>IFERROR(__xludf.DUMMYFUNCTION("""COMPUTED_VALUE"""),"3654 р. за Официальную ЗП Январь")</f>
        <v>3654 р. за Официальную ЗП Январь</v>
      </c>
      <c r="L619" s="6">
        <f>IFERROR(__xludf.DUMMYFUNCTION("""COMPUTED_VALUE"""),2.3101357277E11)</f>
        <v>231013572770</v>
      </c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>
        <f>IFERROR(__xludf.DUMMYFUNCTION("""COMPUTED_VALUE"""),2026.0)</f>
        <v>2026</v>
      </c>
      <c r="B620" s="7" t="str">
        <f>IFERROR(__xludf.DUMMYFUNCTION("""COMPUTED_VALUE"""),"16.01-31.01")</f>
        <v>16.01-31.01</v>
      </c>
      <c r="C620" s="8" t="str">
        <f>IFERROR(__xludf.DUMMYFUNCTION("""COMPUTED_VALUE"""),"Муминзода Абдувахит")</f>
        <v>Муминзода Абдувахит</v>
      </c>
      <c r="D620" s="6" t="str">
        <f>IFERROR(__xludf.DUMMYFUNCTION("""COMPUTED_VALUE"""),"79857578782")</f>
        <v>79857578782</v>
      </c>
      <c r="E620" s="9">
        <f>IFERROR(__xludf.DUMMYFUNCTION("""COMPUTED_VALUE"""),15000.0)</f>
        <v>15000</v>
      </c>
      <c r="F620" s="6"/>
      <c r="G620" s="10">
        <f>IFERROR(__xludf.DUMMYFUNCTION("""COMPUTED_VALUE"""),15000.0)</f>
        <v>15000</v>
      </c>
      <c r="H620" s="6">
        <f>IFERROR(__xludf.DUMMYFUNCTION("""COMPUTED_VALUE"""),104.99999999999999)</f>
        <v>105</v>
      </c>
      <c r="I620" s="11">
        <f>IFERROR(__xludf.DUMMYFUNCTION("""COMPUTED_VALUE"""),14895.0)</f>
        <v>14895</v>
      </c>
      <c r="J620" s="6" t="str">
        <f>IFERROR(__xludf.DUMMYFUNCTION("""COMPUTED_VALUE"""),"оплатили в QUGO")</f>
        <v>оплатили в QUGO</v>
      </c>
      <c r="K620" s="6"/>
      <c r="L620" s="6">
        <f>IFERROR(__xludf.DUMMYFUNCTION("""COMPUTED_VALUE"""),7.72674121545E11)</f>
        <v>772674121545</v>
      </c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>
        <f>IFERROR(__xludf.DUMMYFUNCTION("""COMPUTED_VALUE"""),2026.0)</f>
        <v>2026</v>
      </c>
      <c r="B621" s="7" t="str">
        <f>IFERROR(__xludf.DUMMYFUNCTION("""COMPUTED_VALUE"""),"16.01-31.01")</f>
        <v>16.01-31.01</v>
      </c>
      <c r="C621" s="8" t="str">
        <f>IFERROR(__xludf.DUMMYFUNCTION("""COMPUTED_VALUE"""),"Солихов Мирзоёкуб")</f>
        <v>Солихов Мирзоёкуб</v>
      </c>
      <c r="D621" s="6" t="str">
        <f>IFERROR(__xludf.DUMMYFUNCTION("""COMPUTED_VALUE"""),"79856342020")</f>
        <v>79856342020</v>
      </c>
      <c r="E621" s="9">
        <f>IFERROR(__xludf.DUMMYFUNCTION("""COMPUTED_VALUE"""),15000.0)</f>
        <v>15000</v>
      </c>
      <c r="F621" s="6"/>
      <c r="G621" s="10">
        <f>IFERROR(__xludf.DUMMYFUNCTION("""COMPUTED_VALUE"""),15000.0)</f>
        <v>15000</v>
      </c>
      <c r="H621" s="6">
        <f>IFERROR(__xludf.DUMMYFUNCTION("""COMPUTED_VALUE"""),104.99999999999999)</f>
        <v>105</v>
      </c>
      <c r="I621" s="11">
        <f>IFERROR(__xludf.DUMMYFUNCTION("""COMPUTED_VALUE"""),14895.0)</f>
        <v>14895</v>
      </c>
      <c r="J621" s="6" t="str">
        <f>IFERROR(__xludf.DUMMYFUNCTION("""COMPUTED_VALUE"""),"оплатили в QUGO")</f>
        <v>оплатили в QUGO</v>
      </c>
      <c r="K621" s="6"/>
      <c r="L621" s="6">
        <f>IFERROR(__xludf.DUMMYFUNCTION("""COMPUTED_VALUE"""),9.72713172982E11)</f>
        <v>972713172982</v>
      </c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>
        <f>IFERROR(__xludf.DUMMYFUNCTION("""COMPUTED_VALUE"""),2026.0)</f>
        <v>2026</v>
      </c>
      <c r="B622" s="7" t="str">
        <f>IFERROR(__xludf.DUMMYFUNCTION("""COMPUTED_VALUE"""),"16.01-31.01")</f>
        <v>16.01-31.01</v>
      </c>
      <c r="C622" s="8" t="str">
        <f>IFERROR(__xludf.DUMMYFUNCTION("""COMPUTED_VALUE"""),"Мухамадиев Нуъмон")</f>
        <v>Мухамадиев Нуъмон</v>
      </c>
      <c r="D622" s="6" t="str">
        <f>IFERROR(__xludf.DUMMYFUNCTION("""COMPUTED_VALUE"""),"79775957136")</f>
        <v>79775957136</v>
      </c>
      <c r="E622" s="9">
        <f>IFERROR(__xludf.DUMMYFUNCTION("""COMPUTED_VALUE"""),15000.0)</f>
        <v>15000</v>
      </c>
      <c r="F622" s="6"/>
      <c r="G622" s="10">
        <f>IFERROR(__xludf.DUMMYFUNCTION("""COMPUTED_VALUE"""),15000.0)</f>
        <v>15000</v>
      </c>
      <c r="H622" s="6">
        <f>IFERROR(__xludf.DUMMYFUNCTION("""COMPUTED_VALUE"""),104.99999999999999)</f>
        <v>105</v>
      </c>
      <c r="I622" s="11">
        <f>IFERROR(__xludf.DUMMYFUNCTION("""COMPUTED_VALUE"""),14895.0)</f>
        <v>14895</v>
      </c>
      <c r="J622" s="6" t="str">
        <f>IFERROR(__xludf.DUMMYFUNCTION("""COMPUTED_VALUE"""),"оплатили в QUGO")</f>
        <v>оплатили в QUGO</v>
      </c>
      <c r="K622" s="6"/>
      <c r="L622" s="6">
        <f>IFERROR(__xludf.DUMMYFUNCTION("""COMPUTED_VALUE"""),7.71479794633E11)</f>
        <v>771479794633</v>
      </c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7"/>
      <c r="C623" s="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7"/>
      <c r="C624" s="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7"/>
      <c r="C625" s="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7"/>
      <c r="C626" s="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7"/>
      <c r="C627" s="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7"/>
      <c r="C628" s="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7"/>
      <c r="C629" s="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7"/>
      <c r="C630" s="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7"/>
      <c r="C631" s="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7"/>
      <c r="C632" s="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7"/>
      <c r="C633" s="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7"/>
      <c r="C634" s="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7"/>
      <c r="C635" s="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7"/>
      <c r="C636" s="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7"/>
      <c r="C637" s="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7"/>
      <c r="C638" s="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7"/>
      <c r="C639" s="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7"/>
      <c r="C640" s="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7"/>
      <c r="C641" s="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7"/>
      <c r="C642" s="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7"/>
      <c r="C643" s="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7"/>
      <c r="C644" s="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7"/>
      <c r="C645" s="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7"/>
      <c r="C646" s="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7"/>
      <c r="C647" s="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7"/>
      <c r="C648" s="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7"/>
      <c r="C649" s="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7"/>
      <c r="C650" s="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7"/>
      <c r="C651" s="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7"/>
      <c r="C652" s="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7"/>
      <c r="C653" s="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7"/>
      <c r="C654" s="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7"/>
      <c r="C655" s="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7"/>
      <c r="C656" s="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7"/>
      <c r="C657" s="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7"/>
      <c r="C658" s="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7"/>
      <c r="C659" s="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7"/>
      <c r="C660" s="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7"/>
      <c r="C661" s="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7"/>
      <c r="C662" s="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7"/>
      <c r="C663" s="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7"/>
      <c r="C664" s="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7"/>
      <c r="C665" s="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7"/>
      <c r="C666" s="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7"/>
      <c r="C667" s="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7"/>
      <c r="C668" s="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7"/>
      <c r="C669" s="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7"/>
      <c r="C670" s="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7"/>
      <c r="C671" s="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7"/>
      <c r="C672" s="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7"/>
      <c r="C673" s="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7"/>
      <c r="C674" s="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7"/>
      <c r="C675" s="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7"/>
      <c r="C676" s="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7"/>
      <c r="C677" s="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7"/>
      <c r="C678" s="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7"/>
      <c r="C679" s="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7"/>
      <c r="C680" s="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7"/>
      <c r="C681" s="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7"/>
      <c r="C682" s="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7"/>
      <c r="C683" s="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7"/>
      <c r="C684" s="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7"/>
      <c r="C685" s="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7"/>
      <c r="C686" s="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7"/>
      <c r="C687" s="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7"/>
      <c r="C688" s="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7"/>
      <c r="C689" s="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7"/>
      <c r="C690" s="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7"/>
      <c r="C691" s="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7"/>
      <c r="C692" s="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7"/>
      <c r="C693" s="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7"/>
      <c r="C694" s="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7"/>
      <c r="C695" s="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7"/>
      <c r="C696" s="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7"/>
      <c r="C697" s="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7"/>
      <c r="C698" s="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7"/>
      <c r="C699" s="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7"/>
      <c r="C700" s="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7"/>
      <c r="C701" s="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7"/>
      <c r="C702" s="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7"/>
      <c r="C703" s="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7"/>
      <c r="C704" s="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7"/>
      <c r="C705" s="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7"/>
      <c r="C706" s="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7"/>
      <c r="C707" s="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7"/>
      <c r="C708" s="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7"/>
      <c r="C709" s="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7"/>
      <c r="C710" s="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7"/>
      <c r="C711" s="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7"/>
      <c r="C712" s="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7"/>
      <c r="C713" s="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7"/>
      <c r="C714" s="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7"/>
      <c r="C715" s="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7"/>
      <c r="C716" s="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7"/>
      <c r="C717" s="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7"/>
      <c r="C718" s="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7"/>
      <c r="C719" s="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7"/>
      <c r="C720" s="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7"/>
      <c r="C721" s="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7"/>
      <c r="C722" s="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7"/>
      <c r="C723" s="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7"/>
      <c r="C724" s="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7"/>
      <c r="C725" s="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7"/>
      <c r="C726" s="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7"/>
      <c r="C727" s="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7"/>
      <c r="C728" s="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7"/>
      <c r="C729" s="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7"/>
      <c r="C730" s="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7"/>
      <c r="C731" s="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7"/>
      <c r="C732" s="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7"/>
      <c r="C733" s="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7"/>
      <c r="C734" s="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7"/>
      <c r="C735" s="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7"/>
      <c r="C736" s="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7"/>
      <c r="C737" s="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7"/>
      <c r="C738" s="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7"/>
      <c r="C739" s="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7"/>
      <c r="C740" s="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7"/>
      <c r="C741" s="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7"/>
      <c r="C742" s="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7"/>
      <c r="C743" s="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7"/>
      <c r="C744" s="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7"/>
      <c r="C745" s="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7"/>
      <c r="C746" s="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7"/>
      <c r="C747" s="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7"/>
      <c r="C748" s="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7"/>
      <c r="C749" s="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7"/>
      <c r="C750" s="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7"/>
      <c r="C751" s="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7"/>
      <c r="C752" s="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7"/>
      <c r="C753" s="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7"/>
      <c r="C754" s="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7"/>
      <c r="C755" s="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7"/>
      <c r="C756" s="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7"/>
      <c r="C757" s="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7"/>
      <c r="C758" s="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7"/>
      <c r="C759" s="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7"/>
      <c r="C760" s="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7"/>
      <c r="C761" s="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7"/>
      <c r="C762" s="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7"/>
      <c r="C763" s="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7"/>
      <c r="C764" s="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7"/>
      <c r="C765" s="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7"/>
      <c r="C766" s="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7"/>
      <c r="C767" s="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7"/>
      <c r="C768" s="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7"/>
      <c r="C769" s="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7"/>
      <c r="C770" s="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7"/>
      <c r="C771" s="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7"/>
      <c r="C772" s="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7"/>
      <c r="C773" s="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7"/>
      <c r="C774" s="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7"/>
      <c r="C775" s="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7"/>
      <c r="C776" s="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7"/>
      <c r="C777" s="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7"/>
      <c r="C778" s="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7"/>
      <c r="C779" s="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7"/>
      <c r="C780" s="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7"/>
      <c r="C781" s="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7"/>
      <c r="C782" s="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7"/>
      <c r="C783" s="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7"/>
      <c r="C784" s="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7"/>
      <c r="C785" s="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7"/>
      <c r="C786" s="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7"/>
      <c r="C787" s="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7"/>
      <c r="C788" s="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7"/>
      <c r="C789" s="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7"/>
      <c r="C790" s="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7"/>
      <c r="C791" s="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7"/>
      <c r="C792" s="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7"/>
      <c r="C793" s="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7"/>
      <c r="C794" s="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7"/>
      <c r="C795" s="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7"/>
      <c r="C796" s="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7"/>
      <c r="C797" s="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7"/>
      <c r="C798" s="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7"/>
      <c r="C799" s="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7"/>
      <c r="C800" s="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7"/>
      <c r="C801" s="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7"/>
      <c r="C802" s="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7"/>
      <c r="C803" s="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7"/>
      <c r="C804" s="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7"/>
      <c r="C805" s="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7"/>
      <c r="C806" s="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7"/>
      <c r="C807" s="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7"/>
      <c r="C808" s="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7"/>
      <c r="C809" s="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7"/>
      <c r="C810" s="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7"/>
      <c r="C811" s="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7"/>
      <c r="C812" s="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7"/>
      <c r="C813" s="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7"/>
      <c r="C814" s="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7"/>
      <c r="C815" s="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7"/>
      <c r="C816" s="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7"/>
      <c r="C817" s="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7"/>
      <c r="C818" s="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7"/>
      <c r="C819" s="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7"/>
      <c r="C820" s="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7"/>
      <c r="C821" s="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7"/>
      <c r="C822" s="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7"/>
      <c r="C823" s="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7"/>
      <c r="C824" s="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7"/>
      <c r="C825" s="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7"/>
      <c r="C826" s="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7"/>
      <c r="C827" s="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7"/>
      <c r="C828" s="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7"/>
      <c r="C829" s="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7"/>
      <c r="C830" s="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7"/>
      <c r="C831" s="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7"/>
      <c r="C832" s="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7"/>
      <c r="C833" s="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7"/>
      <c r="C834" s="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7"/>
      <c r="C835" s="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7"/>
      <c r="C836" s="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7"/>
      <c r="C837" s="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7"/>
      <c r="C838" s="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7"/>
      <c r="C839" s="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7"/>
      <c r="C840" s="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7"/>
      <c r="C841" s="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7"/>
      <c r="C842" s="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7"/>
      <c r="C843" s="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7"/>
      <c r="C844" s="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7"/>
      <c r="C845" s="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7"/>
      <c r="C846" s="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7"/>
      <c r="C847" s="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7"/>
      <c r="C848" s="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7"/>
      <c r="C849" s="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7"/>
      <c r="C850" s="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7"/>
      <c r="C851" s="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7"/>
      <c r="C852" s="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7"/>
      <c r="C853" s="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7"/>
      <c r="C854" s="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7"/>
      <c r="C855" s="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7"/>
      <c r="C856" s="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7"/>
      <c r="C857" s="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7"/>
      <c r="C858" s="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7"/>
      <c r="C859" s="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7"/>
      <c r="C860" s="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7"/>
      <c r="C861" s="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7"/>
      <c r="C862" s="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7"/>
      <c r="C863" s="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7"/>
      <c r="C864" s="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7"/>
      <c r="C865" s="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7"/>
      <c r="C866" s="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7"/>
      <c r="C867" s="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7"/>
      <c r="C868" s="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7"/>
      <c r="C869" s="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7"/>
      <c r="C870" s="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7"/>
      <c r="C871" s="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7"/>
      <c r="C872" s="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7"/>
      <c r="C873" s="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7"/>
      <c r="C874" s="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7"/>
      <c r="C875" s="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7"/>
      <c r="C876" s="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7"/>
      <c r="C877" s="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7"/>
      <c r="C878" s="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7"/>
      <c r="C879" s="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7"/>
      <c r="C880" s="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7"/>
      <c r="C881" s="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7"/>
      <c r="C882" s="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7"/>
      <c r="C883" s="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7"/>
      <c r="C884" s="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7"/>
      <c r="C885" s="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7"/>
      <c r="C886" s="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7"/>
      <c r="C887" s="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7"/>
      <c r="C888" s="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7"/>
      <c r="C889" s="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7"/>
      <c r="C890" s="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7"/>
      <c r="C891" s="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7"/>
      <c r="C892" s="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7"/>
      <c r="C893" s="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7"/>
      <c r="C894" s="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7"/>
      <c r="C895" s="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7"/>
      <c r="C896" s="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7"/>
      <c r="C897" s="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7"/>
      <c r="C898" s="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7"/>
      <c r="C899" s="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7"/>
      <c r="C900" s="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7"/>
      <c r="C901" s="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7"/>
      <c r="C902" s="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7"/>
      <c r="C903" s="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7"/>
      <c r="C904" s="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7"/>
      <c r="C905" s="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7"/>
      <c r="C906" s="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7"/>
      <c r="C907" s="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7"/>
      <c r="C908" s="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7"/>
      <c r="C909" s="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7"/>
      <c r="C910" s="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7"/>
      <c r="C911" s="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7"/>
      <c r="C912" s="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7"/>
      <c r="C913" s="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7"/>
      <c r="C914" s="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7"/>
      <c r="C915" s="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7"/>
      <c r="C916" s="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7"/>
      <c r="C917" s="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7"/>
      <c r="C918" s="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7"/>
      <c r="C919" s="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7"/>
      <c r="C920" s="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7"/>
      <c r="C921" s="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7"/>
      <c r="C922" s="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7"/>
      <c r="C923" s="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7"/>
      <c r="C924" s="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7"/>
      <c r="C925" s="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7"/>
      <c r="C926" s="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7"/>
      <c r="C927" s="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7"/>
      <c r="C928" s="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7"/>
      <c r="C929" s="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7"/>
      <c r="C930" s="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7"/>
      <c r="C931" s="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7"/>
      <c r="C932" s="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7"/>
      <c r="C933" s="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7"/>
      <c r="C934" s="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7"/>
      <c r="C935" s="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7"/>
      <c r="C936" s="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7"/>
      <c r="C937" s="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7"/>
      <c r="C938" s="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7"/>
      <c r="C939" s="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7"/>
      <c r="C940" s="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7"/>
      <c r="C941" s="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7"/>
      <c r="C942" s="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7"/>
      <c r="C943" s="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7"/>
      <c r="C944" s="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7"/>
      <c r="C945" s="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7"/>
      <c r="C946" s="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7"/>
      <c r="C947" s="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7"/>
      <c r="C948" s="8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7"/>
      <c r="C949" s="8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7"/>
      <c r="C950" s="8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7"/>
      <c r="C951" s="8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7"/>
      <c r="C952" s="8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7"/>
      <c r="C953" s="8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7"/>
      <c r="C954" s="8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7"/>
      <c r="C955" s="8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7"/>
      <c r="C956" s="8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7"/>
      <c r="C957" s="8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7"/>
      <c r="C958" s="8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7"/>
      <c r="C959" s="8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7"/>
      <c r="C960" s="8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7"/>
      <c r="C961" s="8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7"/>
      <c r="C962" s="8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7"/>
      <c r="C963" s="8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7"/>
      <c r="C964" s="8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7"/>
      <c r="C965" s="8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7"/>
      <c r="C966" s="8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7"/>
      <c r="C967" s="8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7"/>
      <c r="C968" s="8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7"/>
      <c r="C969" s="8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7"/>
      <c r="C970" s="8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7"/>
      <c r="C971" s="8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7"/>
      <c r="C972" s="8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7"/>
      <c r="C973" s="8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7"/>
      <c r="C974" s="8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7"/>
      <c r="C975" s="8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7"/>
      <c r="C976" s="8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7"/>
      <c r="C977" s="8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7"/>
      <c r="C978" s="8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7"/>
      <c r="C979" s="8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7"/>
      <c r="C980" s="8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7"/>
      <c r="C981" s="8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7"/>
      <c r="C982" s="8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7"/>
      <c r="C983" s="8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7"/>
      <c r="C984" s="8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7"/>
      <c r="C985" s="8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7"/>
      <c r="C986" s="8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7"/>
      <c r="C987" s="8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7"/>
      <c r="C988" s="8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7"/>
      <c r="C989" s="8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7"/>
      <c r="C990" s="8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7"/>
      <c r="C991" s="8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7"/>
      <c r="C992" s="8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7"/>
      <c r="C993" s="8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7"/>
      <c r="C994" s="8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7"/>
      <c r="C995" s="8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7"/>
      <c r="C996" s="8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7"/>
      <c r="C997" s="8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7"/>
      <c r="C998" s="8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7.63"/>
    <col customWidth="1" min="3" max="3" width="17.13"/>
    <col customWidth="1" min="4" max="4" width="13.88"/>
    <col customWidth="1" min="5" max="5" width="26.75"/>
    <col customWidth="1" min="6" max="6" width="26.0"/>
    <col customWidth="1" min="7" max="7" width="17.25"/>
    <col customWidth="1" min="8" max="8" width="11.75"/>
    <col customWidth="1" min="9" max="9" width="12.13"/>
    <col customWidth="1" min="10" max="10" width="12.0"/>
    <col customWidth="1" min="11" max="11" width="12.63"/>
    <col customWidth="1" min="12" max="12" width="18.25"/>
    <col customWidth="1" min="13" max="13" width="18.5"/>
    <col customWidth="1" min="14" max="14" width="18.38"/>
    <col customWidth="1" min="15" max="15" width="12.75"/>
    <col customWidth="1" min="16" max="16" width="16.75"/>
    <col customWidth="1" min="17" max="17" width="36.25"/>
    <col customWidth="1" min="18" max="18" width="32.5"/>
    <col customWidth="1" min="19" max="19" width="11.0"/>
    <col customWidth="1" min="20" max="20" width="37.5"/>
    <col customWidth="1" min="21" max="21" width="59.5"/>
    <col customWidth="1" min="22" max="22" width="23.25"/>
    <col customWidth="1" min="23" max="23" width="16.38"/>
    <col customWidth="1" min="24" max="24" width="20.75"/>
    <col customWidth="1" min="25" max="25" width="68.63"/>
    <col customWidth="1" min="26" max="26" width="6.5"/>
    <col customWidth="1" min="27" max="27" width="11.38"/>
    <col customWidth="1" min="28" max="37" width="13.13"/>
  </cols>
  <sheetData>
    <row r="1">
      <c r="A1" s="12" t="str">
        <f>IFERROR(__xludf.DUMMYFUNCTION("QUERY( IMPORTRANGE( ""1dvQIpdY6vGVBaIjeeT2HvukHFZIEN9nNi2zABd8Cyjk"", ""Чайхана!A1:AA""))"),"Статус")</f>
        <v>Статус</v>
      </c>
      <c r="B1" s="13" t="str">
        <f>IFERROR(__xludf.DUMMYFUNCTION("""COMPUTED_VALUE"""),"Проект")</f>
        <v>Проект</v>
      </c>
      <c r="C1" s="13" t="str">
        <f>IFERROR(__xludf.DUMMYFUNCTION("""COMPUTED_VALUE"""),"Город")</f>
        <v>Город</v>
      </c>
      <c r="D1" s="13" t="str">
        <f>IFERROR(__xludf.DUMMYFUNCTION("""COMPUTED_VALUE"""),"Должность")</f>
        <v>Должность</v>
      </c>
      <c r="E1" s="13" t="str">
        <f>IFERROR(__xludf.DUMMYFUNCTION("""COMPUTED_VALUE"""),"Ресторан")</f>
        <v>Ресторан</v>
      </c>
      <c r="F1" s="13" t="str">
        <f>IFERROR(__xludf.DUMMYFUNCTION("""COMPUTED_VALUE"""),"Комментарий")</f>
        <v>Комментарий</v>
      </c>
      <c r="G1" s="13" t="str">
        <f>IFERROR(__xludf.DUMMYFUNCTION("""COMPUTED_VALUE"""),"Дата проверки в РКЛ")</f>
        <v>Дата проверки в РКЛ</v>
      </c>
      <c r="H1" s="13" t="str">
        <f>IFERROR(__xludf.DUMMYFUNCTION("""COMPUTED_VALUE"""),"Отпуск")</f>
        <v>Отпуск</v>
      </c>
      <c r="I1" s="13" t="str">
        <f>IFERROR(__xludf.DUMMYFUNCTION("""COMPUTED_VALUE"""),"ИНН")</f>
        <v>ИНН</v>
      </c>
      <c r="J1" s="13" t="str">
        <f>IFERROR(__xludf.DUMMYFUNCTION("""COMPUTED_VALUE"""),"серия патента")</f>
        <v>серия патента</v>
      </c>
      <c r="K1" s="13" t="str">
        <f>IFERROR(__xludf.DUMMYFUNCTION("""COMPUTED_VALUE"""),"Номер патента")</f>
        <v>Номер патента</v>
      </c>
      <c r="L1" s="14" t="str">
        <f>IFERROR(__xludf.DUMMYFUNCTION("""COMPUTED_VALUE"""),"Серия бланка патента")</f>
        <v>Серия бланка патента</v>
      </c>
      <c r="M1" s="13" t="str">
        <f>IFERROR(__xludf.DUMMYFUNCTION("""COMPUTED_VALUE"""),"Номер бланка патента")</f>
        <v>Номер бланка патента</v>
      </c>
      <c r="N1" s="13" t="str">
        <f>IFERROR(__xludf.DUMMYFUNCTION("""COMPUTED_VALUE"""),"Дата выдачи паспорта")</f>
        <v>Дата выдачи паспорта</v>
      </c>
      <c r="O1" s="13" t="str">
        <f>IFERROR(__xludf.DUMMYFUNCTION("""COMPUTED_VALUE"""),"Дата рождения")</f>
        <v>Дата рождения</v>
      </c>
      <c r="P1" s="13" t="str">
        <f>IFERROR(__xludf.DUMMYFUNCTION("""COMPUTED_VALUE"""),"Паспортные данные")</f>
        <v>Паспортные данные</v>
      </c>
      <c r="Q1" s="13" t="str">
        <f>IFERROR(__xludf.DUMMYFUNCTION("""COMPUTED_VALUE"""),"ФИО")</f>
        <v>ФИО</v>
      </c>
      <c r="R1" s="13" t="str">
        <f>IFERROR(__xludf.DUMMYFUNCTION("""COMPUTED_VALUE"""),"Номер телефона формат (70000000000)")</f>
        <v>Номер телефона формат (70000000000)</v>
      </c>
      <c r="S1" s="13" t="str">
        <f>IFERROR(__xludf.DUMMYFUNCTION("""COMPUTED_VALUE"""),"Граждансво")</f>
        <v>Граждансво</v>
      </c>
      <c r="T1" s="13" t="str">
        <f>IFERROR(__xludf.DUMMYFUNCTION("""COMPUTED_VALUE"""),"Ссылка на полный пакет документов")</f>
        <v>Ссылка на полный пакет документов</v>
      </c>
      <c r="U1" s="13" t="str">
        <f>IFERROR(__xludf.DUMMYFUNCTION("""COMPUTED_VALUE"""),"Проблемы (отсутствующие документы или документы с плохим качеством)")</f>
        <v>Проблемы (отсутствующие документы или документы с плохим качеством)</v>
      </c>
      <c r="V1" s="13" t="str">
        <f>IFERROR(__xludf.DUMMYFUNCTION("""COMPUTED_VALUE"""),"Регистрация дата окончания")</f>
        <v>Регистрация дата окончания</v>
      </c>
      <c r="W1" s="13" t="str">
        <f>IFERROR(__xludf.DUMMYFUNCTION("""COMPUTED_VALUE"""),"патент дата выдачи")</f>
        <v>патент дата выдачи</v>
      </c>
      <c r="X1" s="13" t="str">
        <f>IFERROR(__xludf.DUMMYFUNCTION("""COMPUTED_VALUE"""),"договор дата заключения")</f>
        <v>договор дата заключения</v>
      </c>
      <c r="Y1" s="13" t="str">
        <f>IFERROR(__xludf.DUMMYFUNCTION("""COMPUTED_VALUE"""),"ссылка на договор")</f>
        <v>ссылка на договор</v>
      </c>
      <c r="Z1" s="13" t="str">
        <f>IFERROR(__xludf.DUMMYFUNCTION("""COMPUTED_VALUE"""),"Уволен
(дата)")</f>
        <v>Уволен
(дата)</v>
      </c>
      <c r="AA1" s="13" t="str">
        <f>IFERROR(__xludf.DUMMYFUNCTION("""COMPUTED_VALUE"""),"ИП Договоры")</f>
        <v>ИП Договоры</v>
      </c>
    </row>
    <row r="2">
      <c r="A2" s="13" t="str">
        <f>IFERROR(__xludf.DUMMYFUNCTION("""COMPUTED_VALUE"""),"В обработке")</f>
        <v>В обработке</v>
      </c>
      <c r="B2" s="13" t="str">
        <f>IFERROR(__xludf.DUMMYFUNCTION("""COMPUTED_VALUE"""),"Чайхана")</f>
        <v>Чайхана</v>
      </c>
      <c r="C2" s="13" t="str">
        <f>IFERROR(__xludf.DUMMYFUNCTION("""COMPUTED_VALUE"""),"Москва")</f>
        <v>Москва</v>
      </c>
      <c r="D2" s="13" t="str">
        <f>IFERROR(__xludf.DUMMYFUNCTION("""COMPUTED_VALUE"""),"Кассир")</f>
        <v>Кассир</v>
      </c>
      <c r="E2" s="13" t="str">
        <f>IFERROR(__xludf.DUMMYFUNCTION("""COMPUTED_VALUE"""),"Бутырская 89 стр 2")</f>
        <v>Бутырская 89 стр 2</v>
      </c>
      <c r="F2" s="13"/>
      <c r="G2" s="15"/>
      <c r="H2" s="13"/>
      <c r="I2" s="13">
        <f>IFERROR(__xludf.DUMMYFUNCTION("""COMPUTED_VALUE"""),7.72278292233E11)</f>
        <v>772278292233</v>
      </c>
      <c r="J2" s="13">
        <f>IFERROR(__xludf.DUMMYFUNCTION("""COMPUTED_VALUE"""),77.0)</f>
        <v>77</v>
      </c>
      <c r="K2" s="13">
        <f>IFERROR(__xludf.DUMMYFUNCTION("""COMPUTED_VALUE"""),2.60000724E9)</f>
        <v>2600007240</v>
      </c>
      <c r="L2" s="14" t="str">
        <f>IFERROR(__xludf.DUMMYFUNCTION("""COMPUTED_VALUE"""),"ПР")</f>
        <v>ПР</v>
      </c>
      <c r="M2" s="13">
        <f>IFERROR(__xludf.DUMMYFUNCTION("""COMPUTED_VALUE"""),6765185.0)</f>
        <v>6765185</v>
      </c>
      <c r="N2" s="15">
        <f>IFERROR(__xludf.DUMMYFUNCTION("""COMPUTED_VALUE"""),44551.0)</f>
        <v>44551</v>
      </c>
      <c r="O2" s="15">
        <f>IFERROR(__xludf.DUMMYFUNCTION("""COMPUTED_VALUE"""),29943.0)</f>
        <v>29943</v>
      </c>
      <c r="P2" s="13" t="str">
        <f>IFERROR(__xludf.DUMMYFUNCTION("""COMPUTED_VALUE"""),"403771462")</f>
        <v>403771462</v>
      </c>
      <c r="Q2" s="13" t="str">
        <f>IFERROR(__xludf.DUMMYFUNCTION("""COMPUTED_VALUE"""),"Мавлянова Умеда Яздонкуловна")</f>
        <v>Мавлянова Умеда Яздонкуловна</v>
      </c>
      <c r="R2" s="13" t="str">
        <f>IFERROR(__xludf.DUMMYFUNCTION("""COMPUTED_VALUE"""),"79259726004")</f>
        <v>79259726004</v>
      </c>
      <c r="S2" s="13" t="str">
        <f>IFERROR(__xludf.DUMMYFUNCTION("""COMPUTED_VALUE"""),"Таджикистан")</f>
        <v>Таджикистан</v>
      </c>
      <c r="T2" s="16" t="str">
        <f>IFERROR(__xludf.DUMMYFUNCTION("""COMPUTED_VALUE"""),"https://disk.360.yandex.ru/d/_O8-VjEI1yeHUw")</f>
        <v>https://disk.360.yandex.ru/d/_O8-VjEI1yeHUw</v>
      </c>
      <c r="U2" s="13"/>
      <c r="V2" s="15">
        <f>IFERROR(__xludf.DUMMYFUNCTION("""COMPUTED_VALUE"""),46084.0)</f>
        <v>46084</v>
      </c>
      <c r="W2" s="15">
        <f>IFERROR(__xludf.DUMMYFUNCTION("""COMPUTED_VALUE"""),46037.0)</f>
        <v>46037</v>
      </c>
      <c r="X2" s="15"/>
      <c r="Y2" s="13"/>
      <c r="Z2" s="13"/>
      <c r="AA2" s="13"/>
    </row>
    <row r="3">
      <c r="A3" s="13" t="str">
        <f>IFERROR(__xludf.DUMMYFUNCTION("""COMPUTED_VALUE"""),"На оформлении")</f>
        <v>На оформлении</v>
      </c>
      <c r="B3" s="13" t="str">
        <f>IFERROR(__xludf.DUMMYFUNCTION("""COMPUTED_VALUE"""),"Чайхана")</f>
        <v>Чайхана</v>
      </c>
      <c r="C3" s="13" t="str">
        <f>IFERROR(__xludf.DUMMYFUNCTION("""COMPUTED_VALUE"""),"Москва")</f>
        <v>Москва</v>
      </c>
      <c r="D3" s="13" t="str">
        <f>IFERROR(__xludf.DUMMYFUNCTION("""COMPUTED_VALUE"""),"Повар")</f>
        <v>Повар</v>
      </c>
      <c r="E3" s="13" t="str">
        <f>IFERROR(__xludf.DUMMYFUNCTION("""COMPUTED_VALUE"""),"Бутырская 89 стр 2")</f>
        <v>Бутырская 89 стр 2</v>
      </c>
      <c r="F3" s="13"/>
      <c r="G3" s="15"/>
      <c r="H3" s="13"/>
      <c r="I3" s="13"/>
      <c r="J3" s="13">
        <f>IFERROR(__xludf.DUMMYFUNCTION("""COMPUTED_VALUE"""),77.0)</f>
        <v>77</v>
      </c>
      <c r="K3" s="13">
        <f>IFERROR(__xludf.DUMMYFUNCTION("""COMPUTED_VALUE"""),2.500631228E9)</f>
        <v>2500631228</v>
      </c>
      <c r="L3" s="14" t="str">
        <f>IFERROR(__xludf.DUMMYFUNCTION("""COMPUTED_VALUE"""),"ПР")</f>
        <v>ПР</v>
      </c>
      <c r="M3" s="13">
        <f>IFERROR(__xludf.DUMMYFUNCTION("""COMPUTED_VALUE"""),6720492.0)</f>
        <v>6720492</v>
      </c>
      <c r="N3" s="15">
        <f>IFERROR(__xludf.DUMMYFUNCTION("""COMPUTED_VALUE"""),44944.0)</f>
        <v>44944</v>
      </c>
      <c r="O3" s="15">
        <f>IFERROR(__xludf.DUMMYFUNCTION("""COMPUTED_VALUE"""),30392.0)</f>
        <v>30392</v>
      </c>
      <c r="P3" s="13" t="str">
        <f>IFERROR(__xludf.DUMMYFUNCTION("""COMPUTED_VALUE"""),"FA7035811")</f>
        <v>FA7035811</v>
      </c>
      <c r="Q3" s="13" t="str">
        <f>IFERROR(__xludf.DUMMYFUNCTION("""COMPUTED_VALUE"""),"Исаков Аббас Обидович")</f>
        <v>Исаков Аббас Обидович</v>
      </c>
      <c r="R3" s="13" t="str">
        <f>IFERROR(__xludf.DUMMYFUNCTION("""COMPUTED_VALUE"""),"79037102625")</f>
        <v>79037102625</v>
      </c>
      <c r="S3" s="13" t="str">
        <f>IFERROR(__xludf.DUMMYFUNCTION("""COMPUTED_VALUE"""),"Узбекистан")</f>
        <v>Узбекистан</v>
      </c>
      <c r="T3" s="16" t="str">
        <f>IFERROR(__xludf.DUMMYFUNCTION("""COMPUTED_VALUE"""),"https://disk.yandex.ru/d/bN13u8E5AtE0BQ")</f>
        <v>https://disk.yandex.ru/d/bN13u8E5AtE0BQ</v>
      </c>
      <c r="U3" s="13" t="str">
        <f>IFERROR(__xludf.DUMMYFUNCTION("""COMPUTED_VALUE"""),"Собран")</f>
        <v>Собран</v>
      </c>
      <c r="V3" s="15">
        <f>IFERROR(__xludf.DUMMYFUNCTION("""COMPUTED_VALUE"""),46088.0)</f>
        <v>46088</v>
      </c>
      <c r="W3" s="15">
        <f>IFERROR(__xludf.DUMMYFUNCTION("""COMPUTED_VALUE"""),45999.0)</f>
        <v>45999</v>
      </c>
      <c r="X3" s="15"/>
      <c r="Y3" s="13"/>
      <c r="Z3" s="13"/>
      <c r="AA3" s="13"/>
    </row>
    <row r="4">
      <c r="A4" s="13" t="str">
        <f>IFERROR(__xludf.DUMMYFUNCTION("""COMPUTED_VALUE"""),"На оформлении")</f>
        <v>На оформлении</v>
      </c>
      <c r="B4" s="13" t="str">
        <f>IFERROR(__xludf.DUMMYFUNCTION("""COMPUTED_VALUE"""),"Чайхана")</f>
        <v>Чайхана</v>
      </c>
      <c r="C4" s="13" t="str">
        <f>IFERROR(__xludf.DUMMYFUNCTION("""COMPUTED_VALUE"""),"Московская Область")</f>
        <v>Московская Область</v>
      </c>
      <c r="D4" s="13" t="str">
        <f>IFERROR(__xludf.DUMMYFUNCTION("""COMPUTED_VALUE"""),"Повар")</f>
        <v>Повар</v>
      </c>
      <c r="E4" s="13" t="str">
        <f>IFERROR(__xludf.DUMMYFUNCTION("""COMPUTED_VALUE"""),"Химки Пролетарская дом 18 ст. 7")</f>
        <v>Химки Пролетарская дом 18 ст. 7</v>
      </c>
      <c r="F4" s="13"/>
      <c r="G4" s="15"/>
      <c r="H4" s="13"/>
      <c r="I4" s="13">
        <f>IFERROR(__xludf.DUMMYFUNCTION("""COMPUTED_VALUE"""),7.75114044276E11)</f>
        <v>775114044276</v>
      </c>
      <c r="J4" s="13">
        <f>IFERROR(__xludf.DUMMYFUNCTION("""COMPUTED_VALUE"""),77.0)</f>
        <v>77</v>
      </c>
      <c r="K4" s="13">
        <f>IFERROR(__xludf.DUMMYFUNCTION("""COMPUTED_VALUE"""),2.600029713E9)</f>
        <v>2600029713</v>
      </c>
      <c r="L4" s="14" t="str">
        <f>IFERROR(__xludf.DUMMYFUNCTION("""COMPUTED_VALUE"""),"ПР")</f>
        <v>ПР</v>
      </c>
      <c r="M4" s="13">
        <f>IFERROR(__xludf.DUMMYFUNCTION("""COMPUTED_VALUE"""),6789363.0)</f>
        <v>6789363</v>
      </c>
      <c r="N4" s="15">
        <f>IFERROR(__xludf.DUMMYFUNCTION("""COMPUTED_VALUE"""),45440.0)</f>
        <v>45440</v>
      </c>
      <c r="O4" s="15">
        <f>IFERROR(__xludf.DUMMYFUNCTION("""COMPUTED_VALUE"""),29487.0)</f>
        <v>29487</v>
      </c>
      <c r="P4" s="13" t="str">
        <f>IFERROR(__xludf.DUMMYFUNCTION("""COMPUTED_VALUE"""),"FA9609082")</f>
        <v>FA9609082</v>
      </c>
      <c r="Q4" s="13" t="str">
        <f>IFERROR(__xludf.DUMMYFUNCTION("""COMPUTED_VALUE"""),"Ибрахимов Элбек Алижанович")</f>
        <v>Ибрахимов Элбек Алижанович</v>
      </c>
      <c r="R4" s="13" t="str">
        <f>IFERROR(__xludf.DUMMYFUNCTION("""COMPUTED_VALUE"""),"79638660212")</f>
        <v>79638660212</v>
      </c>
      <c r="S4" s="13" t="str">
        <f>IFERROR(__xludf.DUMMYFUNCTION("""COMPUTED_VALUE"""),"Узбекистан")</f>
        <v>Узбекистан</v>
      </c>
      <c r="T4" s="16" t="str">
        <f>IFERROR(__xludf.DUMMYFUNCTION("""COMPUTED_VALUE"""),"https://disk.yandex.ru/d/0QaB3dvr_awm7g")</f>
        <v>https://disk.yandex.ru/d/0QaB3dvr_awm7g</v>
      </c>
      <c r="U4" s="13" t="str">
        <f>IFERROR(__xludf.DUMMYFUNCTION("""COMPUTED_VALUE"""),"Собран")</f>
        <v>Собран</v>
      </c>
      <c r="V4" s="15">
        <f>IFERROR(__xludf.DUMMYFUNCTION("""COMPUTED_VALUE"""),46072.0)</f>
        <v>46072</v>
      </c>
      <c r="W4" s="15">
        <f>IFERROR(__xludf.DUMMYFUNCTION("""COMPUTED_VALUE"""),46052.0)</f>
        <v>46052</v>
      </c>
      <c r="X4" s="15"/>
      <c r="Y4" s="13"/>
      <c r="Z4" s="13"/>
      <c r="AA4" s="13"/>
    </row>
    <row r="5">
      <c r="A5" s="13" t="str">
        <f>IFERROR(__xludf.DUMMYFUNCTION("""COMPUTED_VALUE"""),"На оформлении")</f>
        <v>На оформлении</v>
      </c>
      <c r="B5" s="13" t="str">
        <f>IFERROR(__xludf.DUMMYFUNCTION("""COMPUTED_VALUE"""),"Чайхана")</f>
        <v>Чайхана</v>
      </c>
      <c r="C5" s="13" t="str">
        <f>IFERROR(__xludf.DUMMYFUNCTION("""COMPUTED_VALUE"""),"Москва")</f>
        <v>Москва</v>
      </c>
      <c r="D5" s="13" t="str">
        <f>IFERROR(__xludf.DUMMYFUNCTION("""COMPUTED_VALUE"""),"Кассир")</f>
        <v>Кассир</v>
      </c>
      <c r="E5" s="13" t="str">
        <f>IFERROR(__xludf.DUMMYFUNCTION("""COMPUTED_VALUE"""),"Бутырская 89 стр 2")</f>
        <v>Бутырская 89 стр 2</v>
      </c>
      <c r="F5" s="13" t="str">
        <f>IFERROR(__xludf.DUMMYFUNCTION("""COMPUTED_VALUE"""),"подан")</f>
        <v>подан</v>
      </c>
      <c r="G5" s="15"/>
      <c r="H5" s="13"/>
      <c r="I5" s="13">
        <f>IFERROR(__xludf.DUMMYFUNCTION("""COMPUTED_VALUE"""),7.73585885004E11)</f>
        <v>773585885004</v>
      </c>
      <c r="J5" s="13">
        <f>IFERROR(__xludf.DUMMYFUNCTION("""COMPUTED_VALUE"""),50.0)</f>
        <v>50</v>
      </c>
      <c r="K5" s="13">
        <f>IFERROR(__xludf.DUMMYFUNCTION("""COMPUTED_VALUE"""),2.500354874E9)</f>
        <v>2500354874</v>
      </c>
      <c r="L5" s="14" t="str">
        <f>IFERROR(__xludf.DUMMYFUNCTION("""COMPUTED_VALUE"""),"ПР")</f>
        <v>ПР</v>
      </c>
      <c r="M5" s="13">
        <f>IFERROR(__xludf.DUMMYFUNCTION("""COMPUTED_VALUE"""),6665744.0)</f>
        <v>6665744</v>
      </c>
      <c r="N5" s="15">
        <f>IFERROR(__xludf.DUMMYFUNCTION("""COMPUTED_VALUE"""),43797.0)</f>
        <v>43797</v>
      </c>
      <c r="O5" s="15">
        <f>IFERROR(__xludf.DUMMYFUNCTION("""COMPUTED_VALUE"""),35019.0)</f>
        <v>35019</v>
      </c>
      <c r="P5" s="13" t="str">
        <f>IFERROR(__xludf.DUMMYFUNCTION("""COMPUTED_VALUE"""),"FA0893043")</f>
        <v>FA0893043</v>
      </c>
      <c r="Q5" s="13" t="str">
        <f>IFERROR(__xludf.DUMMYFUNCTION("""COMPUTED_VALUE"""),"Улугхожаев Абдулазизхон Анасхон Угли")</f>
        <v>Улугхожаев Абдулазизхон Анасхон Угли</v>
      </c>
      <c r="R5" s="13" t="str">
        <f>IFERROR(__xludf.DUMMYFUNCTION("""COMPUTED_VALUE"""),"79997132829")</f>
        <v>79997132829</v>
      </c>
      <c r="S5" s="13" t="str">
        <f>IFERROR(__xludf.DUMMYFUNCTION("""COMPUTED_VALUE"""),"Узбекистан")</f>
        <v>Узбекистан</v>
      </c>
      <c r="T5" s="16" t="str">
        <f>IFERROR(__xludf.DUMMYFUNCTION("""COMPUTED_VALUE"""),"https://disk.yandex.ru/d/9EgHU13zopmsnw")</f>
        <v>https://disk.yandex.ru/d/9EgHU13zopmsnw</v>
      </c>
      <c r="U5" s="13" t="str">
        <f>IFERROR(__xludf.DUMMYFUNCTION("""COMPUTED_VALUE"""),"Собран")</f>
        <v>Собран</v>
      </c>
      <c r="V5" s="15">
        <f>IFERROR(__xludf.DUMMYFUNCTION("""COMPUTED_VALUE"""),46051.0)</f>
        <v>46051</v>
      </c>
      <c r="W5" s="15">
        <f>IFERROR(__xludf.DUMMYFUNCTION("""COMPUTED_VALUE"""),45916.0)</f>
        <v>45916</v>
      </c>
      <c r="X5" s="15"/>
      <c r="Y5" s="13"/>
      <c r="Z5" s="13"/>
      <c r="AA5" s="13"/>
    </row>
    <row r="6">
      <c r="A6" s="13" t="str">
        <f>IFERROR(__xludf.DUMMYFUNCTION("""COMPUTED_VALUE"""),"На оформлении")</f>
        <v>На оформлении</v>
      </c>
      <c r="B6" s="13" t="str">
        <f>IFERROR(__xludf.DUMMYFUNCTION("""COMPUTED_VALUE"""),"Чайхана")</f>
        <v>Чайхана</v>
      </c>
      <c r="C6" s="13" t="str">
        <f>IFERROR(__xludf.DUMMYFUNCTION("""COMPUTED_VALUE"""),"Москва")</f>
        <v>Москва</v>
      </c>
      <c r="D6" s="13" t="str">
        <f>IFERROR(__xludf.DUMMYFUNCTION("""COMPUTED_VALUE"""),"Посудомойщица")</f>
        <v>Посудомойщица</v>
      </c>
      <c r="E6" s="13" t="str">
        <f>IFERROR(__xludf.DUMMYFUNCTION("""COMPUTED_VALUE"""),"Бутырская 89 стр 2")</f>
        <v>Бутырская 89 стр 2</v>
      </c>
      <c r="F6" s="13" t="str">
        <f>IFERROR(__xludf.DUMMYFUNCTION("""COMPUTED_VALUE"""),"ПЕРЕОФОРМЛЕНИЕ")</f>
        <v>ПЕРЕОФОРМЛЕНИЕ</v>
      </c>
      <c r="G6" s="15"/>
      <c r="H6" s="13"/>
      <c r="I6" s="13">
        <f>IFERROR(__xludf.DUMMYFUNCTION("""COMPUTED_VALUE"""),7.81160795068E11)</f>
        <v>781160795068</v>
      </c>
      <c r="J6" s="13">
        <f>IFERROR(__xludf.DUMMYFUNCTION("""COMPUTED_VALUE"""),77.0)</f>
        <v>77</v>
      </c>
      <c r="K6" s="13">
        <f>IFERROR(__xludf.DUMMYFUNCTION("""COMPUTED_VALUE"""),2.500606494E9)</f>
        <v>2500606494</v>
      </c>
      <c r="L6" s="14" t="str">
        <f>IFERROR(__xludf.DUMMYFUNCTION("""COMPUTED_VALUE"""),"ПР")</f>
        <v>ПР</v>
      </c>
      <c r="M6" s="13">
        <f>IFERROR(__xludf.DUMMYFUNCTION("""COMPUTED_VALUE"""),6288831.0)</f>
        <v>6288831</v>
      </c>
      <c r="N6" s="15">
        <f>IFERROR(__xludf.DUMMYFUNCTION("""COMPUTED_VALUE"""),44485.0)</f>
        <v>44485</v>
      </c>
      <c r="O6" s="15">
        <f>IFERROR(__xludf.DUMMYFUNCTION("""COMPUTED_VALUE"""),36748.0)</f>
        <v>36748</v>
      </c>
      <c r="P6" s="13" t="str">
        <f>IFERROR(__xludf.DUMMYFUNCTION("""COMPUTED_VALUE"""),"FA4133543")</f>
        <v>FA4133543</v>
      </c>
      <c r="Q6" s="13" t="str">
        <f>IFERROR(__xludf.DUMMYFUNCTION("""COMPUTED_VALUE"""),"Зиятова Комила Жамшид Кизи")</f>
        <v>Зиятова Комила Жамшид Кизи</v>
      </c>
      <c r="R6" s="13" t="str">
        <f>IFERROR(__xludf.DUMMYFUNCTION("""COMPUTED_VALUE"""),"79998253929")</f>
        <v>79998253929</v>
      </c>
      <c r="S6" s="13" t="str">
        <f>IFERROR(__xludf.DUMMYFUNCTION("""COMPUTED_VALUE"""),"Узбекистан")</f>
        <v>Узбекистан</v>
      </c>
      <c r="T6" s="16" t="str">
        <f>IFERROR(__xludf.DUMMYFUNCTION("""COMPUTED_VALUE"""),"https://disk.360.yandex.ru/d/5XTu_zbsz4NZOg")</f>
        <v>https://disk.360.yandex.ru/d/5XTu_zbsz4NZOg</v>
      </c>
      <c r="U6" s="13" t="str">
        <f>IFERROR(__xludf.DUMMYFUNCTION("""COMPUTED_VALUE"""),"Собран")</f>
        <v>Собран</v>
      </c>
      <c r="V6" s="15">
        <f>IFERROR(__xludf.DUMMYFUNCTION("""COMPUTED_VALUE"""),45703.0)</f>
        <v>45703</v>
      </c>
      <c r="W6" s="15">
        <f>IFERROR(__xludf.DUMMYFUNCTION("""COMPUTED_VALUE"""),45982.0)</f>
        <v>45982</v>
      </c>
      <c r="X6" s="15"/>
      <c r="Y6" s="13"/>
      <c r="Z6" s="13"/>
      <c r="AA6" s="13"/>
    </row>
    <row r="7">
      <c r="A7" s="13" t="str">
        <f>IFERROR(__xludf.DUMMYFUNCTION("""COMPUTED_VALUE"""),"На оформлении")</f>
        <v>На оформлении</v>
      </c>
      <c r="B7" s="13" t="str">
        <f>IFERROR(__xludf.DUMMYFUNCTION("""COMPUTED_VALUE"""),"Чайхана")</f>
        <v>Чайхана</v>
      </c>
      <c r="C7" s="13" t="str">
        <f>IFERROR(__xludf.DUMMYFUNCTION("""COMPUTED_VALUE"""),"Москва")</f>
        <v>Москва</v>
      </c>
      <c r="D7" s="13" t="str">
        <f>IFERROR(__xludf.DUMMYFUNCTION("""COMPUTED_VALUE"""),"Повар")</f>
        <v>Повар</v>
      </c>
      <c r="E7" s="13" t="str">
        <f>IFERROR(__xludf.DUMMYFUNCTION("""COMPUTED_VALUE"""),"Часовая 11 стр 2")</f>
        <v>Часовая 11 стр 2</v>
      </c>
      <c r="F7" s="13"/>
      <c r="G7" s="15"/>
      <c r="H7" s="13"/>
      <c r="I7" s="13">
        <f>IFERROR(__xludf.DUMMYFUNCTION("""COMPUTED_VALUE"""),7.72314221022E11)</f>
        <v>772314221022</v>
      </c>
      <c r="J7" s="13">
        <f>IFERROR(__xludf.DUMMYFUNCTION("""COMPUTED_VALUE"""),77.0)</f>
        <v>77</v>
      </c>
      <c r="K7" s="13">
        <f>IFERROR(__xludf.DUMMYFUNCTION("""COMPUTED_VALUE"""),2.600028509E9)</f>
        <v>2600028509</v>
      </c>
      <c r="L7" s="14" t="str">
        <f>IFERROR(__xludf.DUMMYFUNCTION("""COMPUTED_VALUE"""),"ПР")</f>
        <v>ПР</v>
      </c>
      <c r="M7" s="13">
        <f>IFERROR(__xludf.DUMMYFUNCTION("""COMPUTED_VALUE"""),6788705.0)</f>
        <v>6788705</v>
      </c>
      <c r="N7" s="15">
        <f>IFERROR(__xludf.DUMMYFUNCTION("""COMPUTED_VALUE"""),44485.0)</f>
        <v>44485</v>
      </c>
      <c r="O7" s="15">
        <f>IFERROR(__xludf.DUMMYFUNCTION("""COMPUTED_VALUE"""),37041.0)</f>
        <v>37041</v>
      </c>
      <c r="P7" s="13" t="str">
        <f>IFERROR(__xludf.DUMMYFUNCTION("""COMPUTED_VALUE"""),"FA4133642")</f>
        <v>FA4133642</v>
      </c>
      <c r="Q7" s="13" t="str">
        <f>IFERROR(__xludf.DUMMYFUNCTION("""COMPUTED_VALUE"""),"Нематов Рахмонхужа Махаммад Угли")</f>
        <v>Нематов Рахмонхужа Махаммад Угли</v>
      </c>
      <c r="R7" s="13" t="str">
        <f>IFERROR(__xludf.DUMMYFUNCTION("""COMPUTED_VALUE"""),"79855994693")</f>
        <v>79855994693</v>
      </c>
      <c r="S7" s="13" t="str">
        <f>IFERROR(__xludf.DUMMYFUNCTION("""COMPUTED_VALUE"""),"Узбекистан")</f>
        <v>Узбекистан</v>
      </c>
      <c r="T7" s="16" t="str">
        <f>IFERROR(__xludf.DUMMYFUNCTION("""COMPUTED_VALUE"""),"https://disk.360.yandex.ru/d/j9WD1Kg3s3UMFw")</f>
        <v>https://disk.360.yandex.ru/d/j9WD1Kg3s3UMFw</v>
      </c>
      <c r="U7" s="13" t="str">
        <f>IFERROR(__xludf.DUMMYFUNCTION("""COMPUTED_VALUE"""),"Собран")</f>
        <v>Собран</v>
      </c>
      <c r="V7" s="15">
        <f>IFERROR(__xludf.DUMMYFUNCTION("""COMPUTED_VALUE"""),46089.0)</f>
        <v>46089</v>
      </c>
      <c r="W7" s="15">
        <f>IFERROR(__xludf.DUMMYFUNCTION("""COMPUTED_VALUE"""),46052.0)</f>
        <v>46052</v>
      </c>
      <c r="X7" s="15"/>
      <c r="Y7" s="13"/>
      <c r="Z7" s="13"/>
      <c r="AA7" s="13"/>
    </row>
    <row r="8">
      <c r="A8" s="13" t="str">
        <f>IFERROR(__xludf.DUMMYFUNCTION("""COMPUTED_VALUE"""),"Оформлен")</f>
        <v>Оформлен</v>
      </c>
      <c r="B8" s="13" t="str">
        <f>IFERROR(__xludf.DUMMYFUNCTION("""COMPUTED_VALUE"""),"Чайхана")</f>
        <v>Чайхана</v>
      </c>
      <c r="C8" s="13" t="str">
        <f>IFERROR(__xludf.DUMMYFUNCTION("""COMPUTED_VALUE"""),"Москва")</f>
        <v>Москва</v>
      </c>
      <c r="D8" s="13" t="str">
        <f>IFERROR(__xludf.DUMMYFUNCTION("""COMPUTED_VALUE"""),"Менеджер")</f>
        <v>Менеджер</v>
      </c>
      <c r="E8" s="13" t="str">
        <f>IFERROR(__xludf.DUMMYFUNCTION("""COMPUTED_VALUE"""),"Ул. Савеловская линия 9")</f>
        <v>Ул. Савеловская линия 9</v>
      </c>
      <c r="F8" s="13" t="str">
        <f>IFERROR(__xludf.DUMMYFUNCTION("""COMPUTED_VALUE"""),"ВНЖ")</f>
        <v>ВНЖ</v>
      </c>
      <c r="G8" s="15">
        <f>IFERROR(__xludf.DUMMYFUNCTION("""COMPUTED_VALUE"""),46049.0)</f>
        <v>46049</v>
      </c>
      <c r="H8" s="13"/>
      <c r="I8" s="13">
        <f>IFERROR(__xludf.DUMMYFUNCTION("""COMPUTED_VALUE"""),7.60419142561E11)</f>
        <v>760419142561</v>
      </c>
      <c r="J8" s="13"/>
      <c r="K8" s="13"/>
      <c r="L8" s="14"/>
      <c r="M8" s="13"/>
      <c r="N8" s="15">
        <f>IFERROR(__xludf.DUMMYFUNCTION("""COMPUTED_VALUE"""),45825.0)</f>
        <v>45825</v>
      </c>
      <c r="O8" s="15">
        <f>IFERROR(__xludf.DUMMYFUNCTION("""COMPUTED_VALUE"""),34743.0)</f>
        <v>34743</v>
      </c>
      <c r="P8" s="13" t="str">
        <f>IFERROR(__xludf.DUMMYFUNCTION("""COMPUTED_VALUE"""),"406082321")</f>
        <v>406082321</v>
      </c>
      <c r="Q8" s="13" t="str">
        <f>IFERROR(__xludf.DUMMYFUNCTION("""COMPUTED_VALUE"""),"Вахобов Мехроджиддин Махмадович")</f>
        <v>Вахобов Мехроджиддин Махмадович</v>
      </c>
      <c r="R8" s="13" t="str">
        <f>IFERROR(__xludf.DUMMYFUNCTION("""COMPUTED_VALUE"""),"79969262030")</f>
        <v>79969262030</v>
      </c>
      <c r="S8" s="13" t="str">
        <f>IFERROR(__xludf.DUMMYFUNCTION("""COMPUTED_VALUE"""),"Таджикистан")</f>
        <v>Таджикистан</v>
      </c>
      <c r="T8" s="16" t="str">
        <f>IFERROR(__xludf.DUMMYFUNCTION("""COMPUTED_VALUE"""),"https://disk.360.yandex.ru/d/-xoIiUJdpnhsYA")</f>
        <v>https://disk.360.yandex.ru/d/-xoIiUJdpnhsYA</v>
      </c>
      <c r="U8" s="13" t="str">
        <f>IFERROR(__xludf.DUMMYFUNCTION("""COMPUTED_VALUE"""),"прописка")</f>
        <v>прописка</v>
      </c>
      <c r="V8" s="15">
        <f>IFERROR(__xludf.DUMMYFUNCTION("""COMPUTED_VALUE"""),45992.0)</f>
        <v>45992</v>
      </c>
      <c r="W8" s="15"/>
      <c r="X8" s="15">
        <f>IFERROR(__xludf.DUMMYFUNCTION("""COMPUTED_VALUE"""),45979.0)</f>
        <v>45979</v>
      </c>
      <c r="Y8" s="16" t="str">
        <f>IFERROR(__xludf.DUMMYFUNCTION("""COMPUTED_VALUE"""),"https://disk.yandex.ru/d/v5Jqw5CFqxTrJw")</f>
        <v>https://disk.yandex.ru/d/v5Jqw5CFqxTrJw</v>
      </c>
      <c r="Z8" s="13"/>
      <c r="AA8" s="13"/>
    </row>
    <row r="9">
      <c r="A9" s="13" t="str">
        <f>IFERROR(__xludf.DUMMYFUNCTION("""COMPUTED_VALUE"""),"Оформлен")</f>
        <v>Оформлен</v>
      </c>
      <c r="B9" s="13" t="str">
        <f>IFERROR(__xludf.DUMMYFUNCTION("""COMPUTED_VALUE"""),"Чайхана")</f>
        <v>Чайхана</v>
      </c>
      <c r="C9" s="13" t="str">
        <f>IFERROR(__xludf.DUMMYFUNCTION("""COMPUTED_VALUE"""),"Москва")</f>
        <v>Москва</v>
      </c>
      <c r="D9" s="13" t="str">
        <f>IFERROR(__xludf.DUMMYFUNCTION("""COMPUTED_VALUE"""),"Повар")</f>
        <v>Повар</v>
      </c>
      <c r="E9" s="13" t="str">
        <f>IFERROR(__xludf.DUMMYFUNCTION("""COMPUTED_VALUE"""),"Ул. Савеловская линия 9")</f>
        <v>Ул. Савеловская линия 9</v>
      </c>
      <c r="F9" s="13"/>
      <c r="G9" s="15">
        <f>IFERROR(__xludf.DUMMYFUNCTION("""COMPUTED_VALUE"""),46049.0)</f>
        <v>46049</v>
      </c>
      <c r="H9" s="13"/>
      <c r="I9" s="13">
        <f>IFERROR(__xludf.DUMMYFUNCTION("""COMPUTED_VALUE"""),7.7148705793E11)</f>
        <v>771487057930</v>
      </c>
      <c r="J9" s="13">
        <f>IFERROR(__xludf.DUMMYFUNCTION("""COMPUTED_VALUE"""),77.0)</f>
        <v>77</v>
      </c>
      <c r="K9" s="13">
        <f>IFERROR(__xludf.DUMMYFUNCTION("""COMPUTED_VALUE"""),2.500408826E9)</f>
        <v>2500408826</v>
      </c>
      <c r="L9" s="14" t="str">
        <f>IFERROR(__xludf.DUMMYFUNCTION("""COMPUTED_VALUE"""),"ПР")</f>
        <v>ПР</v>
      </c>
      <c r="M9" s="13">
        <f>IFERROR(__xludf.DUMMYFUNCTION("""COMPUTED_VALUE"""),6014182.0)</f>
        <v>6014182</v>
      </c>
      <c r="N9" s="15">
        <f>IFERROR(__xludf.DUMMYFUNCTION("""COMPUTED_VALUE"""),44807.0)</f>
        <v>44807</v>
      </c>
      <c r="O9" s="15">
        <f>IFERROR(__xludf.DUMMYFUNCTION("""COMPUTED_VALUE"""),34105.0)</f>
        <v>34105</v>
      </c>
      <c r="P9" s="13" t="str">
        <f>IFERROR(__xludf.DUMMYFUNCTION("""COMPUTED_VALUE"""),"FA6285155")</f>
        <v>FA6285155</v>
      </c>
      <c r="Q9" s="13" t="str">
        <f>IFERROR(__xludf.DUMMYFUNCTION("""COMPUTED_VALUE"""),"Дусматова Зилола Агзамжановна")</f>
        <v>Дусматова Зилола Агзамжановна</v>
      </c>
      <c r="R9" s="13" t="str">
        <f>IFERROR(__xludf.DUMMYFUNCTION("""COMPUTED_VALUE"""),"79997675838")</f>
        <v>79997675838</v>
      </c>
      <c r="S9" s="13" t="str">
        <f>IFERROR(__xludf.DUMMYFUNCTION("""COMPUTED_VALUE"""),"Узбекистан")</f>
        <v>Узбекистан</v>
      </c>
      <c r="T9" s="16" t="str">
        <f>IFERROR(__xludf.DUMMYFUNCTION("""COMPUTED_VALUE"""),"https://disk.360.yandex.ru/d/iwCz6iGurYhZNA")</f>
        <v>https://disk.360.yandex.ru/d/iwCz6iGurYhZNA</v>
      </c>
      <c r="U9" s="13" t="str">
        <f>IFERROR(__xludf.DUMMYFUNCTION("""COMPUTED_VALUE"""),"Собран")</f>
        <v>Собран</v>
      </c>
      <c r="V9" s="15">
        <f>IFERROR(__xludf.DUMMYFUNCTION("""COMPUTED_VALUE"""),46068.0)</f>
        <v>46068</v>
      </c>
      <c r="W9" s="15">
        <f>IFERROR(__xludf.DUMMYFUNCTION("""COMPUTED_VALUE"""),45854.0)</f>
        <v>45854</v>
      </c>
      <c r="X9" s="15">
        <f>IFERROR(__xludf.DUMMYFUNCTION("""COMPUTED_VALUE"""),45979.0)</f>
        <v>45979</v>
      </c>
      <c r="Y9" s="16" t="str">
        <f>IFERROR(__xludf.DUMMYFUNCTION("""COMPUTED_VALUE"""),"https://disk.yandex.ru/d/TGqWQmPcpJDBVQ")</f>
        <v>https://disk.yandex.ru/d/TGqWQmPcpJDBVQ</v>
      </c>
      <c r="Z9" s="13"/>
      <c r="AA9" s="13"/>
    </row>
    <row r="10">
      <c r="A10" s="13" t="str">
        <f>IFERROR(__xludf.DUMMYFUNCTION("""COMPUTED_VALUE"""),"Оформлен")</f>
        <v>Оформлен</v>
      </c>
      <c r="B10" s="13" t="str">
        <f>IFERROR(__xludf.DUMMYFUNCTION("""COMPUTED_VALUE"""),"Чайхана")</f>
        <v>Чайхана</v>
      </c>
      <c r="C10" s="13" t="str">
        <f>IFERROR(__xludf.DUMMYFUNCTION("""COMPUTED_VALUE"""),"Москва")</f>
        <v>Москва</v>
      </c>
      <c r="D10" s="13" t="str">
        <f>IFERROR(__xludf.DUMMYFUNCTION("""COMPUTED_VALUE"""),"Кассир")</f>
        <v>Кассир</v>
      </c>
      <c r="E10" s="13" t="str">
        <f>IFERROR(__xludf.DUMMYFUNCTION("""COMPUTED_VALUE"""),"Чайхана Красная Пресня 29")</f>
        <v>Чайхана Красная Пресня 29</v>
      </c>
      <c r="F10" s="13"/>
      <c r="G10" s="15">
        <f>IFERROR(__xludf.DUMMYFUNCTION("""COMPUTED_VALUE"""),46049.0)</f>
        <v>46049</v>
      </c>
      <c r="H10" s="13"/>
      <c r="I10" s="13">
        <f>IFERROR(__xludf.DUMMYFUNCTION("""COMPUTED_VALUE"""),5.01220476256E11)</f>
        <v>501220476256</v>
      </c>
      <c r="J10" s="13"/>
      <c r="K10" s="13"/>
      <c r="L10" s="14"/>
      <c r="M10" s="13"/>
      <c r="N10" s="15">
        <f>IFERROR(__xludf.DUMMYFUNCTION("""COMPUTED_VALUE"""),43588.0)</f>
        <v>43588</v>
      </c>
      <c r="O10" s="15">
        <f>IFERROR(__xludf.DUMMYFUNCTION("""COMPUTED_VALUE"""),37294.0)</f>
        <v>37294</v>
      </c>
      <c r="P10" s="13" t="str">
        <f>IFERROR(__xludf.DUMMYFUNCTION("""COMPUTED_VALUE"""),"AC3705962")</f>
        <v>AC3705962</v>
      </c>
      <c r="Q10" s="13" t="str">
        <f>IFERROR(__xludf.DUMMYFUNCTION("""COMPUTED_VALUE"""),"Оторбаев Бектурган")</f>
        <v>Оторбаев Бектурган</v>
      </c>
      <c r="R10" s="13" t="str">
        <f>IFERROR(__xludf.DUMMYFUNCTION("""COMPUTED_VALUE"""),"79777540107")</f>
        <v>79777540107</v>
      </c>
      <c r="S10" s="13" t="str">
        <f>IFERROR(__xludf.DUMMYFUNCTION("""COMPUTED_VALUE"""),"Кыргызстан")</f>
        <v>Кыргызстан</v>
      </c>
      <c r="T10" s="16" t="str">
        <f>IFERROR(__xludf.DUMMYFUNCTION("""COMPUTED_VALUE"""),"https://disk.360.yandex.ru/d/Gbt0BCNw9GqWOQ")</f>
        <v>https://disk.360.yandex.ru/d/Gbt0BCNw9GqWOQ</v>
      </c>
      <c r="U10" s="13" t="str">
        <f>IFERROR(__xludf.DUMMYFUNCTION("""COMPUTED_VALUE"""),"Собран")</f>
        <v>Собран</v>
      </c>
      <c r="V10" s="15"/>
      <c r="W10" s="15"/>
      <c r="X10" s="15">
        <f>IFERROR(__xludf.DUMMYFUNCTION("""COMPUTED_VALUE"""),45979.0)</f>
        <v>45979</v>
      </c>
      <c r="Y10" s="16" t="str">
        <f>IFERROR(__xludf.DUMMYFUNCTION("""COMPUTED_VALUE"""),"http://docbase.fixit.su/media/uploads_docs/337/req_preview_-_2025-11-18T154509.879.pdf")</f>
        <v>http://docbase.fixit.su/media/uploads_docs/337/req_preview_-_2025-11-18T154509.879.pdf</v>
      </c>
      <c r="Z10" s="13"/>
      <c r="AA10" s="13"/>
    </row>
    <row r="11">
      <c r="A11" s="13" t="str">
        <f>IFERROR(__xludf.DUMMYFUNCTION("""COMPUTED_VALUE"""),"Оформлен")</f>
        <v>Оформлен</v>
      </c>
      <c r="B11" s="13" t="str">
        <f>IFERROR(__xludf.DUMMYFUNCTION("""COMPUTED_VALUE"""),"Чайхана")</f>
        <v>Чайхана</v>
      </c>
      <c r="C11" s="13" t="str">
        <f>IFERROR(__xludf.DUMMYFUNCTION("""COMPUTED_VALUE"""),"Москва")</f>
        <v>Москва</v>
      </c>
      <c r="D11" s="13" t="str">
        <f>IFERROR(__xludf.DUMMYFUNCTION("""COMPUTED_VALUE"""),"Повар")</f>
        <v>Повар</v>
      </c>
      <c r="E11" s="13" t="str">
        <f>IFERROR(__xludf.DUMMYFUNCTION("""COMPUTED_VALUE"""),"Бутырская 89 стр 2")</f>
        <v>Бутырская 89 стр 2</v>
      </c>
      <c r="F11" s="13"/>
      <c r="G11" s="15">
        <f>IFERROR(__xludf.DUMMYFUNCTION("""COMPUTED_VALUE"""),46049.0)</f>
        <v>46049</v>
      </c>
      <c r="H11" s="13"/>
      <c r="I11" s="13">
        <f>IFERROR(__xludf.DUMMYFUNCTION("""COMPUTED_VALUE"""),5.00924497331E11)</f>
        <v>500924497331</v>
      </c>
      <c r="J11" s="13">
        <f>IFERROR(__xludf.DUMMYFUNCTION("""COMPUTED_VALUE"""),77.0)</f>
        <v>77</v>
      </c>
      <c r="K11" s="13">
        <f>IFERROR(__xludf.DUMMYFUNCTION("""COMPUTED_VALUE"""),2.500370201E9)</f>
        <v>2500370201</v>
      </c>
      <c r="L11" s="14" t="str">
        <f>IFERROR(__xludf.DUMMYFUNCTION("""COMPUTED_VALUE"""),"ПР")</f>
        <v>ПР</v>
      </c>
      <c r="M11" s="13">
        <f>IFERROR(__xludf.DUMMYFUNCTION("""COMPUTED_VALUE"""),5974669.0)</f>
        <v>5974669</v>
      </c>
      <c r="N11" s="15">
        <f>IFERROR(__xludf.DUMMYFUNCTION("""COMPUTED_VALUE"""),44183.0)</f>
        <v>44183</v>
      </c>
      <c r="O11" s="15">
        <f>IFERROR(__xludf.DUMMYFUNCTION("""COMPUTED_VALUE"""),37495.0)</f>
        <v>37495</v>
      </c>
      <c r="P11" s="13" t="str">
        <f>IFERROR(__xludf.DUMMYFUNCTION("""COMPUTED_VALUE"""),"FA1500520")</f>
        <v>FA1500520</v>
      </c>
      <c r="Q11" s="13" t="str">
        <f>IFERROR(__xludf.DUMMYFUNCTION("""COMPUTED_VALUE"""),"Сайдалиев Салмон Абдусаттор угли")</f>
        <v>Сайдалиев Салмон Абдусаттор угли</v>
      </c>
      <c r="R11" s="13" t="str">
        <f>IFERROR(__xludf.DUMMYFUNCTION("""COMPUTED_VALUE"""),"79586304804")</f>
        <v>79586304804</v>
      </c>
      <c r="S11" s="13" t="str">
        <f>IFERROR(__xludf.DUMMYFUNCTION("""COMPUTED_VALUE"""),"Узбекистан")</f>
        <v>Узбекистан</v>
      </c>
      <c r="T11" s="16" t="str">
        <f>IFERROR(__xludf.DUMMYFUNCTION("""COMPUTED_VALUE"""),"https://disk.360.yandex.ru/d/pOzn5hBguCzZUA")</f>
        <v>https://disk.360.yandex.ru/d/pOzn5hBguCzZUA</v>
      </c>
      <c r="U11" s="13" t="str">
        <f>IFERROR(__xludf.DUMMYFUNCTION("""COMPUTED_VALUE"""),"Собран")</f>
        <v>Собран</v>
      </c>
      <c r="V11" s="15">
        <f>IFERROR(__xludf.DUMMYFUNCTION("""COMPUTED_VALUE"""),46048.0)</f>
        <v>46048</v>
      </c>
      <c r="W11" s="15">
        <f>IFERROR(__xludf.DUMMYFUNCTION("""COMPUTED_VALUE"""),45833.0)</f>
        <v>45833</v>
      </c>
      <c r="X11" s="15">
        <f>IFERROR(__xludf.DUMMYFUNCTION("""COMPUTED_VALUE"""),45979.0)</f>
        <v>45979</v>
      </c>
      <c r="Y11" s="16" t="str">
        <f>IFERROR(__xludf.DUMMYFUNCTION("""COMPUTED_VALUE"""),"https://disk.360.yandex.ru/d/LlP0RoeRSEQXfQ")</f>
        <v>https://disk.360.yandex.ru/d/LlP0RoeRSEQXfQ</v>
      </c>
      <c r="Z11" s="13"/>
      <c r="AA11" s="13"/>
    </row>
    <row r="12">
      <c r="A12" s="13" t="str">
        <f>IFERROR(__xludf.DUMMYFUNCTION("""COMPUTED_VALUE"""),"Оформлен")</f>
        <v>Оформлен</v>
      </c>
      <c r="B12" s="13" t="str">
        <f>IFERROR(__xludf.DUMMYFUNCTION("""COMPUTED_VALUE"""),"Чайхана")</f>
        <v>Чайхана</v>
      </c>
      <c r="C12" s="13" t="str">
        <f>IFERROR(__xludf.DUMMYFUNCTION("""COMPUTED_VALUE"""),"Москва")</f>
        <v>Москва</v>
      </c>
      <c r="D12" s="13" t="str">
        <f>IFERROR(__xludf.DUMMYFUNCTION("""COMPUTED_VALUE"""),"Уборщица")</f>
        <v>Уборщица</v>
      </c>
      <c r="E12" s="13" t="str">
        <f>IFERROR(__xludf.DUMMYFUNCTION("""COMPUTED_VALUE"""),"Ул. Савеловская линия 9")</f>
        <v>Ул. Савеловская линия 9</v>
      </c>
      <c r="F12" s="13"/>
      <c r="G12" s="15">
        <f>IFERROR(__xludf.DUMMYFUNCTION("""COMPUTED_VALUE"""),46049.0)</f>
        <v>46049</v>
      </c>
      <c r="H12" s="13"/>
      <c r="I12" s="13">
        <f>IFERROR(__xludf.DUMMYFUNCTION("""COMPUTED_VALUE"""),7.75162962212E11)</f>
        <v>775162962212</v>
      </c>
      <c r="J12" s="13"/>
      <c r="K12" s="13"/>
      <c r="L12" s="14"/>
      <c r="M12" s="13"/>
      <c r="N12" s="15">
        <f>IFERROR(__xludf.DUMMYFUNCTION("""COMPUTED_VALUE"""),44973.0)</f>
        <v>44973</v>
      </c>
      <c r="O12" s="15">
        <f>IFERROR(__xludf.DUMMYFUNCTION("""COMPUTED_VALUE"""),28140.0)</f>
        <v>28140</v>
      </c>
      <c r="P12" s="13" t="str">
        <f>IFERROR(__xludf.DUMMYFUNCTION("""COMPUTED_VALUE"""),"ID3229313")</f>
        <v>ID3229313</v>
      </c>
      <c r="Q12" s="13" t="str">
        <f>IFERROR(__xludf.DUMMYFUNCTION("""COMPUTED_VALUE"""),"Тагайалиева Гулбарчын Абдырахмановна")</f>
        <v>Тагайалиева Гулбарчын Абдырахмановна</v>
      </c>
      <c r="R12" s="13" t="str">
        <f>IFERROR(__xludf.DUMMYFUNCTION("""COMPUTED_VALUE"""),"79999895773")</f>
        <v>79999895773</v>
      </c>
      <c r="S12" s="13" t="str">
        <f>IFERROR(__xludf.DUMMYFUNCTION("""COMPUTED_VALUE"""),"Кыргызстан")</f>
        <v>Кыргызстан</v>
      </c>
      <c r="T12" s="16" t="str">
        <f>IFERROR(__xludf.DUMMYFUNCTION("""COMPUTED_VALUE"""),"https://disk.360.yandex.ru/d/mzbOiA1DNsqrvg")</f>
        <v>https://disk.360.yandex.ru/d/mzbOiA1DNsqrvg</v>
      </c>
      <c r="U12" s="13" t="str">
        <f>IFERROR(__xludf.DUMMYFUNCTION("""COMPUTED_VALUE"""),"Собран")</f>
        <v>Собран</v>
      </c>
      <c r="V12" s="15"/>
      <c r="W12" s="15"/>
      <c r="X12" s="15">
        <f>IFERROR(__xludf.DUMMYFUNCTION("""COMPUTED_VALUE"""),45979.0)</f>
        <v>45979</v>
      </c>
      <c r="Y12" s="16" t="str">
        <f>IFERROR(__xludf.DUMMYFUNCTION("""COMPUTED_VALUE"""),"https://disk.360.yandex.ru/d/hkaq9Wtxa1t__A")</f>
        <v>https://disk.360.yandex.ru/d/hkaq9Wtxa1t__A</v>
      </c>
      <c r="Z12" s="13"/>
      <c r="AA12" s="13"/>
    </row>
    <row r="13">
      <c r="A13" s="13" t="str">
        <f>IFERROR(__xludf.DUMMYFUNCTION("""COMPUTED_VALUE"""),"Оформлен")</f>
        <v>Оформлен</v>
      </c>
      <c r="B13" s="13" t="str">
        <f>IFERROR(__xludf.DUMMYFUNCTION("""COMPUTED_VALUE"""),"Чайхана")</f>
        <v>Чайхана</v>
      </c>
      <c r="C13" s="13" t="str">
        <f>IFERROR(__xludf.DUMMYFUNCTION("""COMPUTED_VALUE"""),"Москва")</f>
        <v>Москва</v>
      </c>
      <c r="D13" s="13" t="str">
        <f>IFERROR(__xludf.DUMMYFUNCTION("""COMPUTED_VALUE"""),"Повар")</f>
        <v>Повар</v>
      </c>
      <c r="E13" s="13" t="str">
        <f>IFERROR(__xludf.DUMMYFUNCTION("""COMPUTED_VALUE"""),"Ул. Савеловская линия 9")</f>
        <v>Ул. Савеловская линия 9</v>
      </c>
      <c r="F13" s="13"/>
      <c r="G13" s="15">
        <f>IFERROR(__xludf.DUMMYFUNCTION("""COMPUTED_VALUE"""),46049.0)</f>
        <v>46049</v>
      </c>
      <c r="H13" s="13"/>
      <c r="I13" s="13">
        <f>IFERROR(__xludf.DUMMYFUNCTION("""COMPUTED_VALUE"""),5.02777123914E11)</f>
        <v>502777123914</v>
      </c>
      <c r="J13" s="13">
        <f>IFERROR(__xludf.DUMMYFUNCTION("""COMPUTED_VALUE"""),77.0)</f>
        <v>77</v>
      </c>
      <c r="K13" s="13">
        <f>IFERROR(__xludf.DUMMYFUNCTION("""COMPUTED_VALUE"""),2.500494803E9)</f>
        <v>2500494803</v>
      </c>
      <c r="L13" s="14" t="str">
        <f>IFERROR(__xludf.DUMMYFUNCTION("""COMPUTED_VALUE"""),"ПР")</f>
        <v>ПР</v>
      </c>
      <c r="M13" s="13">
        <f>IFERROR(__xludf.DUMMYFUNCTION("""COMPUTED_VALUE"""),6097807.0)</f>
        <v>6097807</v>
      </c>
      <c r="N13" s="15">
        <f>IFERROR(__xludf.DUMMYFUNCTION("""COMPUTED_VALUE"""),43586.0)</f>
        <v>43586</v>
      </c>
      <c r="O13" s="15">
        <f>IFERROR(__xludf.DUMMYFUNCTION("""COMPUTED_VALUE"""),30229.0)</f>
        <v>30229</v>
      </c>
      <c r="P13" s="13" t="str">
        <f>IFERROR(__xludf.DUMMYFUNCTION("""COMPUTED_VALUE"""),"402624215")</f>
        <v>402624215</v>
      </c>
      <c r="Q13" s="13" t="str">
        <f>IFERROR(__xludf.DUMMYFUNCTION("""COMPUTED_VALUE"""),"Турдибекова Мухайё Уктамовна")</f>
        <v>Турдибекова Мухайё Уктамовна</v>
      </c>
      <c r="R13" s="13" t="str">
        <f>IFERROR(__xludf.DUMMYFUNCTION("""COMPUTED_VALUE"""),"79966796423")</f>
        <v>79966796423</v>
      </c>
      <c r="S13" s="13" t="str">
        <f>IFERROR(__xludf.DUMMYFUNCTION("""COMPUTED_VALUE"""),"Таджикистан")</f>
        <v>Таджикистан</v>
      </c>
      <c r="T13" s="16" t="str">
        <f>IFERROR(__xludf.DUMMYFUNCTION("""COMPUTED_VALUE"""),"https://disk.360.yandex.ru/d/gvzvXtIj4GXyFg")</f>
        <v>https://disk.360.yandex.ru/d/gvzvXtIj4GXyFg</v>
      </c>
      <c r="U13" s="13" t="str">
        <f>IFERROR(__xludf.DUMMYFUNCTION("""COMPUTED_VALUE"""),"Собран")</f>
        <v>Собран</v>
      </c>
      <c r="V13" s="15">
        <f>IFERROR(__xludf.DUMMYFUNCTION("""COMPUTED_VALUE"""),46061.0)</f>
        <v>46061</v>
      </c>
      <c r="W13" s="15">
        <f>IFERROR(__xludf.DUMMYFUNCTION("""COMPUTED_VALUE"""),45909.0)</f>
        <v>45909</v>
      </c>
      <c r="X13" s="15">
        <f>IFERROR(__xludf.DUMMYFUNCTION("""COMPUTED_VALUE"""),45979.0)</f>
        <v>45979</v>
      </c>
      <c r="Y13" s="16" t="str">
        <f>IFERROR(__xludf.DUMMYFUNCTION("""COMPUTED_VALUE"""),"https://disk.360.yandex.ru/d/JFl59I2NV0ATyg")</f>
        <v>https://disk.360.yandex.ru/d/JFl59I2NV0ATyg</v>
      </c>
      <c r="Z13" s="13"/>
      <c r="AA13" s="13"/>
    </row>
    <row r="14">
      <c r="A14" s="13" t="str">
        <f>IFERROR(__xludf.DUMMYFUNCTION("""COMPUTED_VALUE"""),"Оформлен")</f>
        <v>Оформлен</v>
      </c>
      <c r="B14" s="13" t="str">
        <f>IFERROR(__xludf.DUMMYFUNCTION("""COMPUTED_VALUE"""),"Чайхана")</f>
        <v>Чайхана</v>
      </c>
      <c r="C14" s="13" t="str">
        <f>IFERROR(__xludf.DUMMYFUNCTION("""COMPUTED_VALUE"""),"Москва")</f>
        <v>Москва</v>
      </c>
      <c r="D14" s="13" t="str">
        <f>IFERROR(__xludf.DUMMYFUNCTION("""COMPUTED_VALUE"""),"Кассир")</f>
        <v>Кассир</v>
      </c>
      <c r="E14" s="13" t="str">
        <f>IFERROR(__xludf.DUMMYFUNCTION("""COMPUTED_VALUE"""),"Чайхана Красная Пресня 29")</f>
        <v>Чайхана Красная Пресня 29</v>
      </c>
      <c r="F14" s="13"/>
      <c r="G14" s="15">
        <f>IFERROR(__xludf.DUMMYFUNCTION("""COMPUTED_VALUE"""),46049.0)</f>
        <v>46049</v>
      </c>
      <c r="H14" s="13"/>
      <c r="I14" s="13">
        <f>IFERROR(__xludf.DUMMYFUNCTION("""COMPUTED_VALUE"""),7.7515935605E11)</f>
        <v>775159356050</v>
      </c>
      <c r="J14" s="13">
        <f>IFERROR(__xludf.DUMMYFUNCTION("""COMPUTED_VALUE"""),77.0)</f>
        <v>77</v>
      </c>
      <c r="K14" s="13">
        <f>IFERROR(__xludf.DUMMYFUNCTION("""COMPUTED_VALUE"""),2.500582345E9)</f>
        <v>2500582345</v>
      </c>
      <c r="L14" s="14" t="str">
        <f>IFERROR(__xludf.DUMMYFUNCTION("""COMPUTED_VALUE"""),"ПР")</f>
        <v>ПР</v>
      </c>
      <c r="M14" s="13">
        <f>IFERROR(__xludf.DUMMYFUNCTION("""COMPUTED_VALUE"""),6182701.0)</f>
        <v>6182701</v>
      </c>
      <c r="N14" s="15">
        <f>IFERROR(__xludf.DUMMYFUNCTION("""COMPUTED_VALUE"""),45114.0)</f>
        <v>45114</v>
      </c>
      <c r="O14" s="15">
        <f>IFERROR(__xludf.DUMMYFUNCTION("""COMPUTED_VALUE"""),38991.0)</f>
        <v>38991</v>
      </c>
      <c r="P14" s="13" t="str">
        <f>IFERROR(__xludf.DUMMYFUNCTION("""COMPUTED_VALUE"""),"404792260")</f>
        <v>404792260</v>
      </c>
      <c r="Q14" s="13" t="str">
        <f>IFERROR(__xludf.DUMMYFUNCTION("""COMPUTED_VALUE"""),"Ходжаев Мухаммад Муминович")</f>
        <v>Ходжаев Мухаммад Муминович</v>
      </c>
      <c r="R14" s="13" t="str">
        <f>IFERROR(__xludf.DUMMYFUNCTION("""COMPUTED_VALUE"""),"79851400399")</f>
        <v>79851400399</v>
      </c>
      <c r="S14" s="13" t="str">
        <f>IFERROR(__xludf.DUMMYFUNCTION("""COMPUTED_VALUE"""),"Таджикистан")</f>
        <v>Таджикистан</v>
      </c>
      <c r="T14" s="16" t="str">
        <f>IFERROR(__xludf.DUMMYFUNCTION("""COMPUTED_VALUE"""),"https://disk.360.yandex.ru/d/vGsr2hGB9TGhnA")</f>
        <v>https://disk.360.yandex.ru/d/vGsr2hGB9TGhnA</v>
      </c>
      <c r="U14" s="13" t="str">
        <f>IFERROR(__xludf.DUMMYFUNCTION("""COMPUTED_VALUE"""),"Последний чек об оплате патента")</f>
        <v>Последний чек об оплате патента</v>
      </c>
      <c r="V14" s="15">
        <f>IFERROR(__xludf.DUMMYFUNCTION("""COMPUTED_VALUE"""),46051.0)</f>
        <v>46051</v>
      </c>
      <c r="W14" s="15">
        <f>IFERROR(__xludf.DUMMYFUNCTION("""COMPUTED_VALUE"""),45962.0)</f>
        <v>45962</v>
      </c>
      <c r="X14" s="15">
        <f>IFERROR(__xludf.DUMMYFUNCTION("""COMPUTED_VALUE"""),45979.0)</f>
        <v>45979</v>
      </c>
      <c r="Y14" s="16" t="str">
        <f>IFERROR(__xludf.DUMMYFUNCTION("""COMPUTED_VALUE"""),"https://disk.360.yandex.ru/d/pTn2eWbKuFE5iQ")</f>
        <v>https://disk.360.yandex.ru/d/pTn2eWbKuFE5iQ</v>
      </c>
      <c r="Z14" s="13"/>
      <c r="AA14" s="13"/>
    </row>
    <row r="15">
      <c r="A15" s="13" t="str">
        <f>IFERROR(__xludf.DUMMYFUNCTION("""COMPUTED_VALUE"""),"Оформлен")</f>
        <v>Оформлен</v>
      </c>
      <c r="B15" s="13" t="str">
        <f>IFERROR(__xludf.DUMMYFUNCTION("""COMPUTED_VALUE"""),"Чайхана")</f>
        <v>Чайхана</v>
      </c>
      <c r="C15" s="13" t="str">
        <f>IFERROR(__xludf.DUMMYFUNCTION("""COMPUTED_VALUE"""),"Москва")</f>
        <v>Москва</v>
      </c>
      <c r="D15" s="13" t="str">
        <f>IFERROR(__xludf.DUMMYFUNCTION("""COMPUTED_VALUE"""),"Повар")</f>
        <v>Повар</v>
      </c>
      <c r="E15" s="13" t="str">
        <f>IFERROR(__xludf.DUMMYFUNCTION("""COMPUTED_VALUE"""),"Часовая 11 стр 2")</f>
        <v>Часовая 11 стр 2</v>
      </c>
      <c r="F15" s="13"/>
      <c r="G15" s="15">
        <f>IFERROR(__xludf.DUMMYFUNCTION("""COMPUTED_VALUE"""),46049.0)</f>
        <v>46049</v>
      </c>
      <c r="H15" s="13"/>
      <c r="I15" s="13">
        <f>IFERROR(__xludf.DUMMYFUNCTION("""COMPUTED_VALUE"""),5.0024439455E10)</f>
        <v>50024439455</v>
      </c>
      <c r="J15" s="13">
        <f>IFERROR(__xludf.DUMMYFUNCTION("""COMPUTED_VALUE"""),77.0)</f>
        <v>77</v>
      </c>
      <c r="K15" s="13">
        <f>IFERROR(__xludf.DUMMYFUNCTION("""COMPUTED_VALUE"""),2.500458027E9)</f>
        <v>2500458027</v>
      </c>
      <c r="L15" s="14" t="str">
        <f>IFERROR(__xludf.DUMMYFUNCTION("""COMPUTED_VALUE"""),"ПР")</f>
        <v>ПР</v>
      </c>
      <c r="M15" s="13">
        <f>IFERROR(__xludf.DUMMYFUNCTION("""COMPUTED_VALUE"""),6061758.0)</f>
        <v>6061758</v>
      </c>
      <c r="N15" s="15">
        <f>IFERROR(__xludf.DUMMYFUNCTION("""COMPUTED_VALUE"""),44501.0)</f>
        <v>44501</v>
      </c>
      <c r="O15" s="15">
        <f>IFERROR(__xludf.DUMMYFUNCTION("""COMPUTED_VALUE"""),37527.0)</f>
        <v>37527</v>
      </c>
      <c r="P15" s="13" t="str">
        <f>IFERROR(__xludf.DUMMYFUNCTION("""COMPUTED_VALUE"""),"FA4033308")</f>
        <v>FA4033308</v>
      </c>
      <c r="Q15" s="13" t="str">
        <f>IFERROR(__xludf.DUMMYFUNCTION("""COMPUTED_VALUE"""),"Исмонов Мухаммадкодир Шокиржон Угли ")</f>
        <v>Исмонов Мухаммадкодир Шокиржон Угли </v>
      </c>
      <c r="R15" s="13" t="str">
        <f>IFERROR(__xludf.DUMMYFUNCTION("""COMPUTED_VALUE"""),"79255086393")</f>
        <v>79255086393</v>
      </c>
      <c r="S15" s="13" t="str">
        <f>IFERROR(__xludf.DUMMYFUNCTION("""COMPUTED_VALUE"""),"Узбекистан")</f>
        <v>Узбекистан</v>
      </c>
      <c r="T15" s="16" t="str">
        <f>IFERROR(__xludf.DUMMYFUNCTION("""COMPUTED_VALUE"""),"https://disk.360.yandex.ru/d/CwmlrKGAUoQ2gw")</f>
        <v>https://disk.360.yandex.ru/d/CwmlrKGAUoQ2gw</v>
      </c>
      <c r="U15" s="13" t="str">
        <f>IFERROR(__xludf.DUMMYFUNCTION("""COMPUTED_VALUE"""),"Последний чек об оплате патента")</f>
        <v>Последний чек об оплате патента</v>
      </c>
      <c r="V15" s="15">
        <f>IFERROR(__xludf.DUMMYFUNCTION("""COMPUTED_VALUE"""),46002.0)</f>
        <v>46002</v>
      </c>
      <c r="W15" s="15">
        <f>IFERROR(__xludf.DUMMYFUNCTION("""COMPUTED_VALUE"""),45884.0)</f>
        <v>45884</v>
      </c>
      <c r="X15" s="15">
        <f>IFERROR(__xludf.DUMMYFUNCTION("""COMPUTED_VALUE"""),45980.0)</f>
        <v>45980</v>
      </c>
      <c r="Y15" s="16" t="str">
        <f>IFERROR(__xludf.DUMMYFUNCTION("""COMPUTED_VALUE"""),"https://disk.360.yandex.ru/d/Le-GANRo8jiu2A")</f>
        <v>https://disk.360.yandex.ru/d/Le-GANRo8jiu2A</v>
      </c>
      <c r="Z15" s="13"/>
      <c r="AA15" s="13"/>
    </row>
    <row r="16">
      <c r="A16" s="13" t="str">
        <f>IFERROR(__xludf.DUMMYFUNCTION("""COMPUTED_VALUE"""),"Оформлен")</f>
        <v>Оформлен</v>
      </c>
      <c r="B16" s="13" t="str">
        <f>IFERROR(__xludf.DUMMYFUNCTION("""COMPUTED_VALUE"""),"Чайхана")</f>
        <v>Чайхана</v>
      </c>
      <c r="C16" s="13" t="str">
        <f>IFERROR(__xludf.DUMMYFUNCTION("""COMPUTED_VALUE"""),"Москва")</f>
        <v>Москва</v>
      </c>
      <c r="D16" s="13" t="str">
        <f>IFERROR(__xludf.DUMMYFUNCTION("""COMPUTED_VALUE"""),"Повар")</f>
        <v>Повар</v>
      </c>
      <c r="E16" s="13" t="str">
        <f>IFERROR(__xludf.DUMMYFUNCTION("""COMPUTED_VALUE"""),"Улица Сущёвский Вал, 3/5")</f>
        <v>Улица Сущёвский Вал, 3/5</v>
      </c>
      <c r="F16" s="13"/>
      <c r="G16" s="15">
        <f>IFERROR(__xludf.DUMMYFUNCTION("""COMPUTED_VALUE"""),46049.0)</f>
        <v>46049</v>
      </c>
      <c r="H16" s="13"/>
      <c r="I16" s="13">
        <f>IFERROR(__xludf.DUMMYFUNCTION("""COMPUTED_VALUE"""),7.73618676707E11)</f>
        <v>773618676707</v>
      </c>
      <c r="J16" s="13">
        <f>IFERROR(__xludf.DUMMYFUNCTION("""COMPUTED_VALUE"""),77.0)</f>
        <v>77</v>
      </c>
      <c r="K16" s="13">
        <f>IFERROR(__xludf.DUMMYFUNCTION("""COMPUTED_VALUE"""),2.500575403E9)</f>
        <v>2500575403</v>
      </c>
      <c r="L16" s="14" t="str">
        <f>IFERROR(__xludf.DUMMYFUNCTION("""COMPUTED_VALUE"""),"ПР")</f>
        <v>ПР</v>
      </c>
      <c r="M16" s="13">
        <f>IFERROR(__xludf.DUMMYFUNCTION("""COMPUTED_VALUE"""),6176592.0)</f>
        <v>6176592</v>
      </c>
      <c r="N16" s="15">
        <f>IFERROR(__xludf.DUMMYFUNCTION("""COMPUTED_VALUE"""),45804.0)</f>
        <v>45804</v>
      </c>
      <c r="O16" s="15">
        <f>IFERROR(__xludf.DUMMYFUNCTION("""COMPUTED_VALUE"""),32256.0)</f>
        <v>32256</v>
      </c>
      <c r="P16" s="13" t="str">
        <f>IFERROR(__xludf.DUMMYFUNCTION("""COMPUTED_VALUE"""),"FA5588924")</f>
        <v>FA5588924</v>
      </c>
      <c r="Q16" s="13" t="str">
        <f>IFERROR(__xludf.DUMMYFUNCTION("""COMPUTED_VALUE"""),"Маматханов Дилмурод Нематович")</f>
        <v>Маматханов Дилмурод Нематович</v>
      </c>
      <c r="R16" s="13" t="str">
        <f>IFERROR(__xludf.DUMMYFUNCTION("""COMPUTED_VALUE"""),"79997168584")</f>
        <v>79997168584</v>
      </c>
      <c r="S16" s="13" t="str">
        <f>IFERROR(__xludf.DUMMYFUNCTION("""COMPUTED_VALUE"""),"Узбекистан")</f>
        <v>Узбекистан</v>
      </c>
      <c r="T16" s="16" t="str">
        <f>IFERROR(__xludf.DUMMYFUNCTION("""COMPUTED_VALUE"""),"https://disk.360.yandex.ru/d/YpvaI80vsYl5LA")</f>
        <v>https://disk.360.yandex.ru/d/YpvaI80vsYl5LA</v>
      </c>
      <c r="U16" s="13" t="str">
        <f>IFERROR(__xludf.DUMMYFUNCTION("""COMPUTED_VALUE"""),"Собран")</f>
        <v>Собран</v>
      </c>
      <c r="V16" s="15">
        <f>IFERROR(__xludf.DUMMYFUNCTION("""COMPUTED_VALUE"""),46078.0)</f>
        <v>46078</v>
      </c>
      <c r="W16" s="15">
        <f>IFERROR(__xludf.DUMMYFUNCTION("""COMPUTED_VALUE"""),45959.0)</f>
        <v>45959</v>
      </c>
      <c r="X16" s="15">
        <f>IFERROR(__xludf.DUMMYFUNCTION("""COMPUTED_VALUE"""),45980.0)</f>
        <v>45980</v>
      </c>
      <c r="Y16" s="16" t="str">
        <f>IFERROR(__xludf.DUMMYFUNCTION("""COMPUTED_VALUE"""),"https://disk.360.yandex.ru/d/vg6twddVp3hmfA")</f>
        <v>https://disk.360.yandex.ru/d/vg6twddVp3hmfA</v>
      </c>
      <c r="Z16" s="13"/>
      <c r="AA16" s="13"/>
    </row>
    <row r="17">
      <c r="A17" s="13" t="str">
        <f>IFERROR(__xludf.DUMMYFUNCTION("""COMPUTED_VALUE"""),"Оформлен")</f>
        <v>Оформлен</v>
      </c>
      <c r="B17" s="13" t="str">
        <f>IFERROR(__xludf.DUMMYFUNCTION("""COMPUTED_VALUE"""),"Чайхана")</f>
        <v>Чайхана</v>
      </c>
      <c r="C17" s="13" t="str">
        <f>IFERROR(__xludf.DUMMYFUNCTION("""COMPUTED_VALUE"""),"Москва")</f>
        <v>Москва</v>
      </c>
      <c r="D17" s="13" t="str">
        <f>IFERROR(__xludf.DUMMYFUNCTION("""COMPUTED_VALUE"""),"Тех.персонал")</f>
        <v>Тех.персонал</v>
      </c>
      <c r="E17" s="13" t="str">
        <f>IFERROR(__xludf.DUMMYFUNCTION("""COMPUTED_VALUE"""),"Часовая 11 стр 2")</f>
        <v>Часовая 11 стр 2</v>
      </c>
      <c r="F17" s="13"/>
      <c r="G17" s="15">
        <f>IFERROR(__xludf.DUMMYFUNCTION("""COMPUTED_VALUE"""),46049.0)</f>
        <v>46049</v>
      </c>
      <c r="H17" s="13"/>
      <c r="I17" s="13">
        <f>IFERROR(__xludf.DUMMYFUNCTION("""COMPUTED_VALUE"""),5.00726635205E11)</f>
        <v>500726635205</v>
      </c>
      <c r="J17" s="13">
        <f>IFERROR(__xludf.DUMMYFUNCTION("""COMPUTED_VALUE"""),77.0)</f>
        <v>77</v>
      </c>
      <c r="K17" s="13">
        <f>IFERROR(__xludf.DUMMYFUNCTION("""COMPUTED_VALUE"""),2.500451489E9)</f>
        <v>2500451489</v>
      </c>
      <c r="L17" s="14" t="str">
        <f>IFERROR(__xludf.DUMMYFUNCTION("""COMPUTED_VALUE"""),"ПР")</f>
        <v>ПР</v>
      </c>
      <c r="M17" s="13">
        <f>IFERROR(__xludf.DUMMYFUNCTION("""COMPUTED_VALUE"""),6055311.0)</f>
        <v>6055311</v>
      </c>
      <c r="N17" s="15">
        <f>IFERROR(__xludf.DUMMYFUNCTION("""COMPUTED_VALUE"""),45218.0)</f>
        <v>45218</v>
      </c>
      <c r="O17" s="15">
        <f>IFERROR(__xludf.DUMMYFUNCTION("""COMPUTED_VALUE"""),37082.0)</f>
        <v>37082</v>
      </c>
      <c r="P17" s="13" t="str">
        <f>IFERROR(__xludf.DUMMYFUNCTION("""COMPUTED_VALUE"""),"FA8586462")</f>
        <v>FA8586462</v>
      </c>
      <c r="Q17" s="13" t="str">
        <f>IFERROR(__xludf.DUMMYFUNCTION("""COMPUTED_VALUE"""),"Мусаева Мафтуна Хусниддин кизи ")</f>
        <v>Мусаева Мафтуна Хусниддин кизи </v>
      </c>
      <c r="R17" s="13" t="str">
        <f>IFERROR(__xludf.DUMMYFUNCTION("""COMPUTED_VALUE"""),"79057784048")</f>
        <v>79057784048</v>
      </c>
      <c r="S17" s="13" t="str">
        <f>IFERROR(__xludf.DUMMYFUNCTION("""COMPUTED_VALUE"""),"Узбекистан")</f>
        <v>Узбекистан</v>
      </c>
      <c r="T17" s="16" t="str">
        <f>IFERROR(__xludf.DUMMYFUNCTION("""COMPUTED_VALUE"""),"https://disk.360.yandex.ru/d/HkMOnb22M5LGmQ")</f>
        <v>https://disk.360.yandex.ru/d/HkMOnb22M5LGmQ</v>
      </c>
      <c r="U17" s="13" t="str">
        <f>IFERROR(__xludf.DUMMYFUNCTION("""COMPUTED_VALUE"""),"Последний чек об оплате патента")</f>
        <v>Последний чек об оплате патента</v>
      </c>
      <c r="V17" s="15">
        <f>IFERROR(__xludf.DUMMYFUNCTION("""COMPUTED_VALUE"""),46001.0)</f>
        <v>46001</v>
      </c>
      <c r="W17" s="15">
        <f>IFERROR(__xludf.DUMMYFUNCTION("""COMPUTED_VALUE"""),45881.0)</f>
        <v>45881</v>
      </c>
      <c r="X17" s="15">
        <f>IFERROR(__xludf.DUMMYFUNCTION("""COMPUTED_VALUE"""),45980.0)</f>
        <v>45980</v>
      </c>
      <c r="Y17" s="16" t="str">
        <f>IFERROR(__xludf.DUMMYFUNCTION("""COMPUTED_VALUE"""),"https://disk.360.yandex.ru/d/FJ_Uj2QrntjL4A")</f>
        <v>https://disk.360.yandex.ru/d/FJ_Uj2QrntjL4A</v>
      </c>
      <c r="Z17" s="13"/>
      <c r="AA17" s="13"/>
    </row>
    <row r="18">
      <c r="A18" s="13" t="str">
        <f>IFERROR(__xludf.DUMMYFUNCTION("""COMPUTED_VALUE"""),"Оформлен")</f>
        <v>Оформлен</v>
      </c>
      <c r="B18" s="13" t="str">
        <f>IFERROR(__xludf.DUMMYFUNCTION("""COMPUTED_VALUE"""),"Чайхана")</f>
        <v>Чайхана</v>
      </c>
      <c r="C18" s="13" t="str">
        <f>IFERROR(__xludf.DUMMYFUNCTION("""COMPUTED_VALUE"""),"Москва")</f>
        <v>Москва</v>
      </c>
      <c r="D18" s="13" t="str">
        <f>IFERROR(__xludf.DUMMYFUNCTION("""COMPUTED_VALUE"""),"Кассир")</f>
        <v>Кассир</v>
      </c>
      <c r="E18" s="13" t="str">
        <f>IFERROR(__xludf.DUMMYFUNCTION("""COMPUTED_VALUE"""),"Часовая 11 стр 2")</f>
        <v>Часовая 11 стр 2</v>
      </c>
      <c r="F18" s="13"/>
      <c r="G18" s="15">
        <f>IFERROR(__xludf.DUMMYFUNCTION("""COMPUTED_VALUE"""),46049.0)</f>
        <v>46049</v>
      </c>
      <c r="H18" s="13"/>
      <c r="I18" s="13">
        <f>IFERROR(__xludf.DUMMYFUNCTION("""COMPUTED_VALUE"""),7.75147436504E11)</f>
        <v>775147436504</v>
      </c>
      <c r="J18" s="13">
        <f>IFERROR(__xludf.DUMMYFUNCTION("""COMPUTED_VALUE"""),77.0)</f>
        <v>77</v>
      </c>
      <c r="K18" s="13">
        <f>IFERROR(__xludf.DUMMYFUNCTION("""COMPUTED_VALUE"""),2.50041485E9)</f>
        <v>2500414850</v>
      </c>
      <c r="L18" s="14" t="str">
        <f>IFERROR(__xludf.DUMMYFUNCTION("""COMPUTED_VALUE"""),"ПР")</f>
        <v>ПР</v>
      </c>
      <c r="M18" s="13">
        <f>IFERROR(__xludf.DUMMYFUNCTION("""COMPUTED_VALUE"""),6018514.0)</f>
        <v>6018514</v>
      </c>
      <c r="N18" s="15">
        <f>IFERROR(__xludf.DUMMYFUNCTION("""COMPUTED_VALUE"""),44440.0)</f>
        <v>44440</v>
      </c>
      <c r="O18" s="15">
        <f>IFERROR(__xludf.DUMMYFUNCTION("""COMPUTED_VALUE"""),37702.0)</f>
        <v>37702</v>
      </c>
      <c r="P18" s="13" t="str">
        <f>IFERROR(__xludf.DUMMYFUNCTION("""COMPUTED_VALUE"""),"FA3762230")</f>
        <v>FA3762230</v>
      </c>
      <c r="Q18" s="13" t="str">
        <f>IFERROR(__xludf.DUMMYFUNCTION("""COMPUTED_VALUE"""),"Нематов Мухаммадиброхим")</f>
        <v>Нематов Мухаммадиброхим</v>
      </c>
      <c r="R18" s="13" t="str">
        <f>IFERROR(__xludf.DUMMYFUNCTION("""COMPUTED_VALUE"""),"79932625819")</f>
        <v>79932625819</v>
      </c>
      <c r="S18" s="13" t="str">
        <f>IFERROR(__xludf.DUMMYFUNCTION("""COMPUTED_VALUE"""),"Узбекистан")</f>
        <v>Узбекистан</v>
      </c>
      <c r="T18" s="16" t="str">
        <f>IFERROR(__xludf.DUMMYFUNCTION("""COMPUTED_VALUE"""),"https://disk.360.yandex.ru/d/bJMZcBwgpZA35g")</f>
        <v>https://disk.360.yandex.ru/d/bJMZcBwgpZA35g</v>
      </c>
      <c r="U18" s="13" t="str">
        <f>IFERROR(__xludf.DUMMYFUNCTION("""COMPUTED_VALUE"""),"Последний чек об оплате патента")</f>
        <v>Последний чек об оплате патента</v>
      </c>
      <c r="V18" s="15">
        <f>IFERROR(__xludf.DUMMYFUNCTION("""COMPUTED_VALUE"""),45983.0)</f>
        <v>45983</v>
      </c>
      <c r="W18" s="15">
        <f>IFERROR(__xludf.DUMMYFUNCTION("""COMPUTED_VALUE"""),45859.0)</f>
        <v>45859</v>
      </c>
      <c r="X18" s="15">
        <f>IFERROR(__xludf.DUMMYFUNCTION("""COMPUTED_VALUE"""),45980.0)</f>
        <v>45980</v>
      </c>
      <c r="Y18" s="16" t="str">
        <f>IFERROR(__xludf.DUMMYFUNCTION("""COMPUTED_VALUE"""),"http://docbase.fixit.su/media/uploads_docs/465/req_preview_-_2025-11-19T193037.696.pdf")</f>
        <v>http://docbase.fixit.su/media/uploads_docs/465/req_preview_-_2025-11-19T193037.696.pdf</v>
      </c>
      <c r="Z18" s="13"/>
      <c r="AA18" s="13"/>
    </row>
    <row r="19">
      <c r="A19" s="13" t="str">
        <f>IFERROR(__xludf.DUMMYFUNCTION("""COMPUTED_VALUE"""),"Оформлен")</f>
        <v>Оформлен</v>
      </c>
      <c r="B19" s="13" t="str">
        <f>IFERROR(__xludf.DUMMYFUNCTION("""COMPUTED_VALUE"""),"Чайхана")</f>
        <v>Чайхана</v>
      </c>
      <c r="C19" s="13" t="str">
        <f>IFERROR(__xludf.DUMMYFUNCTION("""COMPUTED_VALUE"""),"Москва")</f>
        <v>Москва</v>
      </c>
      <c r="D19" s="13" t="str">
        <f>IFERROR(__xludf.DUMMYFUNCTION("""COMPUTED_VALUE"""),"Повар")</f>
        <v>Повар</v>
      </c>
      <c r="E19" s="13" t="str">
        <f>IFERROR(__xludf.DUMMYFUNCTION("""COMPUTED_VALUE"""),"Улица Сущёвский Вал, 3/5")</f>
        <v>Улица Сущёвский Вал, 3/5</v>
      </c>
      <c r="F19" s="13"/>
      <c r="G19" s="15">
        <f>IFERROR(__xludf.DUMMYFUNCTION("""COMPUTED_VALUE"""),46049.0)</f>
        <v>46049</v>
      </c>
      <c r="H19" s="13"/>
      <c r="I19" s="13">
        <f>IFERROR(__xludf.DUMMYFUNCTION("""COMPUTED_VALUE"""),5.02776764256E11)</f>
        <v>502776764256</v>
      </c>
      <c r="J19" s="13">
        <f>IFERROR(__xludf.DUMMYFUNCTION("""COMPUTED_VALUE"""),77.0)</f>
        <v>77</v>
      </c>
      <c r="K19" s="13">
        <f>IFERROR(__xludf.DUMMYFUNCTION("""COMPUTED_VALUE"""),2.500463034E9)</f>
        <v>2500463034</v>
      </c>
      <c r="L19" s="14" t="str">
        <f>IFERROR(__xludf.DUMMYFUNCTION("""COMPUTED_VALUE"""),"ПР")</f>
        <v>ПР</v>
      </c>
      <c r="M19" s="13">
        <f>IFERROR(__xludf.DUMMYFUNCTION("""COMPUTED_VALUE"""),6066718.0)</f>
        <v>6066718</v>
      </c>
      <c r="N19" s="15">
        <f>IFERROR(__xludf.DUMMYFUNCTION("""COMPUTED_VALUE"""),44285.0)</f>
        <v>44285</v>
      </c>
      <c r="O19" s="15">
        <f>IFERROR(__xludf.DUMMYFUNCTION("""COMPUTED_VALUE"""),34895.0)</f>
        <v>34895</v>
      </c>
      <c r="P19" s="13" t="str">
        <f>IFERROR(__xludf.DUMMYFUNCTION("""COMPUTED_VALUE"""),"403229631")</f>
        <v>403229631</v>
      </c>
      <c r="Q19" s="13" t="str">
        <f>IFERROR(__xludf.DUMMYFUNCTION("""COMPUTED_VALUE"""),"Расулова Махфуза Зайниддиновна")</f>
        <v>Расулова Махфуза Зайниддиновна</v>
      </c>
      <c r="R19" s="13" t="str">
        <f>IFERROR(__xludf.DUMMYFUNCTION("""COMPUTED_VALUE"""),"79854583155")</f>
        <v>79854583155</v>
      </c>
      <c r="S19" s="13" t="str">
        <f>IFERROR(__xludf.DUMMYFUNCTION("""COMPUTED_VALUE"""),"Таджикистан")</f>
        <v>Таджикистан</v>
      </c>
      <c r="T19" s="16" t="str">
        <f>IFERROR(__xludf.DUMMYFUNCTION("""COMPUTED_VALUE"""),"https://disk.360.yandex.ru/d/YORUUnU4Ox6jAg")</f>
        <v>https://disk.360.yandex.ru/d/YORUUnU4Ox6jAg</v>
      </c>
      <c r="U19" s="13" t="str">
        <f>IFERROR(__xludf.DUMMYFUNCTION("""COMPUTED_VALUE"""),"Собран")</f>
        <v>Собран</v>
      </c>
      <c r="V19" s="15">
        <f>IFERROR(__xludf.DUMMYFUNCTION("""COMPUTED_VALUE"""),46071.0)</f>
        <v>46071</v>
      </c>
      <c r="W19" s="15">
        <f>IFERROR(__xludf.DUMMYFUNCTION("""COMPUTED_VALUE"""),45888.0)</f>
        <v>45888</v>
      </c>
      <c r="X19" s="15">
        <f>IFERROR(__xludf.DUMMYFUNCTION("""COMPUTED_VALUE"""),45980.0)</f>
        <v>45980</v>
      </c>
      <c r="Y19" s="16" t="str">
        <f>IFERROR(__xludf.DUMMYFUNCTION("""COMPUTED_VALUE"""),"https://disk.360.yandex.ru/d/EWhjyn8MAwYr_A")</f>
        <v>https://disk.360.yandex.ru/d/EWhjyn8MAwYr_A</v>
      </c>
      <c r="Z19" s="13"/>
      <c r="AA19" s="13"/>
    </row>
    <row r="20">
      <c r="A20" s="13" t="str">
        <f>IFERROR(__xludf.DUMMYFUNCTION("""COMPUTED_VALUE"""),"Оформлен")</f>
        <v>Оформлен</v>
      </c>
      <c r="B20" s="13" t="str">
        <f>IFERROR(__xludf.DUMMYFUNCTION("""COMPUTED_VALUE"""),"Чайхана")</f>
        <v>Чайхана</v>
      </c>
      <c r="C20" s="13" t="str">
        <f>IFERROR(__xludf.DUMMYFUNCTION("""COMPUTED_VALUE"""),"Москва")</f>
        <v>Москва</v>
      </c>
      <c r="D20" s="13" t="str">
        <f>IFERROR(__xludf.DUMMYFUNCTION("""COMPUTED_VALUE"""),"Кассир")</f>
        <v>Кассир</v>
      </c>
      <c r="E20" s="13" t="str">
        <f>IFERROR(__xludf.DUMMYFUNCTION("""COMPUTED_VALUE"""),"Ул. Савеловская линия 9")</f>
        <v>Ул. Савеловская линия 9</v>
      </c>
      <c r="F20" s="13"/>
      <c r="G20" s="15">
        <f>IFERROR(__xludf.DUMMYFUNCTION("""COMPUTED_VALUE"""),46049.0)</f>
        <v>46049</v>
      </c>
      <c r="H20" s="13"/>
      <c r="I20" s="13">
        <f>IFERROR(__xludf.DUMMYFUNCTION("""COMPUTED_VALUE"""),9.7151845056E11)</f>
        <v>971518450560</v>
      </c>
      <c r="J20" s="13">
        <f>IFERROR(__xludf.DUMMYFUNCTION("""COMPUTED_VALUE"""),77.0)</f>
        <v>77</v>
      </c>
      <c r="K20" s="13">
        <f>IFERROR(__xludf.DUMMYFUNCTION("""COMPUTED_VALUE"""),2.50049207E9)</f>
        <v>2500492070</v>
      </c>
      <c r="L20" s="14" t="str">
        <f>IFERROR(__xludf.DUMMYFUNCTION("""COMPUTED_VALUE"""),"ПР")</f>
        <v>ПР</v>
      </c>
      <c r="M20" s="13">
        <f>IFERROR(__xludf.DUMMYFUNCTION("""COMPUTED_VALUE"""),6095210.0)</f>
        <v>6095210</v>
      </c>
      <c r="N20" s="15">
        <f>IFERROR(__xludf.DUMMYFUNCTION("""COMPUTED_VALUE"""),44656.0)</f>
        <v>44656</v>
      </c>
      <c r="O20" s="15">
        <f>IFERROR(__xludf.DUMMYFUNCTION("""COMPUTED_VALUE"""),38328.0)</f>
        <v>38328</v>
      </c>
      <c r="P20" s="13" t="str">
        <f>IFERROR(__xludf.DUMMYFUNCTION("""COMPUTED_VALUE"""),"403899827")</f>
        <v>403899827</v>
      </c>
      <c r="Q20" s="13" t="str">
        <f>IFERROR(__xludf.DUMMYFUNCTION("""COMPUTED_VALUE"""),"Мухамаджонов Акмалджон Аюбович")</f>
        <v>Мухамаджонов Акмалджон Аюбович</v>
      </c>
      <c r="R20" s="13" t="str">
        <f>IFERROR(__xludf.DUMMYFUNCTION("""COMPUTED_VALUE"""),"79955553419")</f>
        <v>79955553419</v>
      </c>
      <c r="S20" s="13" t="str">
        <f>IFERROR(__xludf.DUMMYFUNCTION("""COMPUTED_VALUE"""),"Таджикистан")</f>
        <v>Таджикистан</v>
      </c>
      <c r="T20" s="16" t="str">
        <f>IFERROR(__xludf.DUMMYFUNCTION("""COMPUTED_VALUE"""),"https://disk.360.yandex.ru/d/OlZXivjA_EZsTg")</f>
        <v>https://disk.360.yandex.ru/d/OlZXivjA_EZsTg</v>
      </c>
      <c r="U20" s="13" t="str">
        <f>IFERROR(__xludf.DUMMYFUNCTION("""COMPUTED_VALUE"""),"Собран")</f>
        <v>Собран</v>
      </c>
      <c r="V20" s="15">
        <f>IFERROR(__xludf.DUMMYFUNCTION("""COMPUTED_VALUE"""),46057.0)</f>
        <v>46057</v>
      </c>
      <c r="W20" s="15">
        <f>IFERROR(__xludf.DUMMYFUNCTION("""COMPUTED_VALUE"""),45908.0)</f>
        <v>45908</v>
      </c>
      <c r="X20" s="15">
        <f>IFERROR(__xludf.DUMMYFUNCTION("""COMPUTED_VALUE"""),45981.0)</f>
        <v>45981</v>
      </c>
      <c r="Y20" s="16" t="str">
        <f>IFERROR(__xludf.DUMMYFUNCTION("""COMPUTED_VALUE"""),"https://disk.360.yandex.ru/d/BmPhBcNbSxIdQA")</f>
        <v>https://disk.360.yandex.ru/d/BmPhBcNbSxIdQA</v>
      </c>
      <c r="Z20" s="13"/>
      <c r="AA20" s="13"/>
    </row>
    <row r="21">
      <c r="A21" s="13" t="str">
        <f>IFERROR(__xludf.DUMMYFUNCTION("""COMPUTED_VALUE"""),"Оформлен")</f>
        <v>Оформлен</v>
      </c>
      <c r="B21" s="13" t="str">
        <f>IFERROR(__xludf.DUMMYFUNCTION("""COMPUTED_VALUE"""),"Чайхана")</f>
        <v>Чайхана</v>
      </c>
      <c r="C21" s="13" t="str">
        <f>IFERROR(__xludf.DUMMYFUNCTION("""COMPUTED_VALUE"""),"Москва")</f>
        <v>Москва</v>
      </c>
      <c r="D21" s="13" t="str">
        <f>IFERROR(__xludf.DUMMYFUNCTION("""COMPUTED_VALUE"""),"Повар")</f>
        <v>Повар</v>
      </c>
      <c r="E21" s="13" t="str">
        <f>IFERROR(__xludf.DUMMYFUNCTION("""COMPUTED_VALUE"""),"Часовая 11 стр 2")</f>
        <v>Часовая 11 стр 2</v>
      </c>
      <c r="F21" s="13"/>
      <c r="G21" s="15">
        <f>IFERROR(__xludf.DUMMYFUNCTION("""COMPUTED_VALUE"""),46049.0)</f>
        <v>46049</v>
      </c>
      <c r="H21" s="13"/>
      <c r="I21" s="13">
        <f>IFERROR(__xludf.DUMMYFUNCTION("""COMPUTED_VALUE"""),7.72312047604E11)</f>
        <v>772312047604</v>
      </c>
      <c r="J21" s="13">
        <f>IFERROR(__xludf.DUMMYFUNCTION("""COMPUTED_VALUE"""),77.0)</f>
        <v>77</v>
      </c>
      <c r="K21" s="13">
        <f>IFERROR(__xludf.DUMMYFUNCTION("""COMPUTED_VALUE"""),2.500557524E9)</f>
        <v>2500557524</v>
      </c>
      <c r="L21" s="14" t="str">
        <f>IFERROR(__xludf.DUMMYFUNCTION("""COMPUTED_VALUE"""),"ПР")</f>
        <v>ПР</v>
      </c>
      <c r="M21" s="13">
        <f>IFERROR(__xludf.DUMMYFUNCTION("""COMPUTED_VALUE"""),6158281.0)</f>
        <v>6158281</v>
      </c>
      <c r="N21" s="15">
        <f>IFERROR(__xludf.DUMMYFUNCTION("""COMPUTED_VALUE"""),44568.0)</f>
        <v>44568</v>
      </c>
      <c r="O21" s="15">
        <f>IFERROR(__xludf.DUMMYFUNCTION("""COMPUTED_VALUE"""),29257.0)</f>
        <v>29257</v>
      </c>
      <c r="P21" s="13" t="str">
        <f>IFERROR(__xludf.DUMMYFUNCTION("""COMPUTED_VALUE"""),"FA4681680")</f>
        <v>FA4681680</v>
      </c>
      <c r="Q21" s="13" t="str">
        <f>IFERROR(__xludf.DUMMYFUNCTION("""COMPUTED_VALUE"""),"Примова Нилуфар Туракуловна ")</f>
        <v>Примова Нилуфар Туракуловна </v>
      </c>
      <c r="R21" s="13" t="str">
        <f>IFERROR(__xludf.DUMMYFUNCTION("""COMPUTED_VALUE"""),"79775621896")</f>
        <v>79775621896</v>
      </c>
      <c r="S21" s="13" t="str">
        <f>IFERROR(__xludf.DUMMYFUNCTION("""COMPUTED_VALUE"""),"Узбекистан")</f>
        <v>Узбекистан</v>
      </c>
      <c r="T21" s="16" t="str">
        <f>IFERROR(__xludf.DUMMYFUNCTION("""COMPUTED_VALUE"""),"https://disk.360.yandex.ru/d/ZiyzKCphNbXMXw")</f>
        <v>https://disk.360.yandex.ru/d/ZiyzKCphNbXMXw</v>
      </c>
      <c r="U21" s="13" t="str">
        <f>IFERROR(__xludf.DUMMYFUNCTION("""COMPUTED_VALUE"""),"Последний чек об оплате патента")</f>
        <v>Последний чек об оплате патента</v>
      </c>
      <c r="V21" s="15">
        <f>IFERROR(__xludf.DUMMYFUNCTION("""COMPUTED_VALUE"""),45985.0)</f>
        <v>45985</v>
      </c>
      <c r="W21" s="15">
        <f>IFERROR(__xludf.DUMMYFUNCTION("""COMPUTED_VALUE"""),45946.0)</f>
        <v>45946</v>
      </c>
      <c r="X21" s="15">
        <f>IFERROR(__xludf.DUMMYFUNCTION("""COMPUTED_VALUE"""),45981.0)</f>
        <v>45981</v>
      </c>
      <c r="Y21" s="16" t="str">
        <f>IFERROR(__xludf.DUMMYFUNCTION("""COMPUTED_VALUE"""),"https://disk.360.yandex.ru/d/5g112kVBJQKoYw")</f>
        <v>https://disk.360.yandex.ru/d/5g112kVBJQKoYw</v>
      </c>
      <c r="Z21" s="13"/>
      <c r="AA21" s="13"/>
    </row>
    <row r="22">
      <c r="A22" s="13" t="str">
        <f>IFERROR(__xludf.DUMMYFUNCTION("""COMPUTED_VALUE"""),"Оформлен")</f>
        <v>Оформлен</v>
      </c>
      <c r="B22" s="13" t="str">
        <f>IFERROR(__xludf.DUMMYFUNCTION("""COMPUTED_VALUE"""),"Чайхана")</f>
        <v>Чайхана</v>
      </c>
      <c r="C22" s="13" t="str">
        <f>IFERROR(__xludf.DUMMYFUNCTION("""COMPUTED_VALUE"""),"Москва")</f>
        <v>Москва</v>
      </c>
      <c r="D22" s="13" t="str">
        <f>IFERROR(__xludf.DUMMYFUNCTION("""COMPUTED_VALUE"""),"Повар")</f>
        <v>Повар</v>
      </c>
      <c r="E22" s="13" t="str">
        <f>IFERROR(__xludf.DUMMYFUNCTION("""COMPUTED_VALUE"""),"Ул. Савеловская линия 9")</f>
        <v>Ул. Савеловская линия 9</v>
      </c>
      <c r="F22" s="13"/>
      <c r="G22" s="15">
        <f>IFERROR(__xludf.DUMMYFUNCTION("""COMPUTED_VALUE"""),46049.0)</f>
        <v>46049</v>
      </c>
      <c r="H22" s="13"/>
      <c r="I22" s="13"/>
      <c r="J22" s="13">
        <f>IFERROR(__xludf.DUMMYFUNCTION("""COMPUTED_VALUE"""),77.0)</f>
        <v>77</v>
      </c>
      <c r="K22" s="13">
        <f>IFERROR(__xludf.DUMMYFUNCTION("""COMPUTED_VALUE"""),2.500518413E9)</f>
        <v>2500518413</v>
      </c>
      <c r="L22" s="14" t="str">
        <f>IFERROR(__xludf.DUMMYFUNCTION("""COMPUTED_VALUE"""),"ПР")</f>
        <v>ПР</v>
      </c>
      <c r="M22" s="13">
        <f>IFERROR(__xludf.DUMMYFUNCTION("""COMPUTED_VALUE"""),6120139.0)</f>
        <v>6120139</v>
      </c>
      <c r="N22" s="15">
        <f>IFERROR(__xludf.DUMMYFUNCTION("""COMPUTED_VALUE"""),44719.0)</f>
        <v>44719</v>
      </c>
      <c r="O22" s="15">
        <f>IFERROR(__xludf.DUMMYFUNCTION("""COMPUTED_VALUE"""),31274.0)</f>
        <v>31274</v>
      </c>
      <c r="P22" s="13" t="str">
        <f>IFERROR(__xludf.DUMMYFUNCTION("""COMPUTED_VALUE"""),"FA5668220")</f>
        <v>FA5668220</v>
      </c>
      <c r="Q22" s="13" t="str">
        <f>IFERROR(__xludf.DUMMYFUNCTION("""COMPUTED_VALUE"""),"Хамрокулов Ойбек Хурсанович")</f>
        <v>Хамрокулов Ойбек Хурсанович</v>
      </c>
      <c r="R22" s="13" t="str">
        <f>IFERROR(__xludf.DUMMYFUNCTION("""COMPUTED_VALUE"""),"79777699276")</f>
        <v>79777699276</v>
      </c>
      <c r="S22" s="13" t="str">
        <f>IFERROR(__xludf.DUMMYFUNCTION("""COMPUTED_VALUE"""),"Узбекистан")</f>
        <v>Узбекистан</v>
      </c>
      <c r="T22" s="16" t="str">
        <f>IFERROR(__xludf.DUMMYFUNCTION("""COMPUTED_VALUE"""),"https://disk.360.yandex.ru/d/-EqJRzsjrY37Nw")</f>
        <v>https://disk.360.yandex.ru/d/-EqJRzsjrY37Nw</v>
      </c>
      <c r="U22" s="13" t="str">
        <f>IFERROR(__xludf.DUMMYFUNCTION("""COMPUTED_VALUE"""),"Последний чек об оплате патента")</f>
        <v>Последний чек об оплате патента</v>
      </c>
      <c r="V22" s="15"/>
      <c r="W22" s="15">
        <f>IFERROR(__xludf.DUMMYFUNCTION("""COMPUTED_VALUE"""),45924.0)</f>
        <v>45924</v>
      </c>
      <c r="X22" s="15">
        <f>IFERROR(__xludf.DUMMYFUNCTION("""COMPUTED_VALUE"""),45981.0)</f>
        <v>45981</v>
      </c>
      <c r="Y22" s="16" t="str">
        <f>IFERROR(__xludf.DUMMYFUNCTION("""COMPUTED_VALUE"""),"https://disk.360.yandex.ru/d/SBHy9lsACJyq7w")</f>
        <v>https://disk.360.yandex.ru/d/SBHy9lsACJyq7w</v>
      </c>
      <c r="Z22" s="13"/>
      <c r="AA22" s="13"/>
    </row>
    <row r="23">
      <c r="A23" s="13" t="str">
        <f>IFERROR(__xludf.DUMMYFUNCTION("""COMPUTED_VALUE"""),"Оформлен")</f>
        <v>Оформлен</v>
      </c>
      <c r="B23" s="13" t="str">
        <f>IFERROR(__xludf.DUMMYFUNCTION("""COMPUTED_VALUE"""),"Чайхана")</f>
        <v>Чайхана</v>
      </c>
      <c r="C23" s="13" t="str">
        <f>IFERROR(__xludf.DUMMYFUNCTION("""COMPUTED_VALUE"""),"Москва")</f>
        <v>Москва</v>
      </c>
      <c r="D23" s="13" t="str">
        <f>IFERROR(__xludf.DUMMYFUNCTION("""COMPUTED_VALUE"""),"Кассир")</f>
        <v>Кассир</v>
      </c>
      <c r="E23" s="13" t="str">
        <f>IFERROR(__xludf.DUMMYFUNCTION("""COMPUTED_VALUE"""),"Улица Сущёвский Вал, 3/5")</f>
        <v>Улица Сущёвский Вал, 3/5</v>
      </c>
      <c r="F23" s="13"/>
      <c r="G23" s="15">
        <f>IFERROR(__xludf.DUMMYFUNCTION("""COMPUTED_VALUE"""),46049.0)</f>
        <v>46049</v>
      </c>
      <c r="H23" s="13"/>
      <c r="I23" s="13"/>
      <c r="J23" s="13">
        <f>IFERROR(__xludf.DUMMYFUNCTION("""COMPUTED_VALUE"""),77.0)</f>
        <v>77</v>
      </c>
      <c r="K23" s="13">
        <f>IFERROR(__xludf.DUMMYFUNCTION("""COMPUTED_VALUE"""),2.500089283E9)</f>
        <v>2500089283</v>
      </c>
      <c r="L23" s="14" t="str">
        <f>IFERROR(__xludf.DUMMYFUNCTION("""COMPUTED_VALUE"""),"ПР")</f>
        <v>ПР</v>
      </c>
      <c r="M23" s="13">
        <f>IFERROR(__xludf.DUMMYFUNCTION("""COMPUTED_VALUE"""),4636636.0)</f>
        <v>4636636</v>
      </c>
      <c r="N23" s="15">
        <f>IFERROR(__xludf.DUMMYFUNCTION("""COMPUTED_VALUE"""),44823.0)</f>
        <v>44823</v>
      </c>
      <c r="O23" s="15">
        <f>IFERROR(__xludf.DUMMYFUNCTION("""COMPUTED_VALUE"""),38945.0)</f>
        <v>38945</v>
      </c>
      <c r="P23" s="13" t="str">
        <f>IFERROR(__xludf.DUMMYFUNCTION("""COMPUTED_VALUE"""),"404283051")</f>
        <v>404283051</v>
      </c>
      <c r="Q23" s="13" t="str">
        <f>IFERROR(__xludf.DUMMYFUNCTION("""COMPUTED_VALUE"""),"Курбанов Мехробджон Манучехрович")</f>
        <v>Курбанов Мехробджон Манучехрович</v>
      </c>
      <c r="R23" s="13" t="str">
        <f>IFERROR(__xludf.DUMMYFUNCTION("""COMPUTED_VALUE"""),"79392467387")</f>
        <v>79392467387</v>
      </c>
      <c r="S23" s="13" t="str">
        <f>IFERROR(__xludf.DUMMYFUNCTION("""COMPUTED_VALUE"""),"Таджикистан")</f>
        <v>Таджикистан</v>
      </c>
      <c r="T23" s="16" t="str">
        <f>IFERROR(__xludf.DUMMYFUNCTION("""COMPUTED_VALUE"""),"https://disk.360.yandex.ru/d/QatZ16tHdtWiGg")</f>
        <v>https://disk.360.yandex.ru/d/QatZ16tHdtWiGg</v>
      </c>
      <c r="U23" s="13" t="str">
        <f>IFERROR(__xludf.DUMMYFUNCTION("""COMPUTED_VALUE"""),"Последний чек об оплате патента")</f>
        <v>Последний чек об оплате патента</v>
      </c>
      <c r="V23" s="15">
        <f>IFERROR(__xludf.DUMMYFUNCTION("""COMPUTED_VALUE"""),46001.0)</f>
        <v>46001</v>
      </c>
      <c r="W23" s="15">
        <f>IFERROR(__xludf.DUMMYFUNCTION("""COMPUTED_VALUE"""),45709.0)</f>
        <v>45709</v>
      </c>
      <c r="X23" s="15">
        <f>IFERROR(__xludf.DUMMYFUNCTION("""COMPUTED_VALUE"""),45982.0)</f>
        <v>45982</v>
      </c>
      <c r="Y23" s="16" t="str">
        <f>IFERROR(__xludf.DUMMYFUNCTION("""COMPUTED_VALUE"""),"http://docbase.fixit.su/media/uploads_docs/541/req_preview_-_2025-11-21T103926.471.pdf")</f>
        <v>http://docbase.fixit.su/media/uploads_docs/541/req_preview_-_2025-11-21T103926.471.pdf</v>
      </c>
      <c r="Z23" s="13"/>
      <c r="AA23" s="13"/>
    </row>
    <row r="24">
      <c r="A24" s="13" t="str">
        <f>IFERROR(__xludf.DUMMYFUNCTION("""COMPUTED_VALUE"""),"Оформлен")</f>
        <v>Оформлен</v>
      </c>
      <c r="B24" s="13" t="str">
        <f>IFERROR(__xludf.DUMMYFUNCTION("""COMPUTED_VALUE"""),"Чайхана")</f>
        <v>Чайхана</v>
      </c>
      <c r="C24" s="13" t="str">
        <f>IFERROR(__xludf.DUMMYFUNCTION("""COMPUTED_VALUE"""),"Москва")</f>
        <v>Москва</v>
      </c>
      <c r="D24" s="13" t="str">
        <f>IFERROR(__xludf.DUMMYFUNCTION("""COMPUTED_VALUE"""),"Кассир")</f>
        <v>Кассир</v>
      </c>
      <c r="E24" s="13" t="str">
        <f>IFERROR(__xludf.DUMMYFUNCTION("""COMPUTED_VALUE"""),"Улица Сущёвский Вал, 3/5")</f>
        <v>Улица Сущёвский Вал, 3/5</v>
      </c>
      <c r="F24" s="13"/>
      <c r="G24" s="15">
        <f>IFERROR(__xludf.DUMMYFUNCTION("""COMPUTED_VALUE"""),46049.0)</f>
        <v>46049</v>
      </c>
      <c r="H24" s="13"/>
      <c r="I24" s="13">
        <f>IFERROR(__xludf.DUMMYFUNCTION("""COMPUTED_VALUE"""),5.04047129113E11)</f>
        <v>504047129113</v>
      </c>
      <c r="J24" s="13">
        <f>IFERROR(__xludf.DUMMYFUNCTION("""COMPUTED_VALUE"""),77.0)</f>
        <v>77</v>
      </c>
      <c r="K24" s="13">
        <f>IFERROR(__xludf.DUMMYFUNCTION("""COMPUTED_VALUE"""),2.500547877E9)</f>
        <v>2500547877</v>
      </c>
      <c r="L24" s="14" t="str">
        <f>IFERROR(__xludf.DUMMYFUNCTION("""COMPUTED_VALUE"""),"ПР")</f>
        <v>ПР</v>
      </c>
      <c r="M24" s="13">
        <f>IFERROR(__xludf.DUMMYFUNCTION("""COMPUTED_VALUE"""),6150282.0)</f>
        <v>6150282</v>
      </c>
      <c r="N24" s="15">
        <f>IFERROR(__xludf.DUMMYFUNCTION("""COMPUTED_VALUE"""),45534.0)</f>
        <v>45534</v>
      </c>
      <c r="O24" s="15">
        <f>IFERROR(__xludf.DUMMYFUNCTION("""COMPUTED_VALUE"""),36330.0)</f>
        <v>36330</v>
      </c>
      <c r="P24" s="13" t="str">
        <f>IFERROR(__xludf.DUMMYFUNCTION("""COMPUTED_VALUE"""),"FB0087039")</f>
        <v>FB0087039</v>
      </c>
      <c r="Q24" s="13" t="str">
        <f>IFERROR(__xludf.DUMMYFUNCTION("""COMPUTED_VALUE"""),"Мухаммадиев Аббосжон Хусниддин Угли")</f>
        <v>Мухаммадиев Аббосжон Хусниддин Угли</v>
      </c>
      <c r="R24" s="13" t="str">
        <f>IFERROR(__xludf.DUMMYFUNCTION("""COMPUTED_VALUE"""),"79255971906")</f>
        <v>79255971906</v>
      </c>
      <c r="S24" s="13" t="str">
        <f>IFERROR(__xludf.DUMMYFUNCTION("""COMPUTED_VALUE"""),"Узбекистан")</f>
        <v>Узбекистан</v>
      </c>
      <c r="T24" s="16" t="str">
        <f>IFERROR(__xludf.DUMMYFUNCTION("""COMPUTED_VALUE"""),"https://disk.360.yandex.ru/d/aNkgjWozm4jzyw")</f>
        <v>https://disk.360.yandex.ru/d/aNkgjWozm4jzyw</v>
      </c>
      <c r="U24" s="13" t="str">
        <f>IFERROR(__xludf.DUMMYFUNCTION("""COMPUTED_VALUE"""),"Последний чек об оплате патента")</f>
        <v>Последний чек об оплате патента</v>
      </c>
      <c r="V24" s="15">
        <f>IFERROR(__xludf.DUMMYFUNCTION("""COMPUTED_VALUE"""),46028.0)</f>
        <v>46028</v>
      </c>
      <c r="W24" s="15">
        <f>IFERROR(__xludf.DUMMYFUNCTION("""COMPUTED_VALUE"""),45939.0)</f>
        <v>45939</v>
      </c>
      <c r="X24" s="15">
        <f>IFERROR(__xludf.DUMMYFUNCTION("""COMPUTED_VALUE"""),45982.0)</f>
        <v>45982</v>
      </c>
      <c r="Y24" s="16" t="str">
        <f>IFERROR(__xludf.DUMMYFUNCTION("""COMPUTED_VALUE"""),"https://disk.360.yandex.ru/d/r2UFBUWgAL6hAg")</f>
        <v>https://disk.360.yandex.ru/d/r2UFBUWgAL6hAg</v>
      </c>
      <c r="Z24" s="13"/>
      <c r="AA24" s="13"/>
    </row>
    <row r="25">
      <c r="A25" s="13" t="str">
        <f>IFERROR(__xludf.DUMMYFUNCTION("""COMPUTED_VALUE"""),"Оформлен")</f>
        <v>Оформлен</v>
      </c>
      <c r="B25" s="13" t="str">
        <f>IFERROR(__xludf.DUMMYFUNCTION("""COMPUTED_VALUE"""),"Чайхана")</f>
        <v>Чайхана</v>
      </c>
      <c r="C25" s="13" t="str">
        <f>IFERROR(__xludf.DUMMYFUNCTION("""COMPUTED_VALUE"""),"Москва")</f>
        <v>Москва</v>
      </c>
      <c r="D25" s="13" t="str">
        <f>IFERROR(__xludf.DUMMYFUNCTION("""COMPUTED_VALUE"""),"Посудомойщица")</f>
        <v>Посудомойщица</v>
      </c>
      <c r="E25" s="13" t="str">
        <f>IFERROR(__xludf.DUMMYFUNCTION("""COMPUTED_VALUE"""),"Бутырская 89 стр 2")</f>
        <v>Бутырская 89 стр 2</v>
      </c>
      <c r="F25" s="13"/>
      <c r="G25" s="15">
        <f>IFERROR(__xludf.DUMMYFUNCTION("""COMPUTED_VALUE"""),46049.0)</f>
        <v>46049</v>
      </c>
      <c r="H25" s="13"/>
      <c r="I25" s="13">
        <f>IFERROR(__xludf.DUMMYFUNCTION("""COMPUTED_VALUE"""),7.7242950104E11)</f>
        <v>772429501040</v>
      </c>
      <c r="J25" s="13">
        <f>IFERROR(__xludf.DUMMYFUNCTION("""COMPUTED_VALUE"""),77.0)</f>
        <v>77</v>
      </c>
      <c r="K25" s="13">
        <f>IFERROR(__xludf.DUMMYFUNCTION("""COMPUTED_VALUE"""),2.500106039E9)</f>
        <v>2500106039</v>
      </c>
      <c r="L25" s="14" t="str">
        <f>IFERROR(__xludf.DUMMYFUNCTION("""COMPUTED_VALUE"""),"ПР")</f>
        <v>ПР</v>
      </c>
      <c r="M25" s="13">
        <f>IFERROR(__xludf.DUMMYFUNCTION("""COMPUTED_VALUE"""),4652902.0)</f>
        <v>4652902</v>
      </c>
      <c r="N25" s="15">
        <f>IFERROR(__xludf.DUMMYFUNCTION("""COMPUTED_VALUE"""),45232.0)</f>
        <v>45232</v>
      </c>
      <c r="O25" s="15">
        <f>IFERROR(__xludf.DUMMYFUNCTION("""COMPUTED_VALUE"""),32048.0)</f>
        <v>32048</v>
      </c>
      <c r="P25" s="13" t="str">
        <f>IFERROR(__xludf.DUMMYFUNCTION("""COMPUTED_VALUE"""),"FA8646307")</f>
        <v>FA8646307</v>
      </c>
      <c r="Q25" s="13" t="str">
        <f>IFERROR(__xludf.DUMMYFUNCTION("""COMPUTED_VALUE"""),"Мухиддинова Ирода Исрил кизи")</f>
        <v>Мухиддинова Ирода Исрил кизи</v>
      </c>
      <c r="R25" s="13" t="str">
        <f>IFERROR(__xludf.DUMMYFUNCTION("""COMPUTED_VALUE"""),"79055847717")</f>
        <v>79055847717</v>
      </c>
      <c r="S25" s="13" t="str">
        <f>IFERROR(__xludf.DUMMYFUNCTION("""COMPUTED_VALUE"""),"Узбекистан")</f>
        <v>Узбекистан</v>
      </c>
      <c r="T25" s="16" t="str">
        <f>IFERROR(__xludf.DUMMYFUNCTION("""COMPUTED_VALUE"""),"https://disk.360.yandex.ru/d/1CTOhAuzQSUinQ")</f>
        <v>https://disk.360.yandex.ru/d/1CTOhAuzQSUinQ</v>
      </c>
      <c r="U25" s="13" t="str">
        <f>IFERROR(__xludf.DUMMYFUNCTION("""COMPUTED_VALUE"""),"Собран")</f>
        <v>Собран</v>
      </c>
      <c r="V25" s="15">
        <f>IFERROR(__xludf.DUMMYFUNCTION("""COMPUTED_VALUE"""),46080.0)</f>
        <v>46080</v>
      </c>
      <c r="W25" s="15">
        <f>IFERROR(__xludf.DUMMYFUNCTION("""COMPUTED_VALUE"""),45716.0)</f>
        <v>45716</v>
      </c>
      <c r="X25" s="15">
        <f>IFERROR(__xludf.DUMMYFUNCTION("""COMPUTED_VALUE"""),45982.0)</f>
        <v>45982</v>
      </c>
      <c r="Y25" s="16" t="str">
        <f>IFERROR(__xludf.DUMMYFUNCTION("""COMPUTED_VALUE"""),"https://disk.360.yandex.ru/d/OH1A_QgC4u1mdw")</f>
        <v>https://disk.360.yandex.ru/d/OH1A_QgC4u1mdw</v>
      </c>
      <c r="Z25" s="13"/>
      <c r="AA25" s="13"/>
    </row>
    <row r="26">
      <c r="A26" s="13" t="str">
        <f>IFERROR(__xludf.DUMMYFUNCTION("""COMPUTED_VALUE"""),"Оформлен")</f>
        <v>Оформлен</v>
      </c>
      <c r="B26" s="13" t="str">
        <f>IFERROR(__xludf.DUMMYFUNCTION("""COMPUTED_VALUE"""),"Чайхана")</f>
        <v>Чайхана</v>
      </c>
      <c r="C26" s="13" t="str">
        <f>IFERROR(__xludf.DUMMYFUNCTION("""COMPUTED_VALUE"""),"Москва")</f>
        <v>Москва</v>
      </c>
      <c r="D26" s="13" t="str">
        <f>IFERROR(__xludf.DUMMYFUNCTION("""COMPUTED_VALUE"""),"Тех.персонал")</f>
        <v>Тех.персонал</v>
      </c>
      <c r="E26" s="13" t="str">
        <f>IFERROR(__xludf.DUMMYFUNCTION("""COMPUTED_VALUE"""),"Часовая 11 стр 2")</f>
        <v>Часовая 11 стр 2</v>
      </c>
      <c r="F26" s="13"/>
      <c r="G26" s="15">
        <f>IFERROR(__xludf.DUMMYFUNCTION("""COMPUTED_VALUE"""),46049.0)</f>
        <v>46049</v>
      </c>
      <c r="H26" s="13"/>
      <c r="I26" s="13">
        <f>IFERROR(__xludf.DUMMYFUNCTION("""COMPUTED_VALUE"""),6.67803019045E11)</f>
        <v>667803019045</v>
      </c>
      <c r="J26" s="13">
        <f>IFERROR(__xludf.DUMMYFUNCTION("""COMPUTED_VALUE"""),77.0)</f>
        <v>77</v>
      </c>
      <c r="K26" s="13">
        <f>IFERROR(__xludf.DUMMYFUNCTION("""COMPUTED_VALUE"""),2.500340691E9)</f>
        <v>2500340691</v>
      </c>
      <c r="L26" s="14" t="str">
        <f>IFERROR(__xludf.DUMMYFUNCTION("""COMPUTED_VALUE"""),"ПР")</f>
        <v>ПР</v>
      </c>
      <c r="M26" s="13">
        <f>IFERROR(__xludf.DUMMYFUNCTION("""COMPUTED_VALUE"""),5946642.0)</f>
        <v>5946642</v>
      </c>
      <c r="N26" s="15">
        <f>IFERROR(__xludf.DUMMYFUNCTION("""COMPUTED_VALUE"""),45273.0)</f>
        <v>45273</v>
      </c>
      <c r="O26" s="15">
        <f>IFERROR(__xludf.DUMMYFUNCTION("""COMPUTED_VALUE"""),28218.0)</f>
        <v>28218</v>
      </c>
      <c r="P26" s="13" t="str">
        <f>IFERROR(__xludf.DUMMYFUNCTION("""COMPUTED_VALUE"""),"405116924")</f>
        <v>405116924</v>
      </c>
      <c r="Q26" s="13" t="str">
        <f>IFERROR(__xludf.DUMMYFUNCTION("""COMPUTED_VALUE"""),"Аюбова Мухайё Туйчиевна")</f>
        <v>Аюбова Мухайё Туйчиевна</v>
      </c>
      <c r="R26" s="13" t="str">
        <f>IFERROR(__xludf.DUMMYFUNCTION("""COMPUTED_VALUE"""),"79969645979")</f>
        <v>79969645979</v>
      </c>
      <c r="S26" s="13" t="str">
        <f>IFERROR(__xludf.DUMMYFUNCTION("""COMPUTED_VALUE"""),"Таджикистан")</f>
        <v>Таджикистан</v>
      </c>
      <c r="T26" s="16" t="str">
        <f>IFERROR(__xludf.DUMMYFUNCTION("""COMPUTED_VALUE"""),"https://disk.360.yandex.ru/d/_HqqLCsfULMkuA")</f>
        <v>https://disk.360.yandex.ru/d/_HqqLCsfULMkuA</v>
      </c>
      <c r="U26" s="13" t="str">
        <f>IFERROR(__xludf.DUMMYFUNCTION("""COMPUTED_VALUE"""),"скрин с Амины+последний чек")</f>
        <v>скрин с Амины+последний чек</v>
      </c>
      <c r="V26" s="15">
        <f>IFERROR(__xludf.DUMMYFUNCTION("""COMPUTED_VALUE"""),45989.0)</f>
        <v>45989</v>
      </c>
      <c r="W26" s="15">
        <f>IFERROR(__xludf.DUMMYFUNCTION("""COMPUTED_VALUE"""),45817.0)</f>
        <v>45817</v>
      </c>
      <c r="X26" s="15">
        <f>IFERROR(__xludf.DUMMYFUNCTION("""COMPUTED_VALUE"""),45983.0)</f>
        <v>45983</v>
      </c>
      <c r="Y26" s="16" t="str">
        <f>IFERROR(__xludf.DUMMYFUNCTION("""COMPUTED_VALUE"""),"https://disk.yandex.ru/d/pxx1E2GNxbN7tg")</f>
        <v>https://disk.yandex.ru/d/pxx1E2GNxbN7tg</v>
      </c>
      <c r="Z26" s="13"/>
      <c r="AA26" s="13"/>
    </row>
    <row r="27">
      <c r="A27" s="13" t="str">
        <f>IFERROR(__xludf.DUMMYFUNCTION("""COMPUTED_VALUE"""),"Оформлен")</f>
        <v>Оформлен</v>
      </c>
      <c r="B27" s="13" t="str">
        <f>IFERROR(__xludf.DUMMYFUNCTION("""COMPUTED_VALUE"""),"Чайхана")</f>
        <v>Чайхана</v>
      </c>
      <c r="C27" s="13" t="str">
        <f>IFERROR(__xludf.DUMMYFUNCTION("""COMPUTED_VALUE"""),"Москва")</f>
        <v>Москва</v>
      </c>
      <c r="D27" s="13" t="str">
        <f>IFERROR(__xludf.DUMMYFUNCTION("""COMPUTED_VALUE"""),"Повар")</f>
        <v>Повар</v>
      </c>
      <c r="E27" s="13" t="str">
        <f>IFERROR(__xludf.DUMMYFUNCTION("""COMPUTED_VALUE"""),"Улица Сущёвский Вал, 3/5")</f>
        <v>Улица Сущёвский Вал, 3/5</v>
      </c>
      <c r="F27" s="13"/>
      <c r="G27" s="15">
        <f>IFERROR(__xludf.DUMMYFUNCTION("""COMPUTED_VALUE"""),46049.0)</f>
        <v>46049</v>
      </c>
      <c r="H27" s="13" t="str">
        <f>IFERROR(__xludf.DUMMYFUNCTION("""COMPUTED_VALUE"""),"до 15.01.2026")</f>
        <v>до 15.01.2026</v>
      </c>
      <c r="I27" s="13"/>
      <c r="J27" s="13">
        <f>IFERROR(__xludf.DUMMYFUNCTION("""COMPUTED_VALUE"""),77.0)</f>
        <v>77</v>
      </c>
      <c r="K27" s="13">
        <f>IFERROR(__xludf.DUMMYFUNCTION("""COMPUTED_VALUE"""),2.500224033E9)</f>
        <v>2500224033</v>
      </c>
      <c r="L27" s="14" t="str">
        <f>IFERROR(__xludf.DUMMYFUNCTION("""COMPUTED_VALUE"""),"ПР")</f>
        <v>ПР</v>
      </c>
      <c r="M27" s="13">
        <f>IFERROR(__xludf.DUMMYFUNCTION("""COMPUTED_VALUE"""),5831790.0)</f>
        <v>5831790</v>
      </c>
      <c r="N27" s="15">
        <f>IFERROR(__xludf.DUMMYFUNCTION("""COMPUTED_VALUE"""),43763.0)</f>
        <v>43763</v>
      </c>
      <c r="O27" s="15">
        <f>IFERROR(__xludf.DUMMYFUNCTION("""COMPUTED_VALUE"""),37844.0)</f>
        <v>37844</v>
      </c>
      <c r="P27" s="13" t="str">
        <f>IFERROR(__xludf.DUMMYFUNCTION("""COMPUTED_VALUE"""),"402897765")</f>
        <v>402897765</v>
      </c>
      <c r="Q27" s="13" t="str">
        <f>IFERROR(__xludf.DUMMYFUNCTION("""COMPUTED_VALUE"""),"Далив Мехроб Шомуродович ")</f>
        <v>Далив Мехроб Шомуродович </v>
      </c>
      <c r="R27" s="13" t="str">
        <f>IFERROR(__xludf.DUMMYFUNCTION("""COMPUTED_VALUE"""),"79969875036")</f>
        <v>79969875036</v>
      </c>
      <c r="S27" s="13" t="str">
        <f>IFERROR(__xludf.DUMMYFUNCTION("""COMPUTED_VALUE"""),"Таджикистан")</f>
        <v>Таджикистан</v>
      </c>
      <c r="T27" s="16" t="str">
        <f>IFERROR(__xludf.DUMMYFUNCTION("""COMPUTED_VALUE"""),"https://disk.360.yandex.ru/d/9y0G-h14DQC6GQ")</f>
        <v>https://disk.360.yandex.ru/d/9y0G-h14DQC6GQ</v>
      </c>
      <c r="U27" s="13" t="str">
        <f>IFERROR(__xludf.DUMMYFUNCTION("""COMPUTED_VALUE"""),"Последний чек об оплате патента")</f>
        <v>Последний чек об оплате патента</v>
      </c>
      <c r="V27" s="15">
        <f>IFERROR(__xludf.DUMMYFUNCTION("""COMPUTED_VALUE"""),46004.0)</f>
        <v>46004</v>
      </c>
      <c r="W27" s="15">
        <f>IFERROR(__xludf.DUMMYFUNCTION("""COMPUTED_VALUE"""),45762.0)</f>
        <v>45762</v>
      </c>
      <c r="X27" s="15">
        <f>IFERROR(__xludf.DUMMYFUNCTION("""COMPUTED_VALUE"""),45983.0)</f>
        <v>45983</v>
      </c>
      <c r="Y27" s="16" t="str">
        <f>IFERROR(__xludf.DUMMYFUNCTION("""COMPUTED_VALUE"""),"http://docbase.fixit.su/media/uploads_docs/315/req_preview_-_2025-11-22T142328.165.pdf")</f>
        <v>http://docbase.fixit.su/media/uploads_docs/315/req_preview_-_2025-11-22T142328.165.pdf</v>
      </c>
      <c r="Z27" s="13"/>
      <c r="AA27" s="13"/>
    </row>
    <row r="28">
      <c r="A28" s="13" t="str">
        <f>IFERROR(__xludf.DUMMYFUNCTION("""COMPUTED_VALUE"""),"Оформлен")</f>
        <v>Оформлен</v>
      </c>
      <c r="B28" s="13" t="str">
        <f>IFERROR(__xludf.DUMMYFUNCTION("""COMPUTED_VALUE"""),"Чайхана")</f>
        <v>Чайхана</v>
      </c>
      <c r="C28" s="13" t="str">
        <f>IFERROR(__xludf.DUMMYFUNCTION("""COMPUTED_VALUE"""),"Москва")</f>
        <v>Москва</v>
      </c>
      <c r="D28" s="13" t="str">
        <f>IFERROR(__xludf.DUMMYFUNCTION("""COMPUTED_VALUE"""),"Кассир")</f>
        <v>Кассир</v>
      </c>
      <c r="E28" s="13" t="str">
        <f>IFERROR(__xludf.DUMMYFUNCTION("""COMPUTED_VALUE"""),"Чайхана Красная Пресня 29")</f>
        <v>Чайхана Красная Пресня 29</v>
      </c>
      <c r="F28" s="13"/>
      <c r="G28" s="15">
        <f>IFERROR(__xludf.DUMMYFUNCTION("""COMPUTED_VALUE"""),46049.0)</f>
        <v>46049</v>
      </c>
      <c r="H28" s="13"/>
      <c r="I28" s="13">
        <f>IFERROR(__xludf.DUMMYFUNCTION("""COMPUTED_VALUE"""),7.72844070731E11)</f>
        <v>772844070731</v>
      </c>
      <c r="J28" s="13">
        <f>IFERROR(__xludf.DUMMYFUNCTION("""COMPUTED_VALUE"""),77.0)</f>
        <v>77</v>
      </c>
      <c r="K28" s="13">
        <f>IFERROR(__xludf.DUMMYFUNCTION("""COMPUTED_VALUE"""),2.500300722E9)</f>
        <v>2500300722</v>
      </c>
      <c r="L28" s="14" t="str">
        <f>IFERROR(__xludf.DUMMYFUNCTION("""COMPUTED_VALUE"""),"ПР")</f>
        <v>ПР</v>
      </c>
      <c r="M28" s="13">
        <f>IFERROR(__xludf.DUMMYFUNCTION("""COMPUTED_VALUE"""),5908808.0)</f>
        <v>5908808</v>
      </c>
      <c r="N28" s="15">
        <f>IFERROR(__xludf.DUMMYFUNCTION("""COMPUTED_VALUE"""),43693.0)</f>
        <v>43693</v>
      </c>
      <c r="O28" s="15">
        <f>IFERROR(__xludf.DUMMYFUNCTION("""COMPUTED_VALUE"""),30285.0)</f>
        <v>30285</v>
      </c>
      <c r="P28" s="13" t="str">
        <f>IFERROR(__xludf.DUMMYFUNCTION("""COMPUTED_VALUE"""),"402781968")</f>
        <v>402781968</v>
      </c>
      <c r="Q28" s="13" t="str">
        <f>IFERROR(__xludf.DUMMYFUNCTION("""COMPUTED_VALUE"""),"Камолзода Саидабону")</f>
        <v>Камолзода Саидабону</v>
      </c>
      <c r="R28" s="13" t="str">
        <f>IFERROR(__xludf.DUMMYFUNCTION("""COMPUTED_VALUE"""),"79776328956")</f>
        <v>79776328956</v>
      </c>
      <c r="S28" s="13" t="str">
        <f>IFERROR(__xludf.DUMMYFUNCTION("""COMPUTED_VALUE"""),"Таджикистан")</f>
        <v>Таджикистан</v>
      </c>
      <c r="T28" s="16" t="str">
        <f>IFERROR(__xludf.DUMMYFUNCTION("""COMPUTED_VALUE"""),"https://disk.360.yandex.ru/d/ILzNmpcxR7x5-Q")</f>
        <v>https://disk.360.yandex.ru/d/ILzNmpcxR7x5-Q</v>
      </c>
      <c r="U28" s="13" t="str">
        <f>IFERROR(__xludf.DUMMYFUNCTION("""COMPUTED_VALUE"""),"собран")</f>
        <v>собран</v>
      </c>
      <c r="V28" s="15">
        <f>IFERROR(__xludf.DUMMYFUNCTION("""COMPUTED_VALUE"""),46074.0)</f>
        <v>46074</v>
      </c>
      <c r="W28" s="15">
        <f>IFERROR(__xludf.DUMMYFUNCTION("""COMPUTED_VALUE"""),45799.0)</f>
        <v>45799</v>
      </c>
      <c r="X28" s="15">
        <f>IFERROR(__xludf.DUMMYFUNCTION("""COMPUTED_VALUE"""),45983.0)</f>
        <v>45983</v>
      </c>
      <c r="Y28" s="16" t="str">
        <f>IFERROR(__xludf.DUMMYFUNCTION("""COMPUTED_VALUE"""),"https://disk.yandex.ru/d/GTO-J4Wq_21EiQ")</f>
        <v>https://disk.yandex.ru/d/GTO-J4Wq_21EiQ</v>
      </c>
      <c r="Z28" s="13"/>
      <c r="AA28" s="13"/>
    </row>
    <row r="29">
      <c r="A29" s="13" t="str">
        <f>IFERROR(__xludf.DUMMYFUNCTION("""COMPUTED_VALUE"""),"Оформлен")</f>
        <v>Оформлен</v>
      </c>
      <c r="B29" s="13" t="str">
        <f>IFERROR(__xludf.DUMMYFUNCTION("""COMPUTED_VALUE"""),"Чайхана")</f>
        <v>Чайхана</v>
      </c>
      <c r="C29" s="13" t="str">
        <f>IFERROR(__xludf.DUMMYFUNCTION("""COMPUTED_VALUE"""),"Москва")</f>
        <v>Москва</v>
      </c>
      <c r="D29" s="13" t="str">
        <f>IFERROR(__xludf.DUMMYFUNCTION("""COMPUTED_VALUE"""),"Уборщица")</f>
        <v>Уборщица</v>
      </c>
      <c r="E29" s="13" t="str">
        <f>IFERROR(__xludf.DUMMYFUNCTION("""COMPUTED_VALUE"""),"Ул. Савеловская линия 9")</f>
        <v>Ул. Савеловская линия 9</v>
      </c>
      <c r="F29" s="13"/>
      <c r="G29" s="15">
        <f>IFERROR(__xludf.DUMMYFUNCTION("""COMPUTED_VALUE"""),46049.0)</f>
        <v>46049</v>
      </c>
      <c r="H29" s="13"/>
      <c r="I29" s="13">
        <f>IFERROR(__xludf.DUMMYFUNCTION("""COMPUTED_VALUE"""),7.743424938E11)</f>
        <v>774342493800</v>
      </c>
      <c r="J29" s="13">
        <f>IFERROR(__xludf.DUMMYFUNCTION("""COMPUTED_VALUE"""),77.0)</f>
        <v>77</v>
      </c>
      <c r="K29" s="13">
        <f>IFERROR(__xludf.DUMMYFUNCTION("""COMPUTED_VALUE"""),2.500400097E9)</f>
        <v>2500400097</v>
      </c>
      <c r="L29" s="14" t="str">
        <f>IFERROR(__xludf.DUMMYFUNCTION("""COMPUTED_VALUE"""),"ПР")</f>
        <v>ПР</v>
      </c>
      <c r="M29" s="13">
        <f>IFERROR(__xludf.DUMMYFUNCTION("""COMPUTED_VALUE"""),6004239.0)</f>
        <v>6004239</v>
      </c>
      <c r="N29" s="15">
        <f>IFERROR(__xludf.DUMMYFUNCTION("""COMPUTED_VALUE"""),45504.0)</f>
        <v>45504</v>
      </c>
      <c r="O29" s="15">
        <f>IFERROR(__xludf.DUMMYFUNCTION("""COMPUTED_VALUE"""),25942.0)</f>
        <v>25942</v>
      </c>
      <c r="P29" s="13" t="str">
        <f>IFERROR(__xludf.DUMMYFUNCTION("""COMPUTED_VALUE"""),"405539239")</f>
        <v>405539239</v>
      </c>
      <c r="Q29" s="13" t="str">
        <f>IFERROR(__xludf.DUMMYFUNCTION("""COMPUTED_VALUE"""),"Курбанова Саломатхон Амиркуловна")</f>
        <v>Курбанова Саломатхон Амиркуловна</v>
      </c>
      <c r="R29" s="13" t="str">
        <f>IFERROR(__xludf.DUMMYFUNCTION("""COMPUTED_VALUE"""),"79252580102")</f>
        <v>79252580102</v>
      </c>
      <c r="S29" s="13" t="str">
        <f>IFERROR(__xludf.DUMMYFUNCTION("""COMPUTED_VALUE"""),"Таджикистан")</f>
        <v>Таджикистан</v>
      </c>
      <c r="T29" s="16" t="str">
        <f>IFERROR(__xludf.DUMMYFUNCTION("""COMPUTED_VALUE"""),"https://disk.360.yandex.ru/d/cxm0d6r15GcToA")</f>
        <v>https://disk.360.yandex.ru/d/cxm0d6r15GcToA</v>
      </c>
      <c r="U29" s="13" t="str">
        <f>IFERROR(__xludf.DUMMYFUNCTION("""COMPUTED_VALUE"""),"Последний чек об оплате патента")</f>
        <v>Последний чек об оплате патента</v>
      </c>
      <c r="V29" s="15">
        <f>IFERROR(__xludf.DUMMYFUNCTION("""COMPUTED_VALUE"""),46029.0)</f>
        <v>46029</v>
      </c>
      <c r="W29" s="15">
        <f>IFERROR(__xludf.DUMMYFUNCTION("""COMPUTED_VALUE"""),45849.0)</f>
        <v>45849</v>
      </c>
      <c r="X29" s="15">
        <f>IFERROR(__xludf.DUMMYFUNCTION("""COMPUTED_VALUE"""),45983.0)</f>
        <v>45983</v>
      </c>
      <c r="Y29" s="16" t="str">
        <f>IFERROR(__xludf.DUMMYFUNCTION("""COMPUTED_VALUE"""),"https://disk.yandex.ru/d/iq_8WPe3hgHX_g")</f>
        <v>https://disk.yandex.ru/d/iq_8WPe3hgHX_g</v>
      </c>
      <c r="Z29" s="13"/>
      <c r="AA29" s="13"/>
    </row>
    <row r="30">
      <c r="A30" s="13" t="str">
        <f>IFERROR(__xludf.DUMMYFUNCTION("""COMPUTED_VALUE"""),"Оформлен")</f>
        <v>Оформлен</v>
      </c>
      <c r="B30" s="13" t="str">
        <f>IFERROR(__xludf.DUMMYFUNCTION("""COMPUTED_VALUE"""),"Чайхана")</f>
        <v>Чайхана</v>
      </c>
      <c r="C30" s="13" t="str">
        <f>IFERROR(__xludf.DUMMYFUNCTION("""COMPUTED_VALUE"""),"Москва")</f>
        <v>Москва</v>
      </c>
      <c r="D30" s="13" t="str">
        <f>IFERROR(__xludf.DUMMYFUNCTION("""COMPUTED_VALUE"""),"Повар")</f>
        <v>Повар</v>
      </c>
      <c r="E30" s="13" t="str">
        <f>IFERROR(__xludf.DUMMYFUNCTION("""COMPUTED_VALUE"""),"Улица Сущёвский Вал, 3/5")</f>
        <v>Улица Сущёвский Вал, 3/5</v>
      </c>
      <c r="F30" s="13"/>
      <c r="G30" s="15">
        <f>IFERROR(__xludf.DUMMYFUNCTION("""COMPUTED_VALUE"""),46049.0)</f>
        <v>46049</v>
      </c>
      <c r="H30" s="13"/>
      <c r="I30" s="13"/>
      <c r="J30" s="13">
        <f>IFERROR(__xludf.DUMMYFUNCTION("""COMPUTED_VALUE"""),77.0)</f>
        <v>77</v>
      </c>
      <c r="K30" s="13">
        <f>IFERROR(__xludf.DUMMYFUNCTION("""COMPUTED_VALUE"""),2.500521297E9)</f>
        <v>2500521297</v>
      </c>
      <c r="L30" s="14" t="str">
        <f>IFERROR(__xludf.DUMMYFUNCTION("""COMPUTED_VALUE"""),"ПР")</f>
        <v>ПР</v>
      </c>
      <c r="M30" s="13">
        <f>IFERROR(__xludf.DUMMYFUNCTION("""COMPUTED_VALUE"""),6122910.0)</f>
        <v>6122910</v>
      </c>
      <c r="N30" s="15">
        <f>IFERROR(__xludf.DUMMYFUNCTION("""COMPUTED_VALUE"""),45491.0)</f>
        <v>45491</v>
      </c>
      <c r="O30" s="15">
        <f>IFERROR(__xludf.DUMMYFUNCTION("""COMPUTED_VALUE"""),33666.0)</f>
        <v>33666</v>
      </c>
      <c r="P30" s="13" t="str">
        <f>IFERROR(__xludf.DUMMYFUNCTION("""COMPUTED_VALUE"""),"FA9868275")</f>
        <v>FA9868275</v>
      </c>
      <c r="Q30" s="13" t="str">
        <f>IFERROR(__xludf.DUMMYFUNCTION("""COMPUTED_VALUE"""),"Курбонова Умида Юсуб Кизи")</f>
        <v>Курбонова Умида Юсуб Кизи</v>
      </c>
      <c r="R30" s="13" t="str">
        <f>IFERROR(__xludf.DUMMYFUNCTION("""COMPUTED_VALUE"""),"79669807315")</f>
        <v>79669807315</v>
      </c>
      <c r="S30" s="13" t="str">
        <f>IFERROR(__xludf.DUMMYFUNCTION("""COMPUTED_VALUE"""),"Узбекистан")</f>
        <v>Узбекистан</v>
      </c>
      <c r="T30" s="16" t="str">
        <f>IFERROR(__xludf.DUMMYFUNCTION("""COMPUTED_VALUE"""),"https://disk.360.yandex.ru/d/chrGmcnsMRLxqg")</f>
        <v>https://disk.360.yandex.ru/d/chrGmcnsMRLxqg</v>
      </c>
      <c r="U30" s="13" t="str">
        <f>IFERROR(__xludf.DUMMYFUNCTION("""COMPUTED_VALUE"""),"Собран")</f>
        <v>Собран</v>
      </c>
      <c r="V30" s="15">
        <f>IFERROR(__xludf.DUMMYFUNCTION("""COMPUTED_VALUE"""),46076.0)</f>
        <v>46076</v>
      </c>
      <c r="W30" s="15">
        <f>IFERROR(__xludf.DUMMYFUNCTION("""COMPUTED_VALUE"""),45925.0)</f>
        <v>45925</v>
      </c>
      <c r="X30" s="15">
        <f>IFERROR(__xludf.DUMMYFUNCTION("""COMPUTED_VALUE"""),45983.0)</f>
        <v>45983</v>
      </c>
      <c r="Y30" s="16" t="str">
        <f>IFERROR(__xludf.DUMMYFUNCTION("""COMPUTED_VALUE"""),"https://disk.360.yandex.ru/d/bsS8a4rremBoFA")</f>
        <v>https://disk.360.yandex.ru/d/bsS8a4rremBoFA</v>
      </c>
      <c r="Z30" s="13"/>
      <c r="AA30" s="13"/>
    </row>
    <row r="31">
      <c r="A31" s="13" t="str">
        <f>IFERROR(__xludf.DUMMYFUNCTION("""COMPUTED_VALUE"""),"Оформлен")</f>
        <v>Оформлен</v>
      </c>
      <c r="B31" s="13" t="str">
        <f>IFERROR(__xludf.DUMMYFUNCTION("""COMPUTED_VALUE"""),"Чайхана")</f>
        <v>Чайхана</v>
      </c>
      <c r="C31" s="13" t="str">
        <f>IFERROR(__xludf.DUMMYFUNCTION("""COMPUTED_VALUE"""),"Москва")</f>
        <v>Москва</v>
      </c>
      <c r="D31" s="13" t="str">
        <f>IFERROR(__xludf.DUMMYFUNCTION("""COMPUTED_VALUE"""),"Уборщица")</f>
        <v>Уборщица</v>
      </c>
      <c r="E31" s="13" t="str">
        <f>IFERROR(__xludf.DUMMYFUNCTION("""COMPUTED_VALUE"""),"Смольная улица 24Гс6")</f>
        <v>Смольная улица 24Гс6</v>
      </c>
      <c r="F31" s="13"/>
      <c r="G31" s="15">
        <f>IFERROR(__xludf.DUMMYFUNCTION("""COMPUTED_VALUE"""),46049.0)</f>
        <v>46049</v>
      </c>
      <c r="H31" s="13"/>
      <c r="I31" s="13">
        <f>IFERROR(__xludf.DUMMYFUNCTION("""COMPUTED_VALUE"""),5.02776500895E11)</f>
        <v>502776500895</v>
      </c>
      <c r="J31" s="13"/>
      <c r="K31" s="13"/>
      <c r="L31" s="14"/>
      <c r="M31" s="13"/>
      <c r="N31" s="15">
        <f>IFERROR(__xludf.DUMMYFUNCTION("""COMPUTED_VALUE"""),45134.0)</f>
        <v>45134</v>
      </c>
      <c r="O31" s="15">
        <f>IFERROR(__xludf.DUMMYFUNCTION("""COMPUTED_VALUE"""),30878.0)</f>
        <v>30878</v>
      </c>
      <c r="P31" s="13" t="str">
        <f>IFERROR(__xludf.DUMMYFUNCTION("""COMPUTED_VALUE"""),"ID3511926")</f>
        <v>ID3511926</v>
      </c>
      <c r="Q31" s="13" t="str">
        <f>IFERROR(__xludf.DUMMYFUNCTION("""COMPUTED_VALUE"""),"Мажитова Диляфруз")</f>
        <v>Мажитова Диляфруз</v>
      </c>
      <c r="R31" s="13" t="str">
        <f>IFERROR(__xludf.DUMMYFUNCTION("""COMPUTED_VALUE"""),"79031479284")</f>
        <v>79031479284</v>
      </c>
      <c r="S31" s="13" t="str">
        <f>IFERROR(__xludf.DUMMYFUNCTION("""COMPUTED_VALUE"""),"Кыргызстан")</f>
        <v>Кыргызстан</v>
      </c>
      <c r="T31" s="16" t="str">
        <f>IFERROR(__xludf.DUMMYFUNCTION("""COMPUTED_VALUE"""),"https://disk.360.yandex.ru/d/yMr_hN0ZmztyaA")</f>
        <v>https://disk.360.yandex.ru/d/yMr_hN0ZmztyaA</v>
      </c>
      <c r="U31" s="13" t="str">
        <f>IFERROR(__xludf.DUMMYFUNCTION("""COMPUTED_VALUE"""),"Собран")</f>
        <v>Собран</v>
      </c>
      <c r="V31" s="15"/>
      <c r="W31" s="15"/>
      <c r="X31" s="15">
        <f>IFERROR(__xludf.DUMMYFUNCTION("""COMPUTED_VALUE"""),45983.0)</f>
        <v>45983</v>
      </c>
      <c r="Y31" s="16" t="str">
        <f>IFERROR(__xludf.DUMMYFUNCTION("""COMPUTED_VALUE"""),"https://disk.yandex.ru/d/_qO9djWNFDomDg")</f>
        <v>https://disk.yandex.ru/d/_qO9djWNFDomDg</v>
      </c>
      <c r="Z31" s="13"/>
      <c r="AA31" s="13"/>
    </row>
    <row r="32">
      <c r="A32" s="13" t="str">
        <f>IFERROR(__xludf.DUMMYFUNCTION("""COMPUTED_VALUE"""),"Оформлен")</f>
        <v>Оформлен</v>
      </c>
      <c r="B32" s="13" t="str">
        <f>IFERROR(__xludf.DUMMYFUNCTION("""COMPUTED_VALUE"""),"Чайхана")</f>
        <v>Чайхана</v>
      </c>
      <c r="C32" s="13" t="str">
        <f>IFERROR(__xludf.DUMMYFUNCTION("""COMPUTED_VALUE"""),"Москва")</f>
        <v>Москва</v>
      </c>
      <c r="D32" s="13" t="str">
        <f>IFERROR(__xludf.DUMMYFUNCTION("""COMPUTED_VALUE"""),"Повар")</f>
        <v>Повар</v>
      </c>
      <c r="E32" s="13" t="str">
        <f>IFERROR(__xludf.DUMMYFUNCTION("""COMPUTED_VALUE"""),"Чайхана Красная Пресня 29")</f>
        <v>Чайхана Красная Пресня 29</v>
      </c>
      <c r="F32" s="13"/>
      <c r="G32" s="15">
        <f>IFERROR(__xludf.DUMMYFUNCTION("""COMPUTED_VALUE"""),46049.0)</f>
        <v>46049</v>
      </c>
      <c r="H32" s="13"/>
      <c r="I32" s="13">
        <f>IFERROR(__xludf.DUMMYFUNCTION("""COMPUTED_VALUE"""),7.84210910349E11)</f>
        <v>784210910349</v>
      </c>
      <c r="J32" s="13">
        <f>IFERROR(__xludf.DUMMYFUNCTION("""COMPUTED_VALUE"""),50.0)</f>
        <v>50</v>
      </c>
      <c r="K32" s="13">
        <f>IFERROR(__xludf.DUMMYFUNCTION("""COMPUTED_VALUE"""),2.500187436E9)</f>
        <v>2500187436</v>
      </c>
      <c r="L32" s="14" t="str">
        <f>IFERROR(__xludf.DUMMYFUNCTION("""COMPUTED_VALUE"""),"ПР")</f>
        <v>ПР</v>
      </c>
      <c r="M32" s="13">
        <f>IFERROR(__xludf.DUMMYFUNCTION("""COMPUTED_VALUE"""),6494175.0)</f>
        <v>6494175</v>
      </c>
      <c r="N32" s="15">
        <f>IFERROR(__xludf.DUMMYFUNCTION("""COMPUTED_VALUE"""),44240.0)</f>
        <v>44240</v>
      </c>
      <c r="O32" s="15">
        <f>IFERROR(__xludf.DUMMYFUNCTION("""COMPUTED_VALUE"""),34256.0)</f>
        <v>34256</v>
      </c>
      <c r="P32" s="13" t="str">
        <f>IFERROR(__xludf.DUMMYFUNCTION("""COMPUTED_VALUE"""),"FA2105883")</f>
        <v>FA2105883</v>
      </c>
      <c r="Q32" s="13" t="str">
        <f>IFERROR(__xludf.DUMMYFUNCTION("""COMPUTED_VALUE"""),"Холмирзаев Сохибжон Абдулвохид угли")</f>
        <v>Холмирзаев Сохибжон Абдулвохид угли</v>
      </c>
      <c r="R32" s="13" t="str">
        <f>IFERROR(__xludf.DUMMYFUNCTION("""COMPUTED_VALUE"""),"79775040607")</f>
        <v>79775040607</v>
      </c>
      <c r="S32" s="13" t="str">
        <f>IFERROR(__xludf.DUMMYFUNCTION("""COMPUTED_VALUE"""),"Узбекистан")</f>
        <v>Узбекистан</v>
      </c>
      <c r="T32" s="16" t="str">
        <f>IFERROR(__xludf.DUMMYFUNCTION("""COMPUTED_VALUE"""),"https://disk.360.yandex.ru/d/iMQtjjgsjkpzrQ")</f>
        <v>https://disk.360.yandex.ru/d/iMQtjjgsjkpzrQ</v>
      </c>
      <c r="U32" s="13" t="str">
        <f>IFERROR(__xludf.DUMMYFUNCTION("""COMPUTED_VALUE"""),"Собран")</f>
        <v>Собран</v>
      </c>
      <c r="V32" s="15">
        <f>IFERROR(__xludf.DUMMYFUNCTION("""COMPUTED_VALUE"""),46060.0)</f>
        <v>46060</v>
      </c>
      <c r="W32" s="15">
        <f>IFERROR(__xludf.DUMMYFUNCTION("""COMPUTED_VALUE"""),45787.0)</f>
        <v>45787</v>
      </c>
      <c r="X32" s="15">
        <f>IFERROR(__xludf.DUMMYFUNCTION("""COMPUTED_VALUE"""),45983.0)</f>
        <v>45983</v>
      </c>
      <c r="Y32" s="16" t="str">
        <f>IFERROR(__xludf.DUMMYFUNCTION("""COMPUTED_VALUE"""),"http://docbase.fixit.su/media/uploads_docs/540/req_preview_-_2025-11-22T143630.505.pdf")</f>
        <v>http://docbase.fixit.su/media/uploads_docs/540/req_preview_-_2025-11-22T143630.505.pdf</v>
      </c>
      <c r="Z32" s="13"/>
      <c r="AA32" s="13"/>
    </row>
    <row r="33">
      <c r="A33" s="13" t="str">
        <f>IFERROR(__xludf.DUMMYFUNCTION("""COMPUTED_VALUE"""),"Оформлен")</f>
        <v>Оформлен</v>
      </c>
      <c r="B33" s="13" t="str">
        <f>IFERROR(__xludf.DUMMYFUNCTION("""COMPUTED_VALUE"""),"Чайхана")</f>
        <v>Чайхана</v>
      </c>
      <c r="C33" s="13" t="str">
        <f>IFERROR(__xludf.DUMMYFUNCTION("""COMPUTED_VALUE"""),"Москва")</f>
        <v>Москва</v>
      </c>
      <c r="D33" s="13" t="str">
        <f>IFERROR(__xludf.DUMMYFUNCTION("""COMPUTED_VALUE"""),"Повар")</f>
        <v>Повар</v>
      </c>
      <c r="E33" s="13" t="str">
        <f>IFERROR(__xludf.DUMMYFUNCTION("""COMPUTED_VALUE"""),"Улица Сущёвский Вал, 3/5")</f>
        <v>Улица Сущёвский Вал, 3/5</v>
      </c>
      <c r="F33" s="13"/>
      <c r="G33" s="15">
        <f>IFERROR(__xludf.DUMMYFUNCTION("""COMPUTED_VALUE"""),46049.0)</f>
        <v>46049</v>
      </c>
      <c r="H33" s="13"/>
      <c r="I33" s="13">
        <f>IFERROR(__xludf.DUMMYFUNCTION("""COMPUTED_VALUE"""),7.7510990828E11)</f>
        <v>775109908280</v>
      </c>
      <c r="J33" s="13">
        <f>IFERROR(__xludf.DUMMYFUNCTION("""COMPUTED_VALUE"""),77.0)</f>
        <v>77</v>
      </c>
      <c r="K33" s="13">
        <f>IFERROR(__xludf.DUMMYFUNCTION("""COMPUTED_VALUE"""),2.500511219E9)</f>
        <v>2500511219</v>
      </c>
      <c r="L33" s="14" t="str">
        <f>IFERROR(__xludf.DUMMYFUNCTION("""COMPUTED_VALUE"""),"ПР")</f>
        <v>ПР</v>
      </c>
      <c r="M33" s="13">
        <f>IFERROR(__xludf.DUMMYFUNCTION("""COMPUTED_VALUE"""),6113965.0)</f>
        <v>6113965</v>
      </c>
      <c r="N33" s="15">
        <f>IFERROR(__xludf.DUMMYFUNCTION("""COMPUTED_VALUE"""),45866.0)</f>
        <v>45866</v>
      </c>
      <c r="O33" s="15">
        <f>IFERROR(__xludf.DUMMYFUNCTION("""COMPUTED_VALUE"""),33140.0)</f>
        <v>33140</v>
      </c>
      <c r="P33" s="13" t="str">
        <f>IFERROR(__xludf.DUMMYFUNCTION("""COMPUTED_VALUE"""),"406194840")</f>
        <v>406194840</v>
      </c>
      <c r="Q33" s="13" t="str">
        <f>IFERROR(__xludf.DUMMYFUNCTION("""COMPUTED_VALUE"""),"Эшонкулов Шердил Асроркулович")</f>
        <v>Эшонкулов Шердил Асроркулович</v>
      </c>
      <c r="R33" s="13" t="str">
        <f>IFERROR(__xludf.DUMMYFUNCTION("""COMPUTED_VALUE"""),"79683257111")</f>
        <v>79683257111</v>
      </c>
      <c r="S33" s="13" t="str">
        <f>IFERROR(__xludf.DUMMYFUNCTION("""COMPUTED_VALUE"""),"Таджикистан")</f>
        <v>Таджикистан</v>
      </c>
      <c r="T33" s="16" t="str">
        <f>IFERROR(__xludf.DUMMYFUNCTION("""COMPUTED_VALUE"""),"https://disk.360.yandex.ru/d/kB1exkeGRiuOwA")</f>
        <v>https://disk.360.yandex.ru/d/kB1exkeGRiuOwA</v>
      </c>
      <c r="U33" s="13" t="str">
        <f>IFERROR(__xludf.DUMMYFUNCTION("""COMPUTED_VALUE"""),"Собран")</f>
        <v>Собран</v>
      </c>
      <c r="V33" s="15">
        <f>IFERROR(__xludf.DUMMYFUNCTION("""COMPUTED_VALUE"""),46075.0)</f>
        <v>46075</v>
      </c>
      <c r="W33" s="15">
        <f>IFERROR(__xludf.DUMMYFUNCTION("""COMPUTED_VALUE"""),45919.0)</f>
        <v>45919</v>
      </c>
      <c r="X33" s="15">
        <f>IFERROR(__xludf.DUMMYFUNCTION("""COMPUTED_VALUE"""),45983.0)</f>
        <v>45983</v>
      </c>
      <c r="Y33" s="16" t="str">
        <f>IFERROR(__xludf.DUMMYFUNCTION("""COMPUTED_VALUE"""),"https://disk.yandex.ru/d/xSi6k76FcvzOkw")</f>
        <v>https://disk.yandex.ru/d/xSi6k76FcvzOkw</v>
      </c>
      <c r="Z33" s="13"/>
      <c r="AA33" s="13"/>
    </row>
    <row r="34">
      <c r="A34" s="13" t="str">
        <f>IFERROR(__xludf.DUMMYFUNCTION("""COMPUTED_VALUE"""),"Оформлен")</f>
        <v>Оформлен</v>
      </c>
      <c r="B34" s="13" t="str">
        <f>IFERROR(__xludf.DUMMYFUNCTION("""COMPUTED_VALUE"""),"Чайхана")</f>
        <v>Чайхана</v>
      </c>
      <c r="C34" s="13" t="str">
        <f>IFERROR(__xludf.DUMMYFUNCTION("""COMPUTED_VALUE"""),"Москва")</f>
        <v>Москва</v>
      </c>
      <c r="D34" s="13" t="str">
        <f>IFERROR(__xludf.DUMMYFUNCTION("""COMPUTED_VALUE"""),"Менеджер")</f>
        <v>Менеджер</v>
      </c>
      <c r="E34" s="13" t="str">
        <f>IFERROR(__xludf.DUMMYFUNCTION("""COMPUTED_VALUE"""),"Бутырская 89 стр 2")</f>
        <v>Бутырская 89 стр 2</v>
      </c>
      <c r="F34" s="13"/>
      <c r="G34" s="15">
        <f>IFERROR(__xludf.DUMMYFUNCTION("""COMPUTED_VALUE"""),46049.0)</f>
        <v>46049</v>
      </c>
      <c r="H34" s="13"/>
      <c r="I34" s="13">
        <f>IFERROR(__xludf.DUMMYFUNCTION("""COMPUTED_VALUE"""),7.72065375012E11)</f>
        <v>772065375012</v>
      </c>
      <c r="J34" s="13"/>
      <c r="K34" s="13"/>
      <c r="L34" s="14"/>
      <c r="M34" s="13"/>
      <c r="N34" s="15">
        <f>IFERROR(__xludf.DUMMYFUNCTION("""COMPUTED_VALUE"""),44448.0)</f>
        <v>44448</v>
      </c>
      <c r="O34" s="15">
        <f>IFERROR(__xludf.DUMMYFUNCTION("""COMPUTED_VALUE"""),34424.0)</f>
        <v>34424</v>
      </c>
      <c r="P34" s="13" t="str">
        <f>IFERROR(__xludf.DUMMYFUNCTION("""COMPUTED_VALUE"""),"PE0191070")</f>
        <v>PE0191070</v>
      </c>
      <c r="Q34" s="13" t="str">
        <f>IFERROR(__xludf.DUMMYFUNCTION("""COMPUTED_VALUE"""),"Гапарова Бегимай")</f>
        <v>Гапарова Бегимай</v>
      </c>
      <c r="R34" s="13" t="str">
        <f>IFERROR(__xludf.DUMMYFUNCTION("""COMPUTED_VALUE"""),"79257537783")</f>
        <v>79257537783</v>
      </c>
      <c r="S34" s="13" t="str">
        <f>IFERROR(__xludf.DUMMYFUNCTION("""COMPUTED_VALUE"""),"Кыргызстан")</f>
        <v>Кыргызстан</v>
      </c>
      <c r="T34" s="16" t="str">
        <f>IFERROR(__xludf.DUMMYFUNCTION("""COMPUTED_VALUE"""),"https://disk.360.yandex.ru/d/x3Idu07o0ScwhA")</f>
        <v>https://disk.360.yandex.ru/d/x3Idu07o0ScwhA</v>
      </c>
      <c r="U34" s="13" t="str">
        <f>IFERROR(__xludf.DUMMYFUNCTION("""COMPUTED_VALUE"""),"Последний чек об оплате патента")</f>
        <v>Последний чек об оплате патента</v>
      </c>
      <c r="V34" s="15">
        <f>IFERROR(__xludf.DUMMYFUNCTION("""COMPUTED_VALUE"""),46013.0)</f>
        <v>46013</v>
      </c>
      <c r="W34" s="15"/>
      <c r="X34" s="15">
        <f>IFERROR(__xludf.DUMMYFUNCTION("""COMPUTED_VALUE"""),45985.0)</f>
        <v>45985</v>
      </c>
      <c r="Y34" s="16" t="str">
        <f>IFERROR(__xludf.DUMMYFUNCTION("""COMPUTED_VALUE"""),"https://disk.360.yandex.ru/d/dSsirn0f8or5mA")</f>
        <v>https://disk.360.yandex.ru/d/dSsirn0f8or5mA</v>
      </c>
      <c r="Z34" s="13"/>
      <c r="AA34" s="13"/>
    </row>
    <row r="35">
      <c r="A35" s="13" t="str">
        <f>IFERROR(__xludf.DUMMYFUNCTION("""COMPUTED_VALUE"""),"Оформлен")</f>
        <v>Оформлен</v>
      </c>
      <c r="B35" s="13" t="str">
        <f>IFERROR(__xludf.DUMMYFUNCTION("""COMPUTED_VALUE"""),"Чайхана")</f>
        <v>Чайхана</v>
      </c>
      <c r="C35" s="13" t="str">
        <f>IFERROR(__xludf.DUMMYFUNCTION("""COMPUTED_VALUE"""),"Москва")</f>
        <v>Москва</v>
      </c>
      <c r="D35" s="13" t="str">
        <f>IFERROR(__xludf.DUMMYFUNCTION("""COMPUTED_VALUE"""),"Повар")</f>
        <v>Повар</v>
      </c>
      <c r="E35" s="13" t="str">
        <f>IFERROR(__xludf.DUMMYFUNCTION("""COMPUTED_VALUE"""),"Смольная улица 24Гс6")</f>
        <v>Смольная улица 24Гс6</v>
      </c>
      <c r="F35" s="13"/>
      <c r="G35" s="15">
        <f>IFERROR(__xludf.DUMMYFUNCTION("""COMPUTED_VALUE"""),46049.0)</f>
        <v>46049</v>
      </c>
      <c r="H35" s="13"/>
      <c r="I35" s="13">
        <f>IFERROR(__xludf.DUMMYFUNCTION("""COMPUTED_VALUE"""),7.75182197834E11)</f>
        <v>775182197834</v>
      </c>
      <c r="J35" s="13">
        <f>IFERROR(__xludf.DUMMYFUNCTION("""COMPUTED_VALUE"""),77.0)</f>
        <v>77</v>
      </c>
      <c r="K35" s="13">
        <f>IFERROR(__xludf.DUMMYFUNCTION("""COMPUTED_VALUE"""),2.500479228E9)</f>
        <v>2500479228</v>
      </c>
      <c r="L35" s="14" t="str">
        <f>IFERROR(__xludf.DUMMYFUNCTION("""COMPUTED_VALUE"""),"ПР")</f>
        <v>ПР</v>
      </c>
      <c r="M35" s="13">
        <f>IFERROR(__xludf.DUMMYFUNCTION("""COMPUTED_VALUE"""),6082444.0)</f>
        <v>6082444</v>
      </c>
      <c r="N35" s="15">
        <f>IFERROR(__xludf.DUMMYFUNCTION("""COMPUTED_VALUE"""),45796.0)</f>
        <v>45796</v>
      </c>
      <c r="O35" s="15">
        <f>IFERROR(__xludf.DUMMYFUNCTION("""COMPUTED_VALUE"""),39289.0)</f>
        <v>39289</v>
      </c>
      <c r="P35" s="13" t="str">
        <f>IFERROR(__xludf.DUMMYFUNCTION("""COMPUTED_VALUE"""),"406063645")</f>
        <v>406063645</v>
      </c>
      <c r="Q35" s="13" t="str">
        <f>IFERROR(__xludf.DUMMYFUNCTION("""COMPUTED_VALUE"""),"Жураев Бахриддин Фахриддинович")</f>
        <v>Жураев Бахриддин Фахриддинович</v>
      </c>
      <c r="R35" s="13" t="str">
        <f>IFERROR(__xludf.DUMMYFUNCTION("""COMPUTED_VALUE"""),"79260684763")</f>
        <v>79260684763</v>
      </c>
      <c r="S35" s="13" t="str">
        <f>IFERROR(__xludf.DUMMYFUNCTION("""COMPUTED_VALUE"""),"Таджикистан")</f>
        <v>Таджикистан</v>
      </c>
      <c r="T35" s="16" t="str">
        <f>IFERROR(__xludf.DUMMYFUNCTION("""COMPUTED_VALUE"""),"https://disk.360.yandex.ru/d/JZwVLWb1zsHMbg")</f>
        <v>https://disk.360.yandex.ru/d/JZwVLWb1zsHMbg</v>
      </c>
      <c r="U35" s="13" t="str">
        <f>IFERROR(__xludf.DUMMYFUNCTION("""COMPUTED_VALUE"""),"Последний чек об оплате патента")</f>
        <v>Последний чек об оплате патента</v>
      </c>
      <c r="V35" s="15">
        <f>IFERROR(__xludf.DUMMYFUNCTION("""COMPUTED_VALUE"""),46049.0)</f>
        <v>46049</v>
      </c>
      <c r="W35" s="15">
        <f>IFERROR(__xludf.DUMMYFUNCTION("""COMPUTED_VALUE"""),45898.0)</f>
        <v>45898</v>
      </c>
      <c r="X35" s="15">
        <f>IFERROR(__xludf.DUMMYFUNCTION("""COMPUTED_VALUE"""),45985.0)</f>
        <v>45985</v>
      </c>
      <c r="Y35" s="16" t="str">
        <f>IFERROR(__xludf.DUMMYFUNCTION("""COMPUTED_VALUE"""),"https://disk.360.yandex.ru/d/BQiOX2gPkf4Apg")</f>
        <v>https://disk.360.yandex.ru/d/BQiOX2gPkf4Apg</v>
      </c>
      <c r="Z35" s="13"/>
      <c r="AA35" s="13"/>
    </row>
    <row r="36">
      <c r="A36" s="13" t="str">
        <f>IFERROR(__xludf.DUMMYFUNCTION("""COMPUTED_VALUE"""),"Оформлен")</f>
        <v>Оформлен</v>
      </c>
      <c r="B36" s="13" t="str">
        <f>IFERROR(__xludf.DUMMYFUNCTION("""COMPUTED_VALUE"""),"Чайхана")</f>
        <v>Чайхана</v>
      </c>
      <c r="C36" s="13" t="str">
        <f>IFERROR(__xludf.DUMMYFUNCTION("""COMPUTED_VALUE"""),"Москва")</f>
        <v>Москва</v>
      </c>
      <c r="D36" s="13" t="str">
        <f>IFERROR(__xludf.DUMMYFUNCTION("""COMPUTED_VALUE"""),"Повар")</f>
        <v>Повар</v>
      </c>
      <c r="E36" s="13" t="str">
        <f>IFERROR(__xludf.DUMMYFUNCTION("""COMPUTED_VALUE"""),"Смольная улица 24Гс6")</f>
        <v>Смольная улица 24Гс6</v>
      </c>
      <c r="F36" s="13"/>
      <c r="G36" s="15">
        <f>IFERROR(__xludf.DUMMYFUNCTION("""COMPUTED_VALUE"""),46049.0)</f>
        <v>46049</v>
      </c>
      <c r="H36" s="13"/>
      <c r="I36" s="13">
        <f>IFERROR(__xludf.DUMMYFUNCTION("""COMPUTED_VALUE"""),7.72321986304E11)</f>
        <v>772321986304</v>
      </c>
      <c r="J36" s="13">
        <f>IFERROR(__xludf.DUMMYFUNCTION("""COMPUTED_VALUE"""),77.0)</f>
        <v>77</v>
      </c>
      <c r="K36" s="13">
        <f>IFERROR(__xludf.DUMMYFUNCTION("""COMPUTED_VALUE"""),2.500470173E9)</f>
        <v>2500470173</v>
      </c>
      <c r="L36" s="14" t="str">
        <f>IFERROR(__xludf.DUMMYFUNCTION("""COMPUTED_VALUE"""),"ПР")</f>
        <v>ПР</v>
      </c>
      <c r="M36" s="13">
        <f>IFERROR(__xludf.DUMMYFUNCTION("""COMPUTED_VALUE"""),6072975.0)</f>
        <v>6072975</v>
      </c>
      <c r="N36" s="15">
        <f>IFERROR(__xludf.DUMMYFUNCTION("""COMPUTED_VALUE"""),42919.0)</f>
        <v>42919</v>
      </c>
      <c r="O36" s="15">
        <f>IFERROR(__xludf.DUMMYFUNCTION("""COMPUTED_VALUE"""),36179.0)</f>
        <v>36179</v>
      </c>
      <c r="P36" s="13" t="str">
        <f>IFERROR(__xludf.DUMMYFUNCTION("""COMPUTED_VALUE"""),"401578220")</f>
        <v>401578220</v>
      </c>
      <c r="Q36" s="13" t="str">
        <f>IFERROR(__xludf.DUMMYFUNCTION("""COMPUTED_VALUE"""),"Иброхимзода Юсуф")</f>
        <v>Иброхимзода Юсуф</v>
      </c>
      <c r="R36" s="13" t="str">
        <f>IFERROR(__xludf.DUMMYFUNCTION("""COMPUTED_VALUE"""),"79694795092")</f>
        <v>79694795092</v>
      </c>
      <c r="S36" s="13" t="str">
        <f>IFERROR(__xludf.DUMMYFUNCTION("""COMPUTED_VALUE"""),"Таджикистан")</f>
        <v>Таджикистан</v>
      </c>
      <c r="T36" s="16" t="str">
        <f>IFERROR(__xludf.DUMMYFUNCTION("""COMPUTED_VALUE"""),"https://disk.360.yandex.ru/d/3UxW75kzd_J-Tw")</f>
        <v>https://disk.360.yandex.ru/d/3UxW75kzd_J-Tw</v>
      </c>
      <c r="U36" s="13" t="str">
        <f>IFERROR(__xludf.DUMMYFUNCTION("""COMPUTED_VALUE"""),"Последний чек об оплате патента")</f>
        <v>Последний чек об оплате патента</v>
      </c>
      <c r="V36" s="15">
        <f>IFERROR(__xludf.DUMMYFUNCTION("""COMPUTED_VALUE"""),46046.0)</f>
        <v>46046</v>
      </c>
      <c r="W36" s="15">
        <f>IFERROR(__xludf.DUMMYFUNCTION("""COMPUTED_VALUE"""),45894.0)</f>
        <v>45894</v>
      </c>
      <c r="X36" s="15">
        <f>IFERROR(__xludf.DUMMYFUNCTION("""COMPUTED_VALUE"""),45985.0)</f>
        <v>45985</v>
      </c>
      <c r="Y36" s="16" t="str">
        <f>IFERROR(__xludf.DUMMYFUNCTION("""COMPUTED_VALUE"""),"https://disk.360.yandex.ru/d/IIZeYorxyyK0_Q")</f>
        <v>https://disk.360.yandex.ru/d/IIZeYorxyyK0_Q</v>
      </c>
      <c r="Z36" s="13"/>
      <c r="AA36" s="13"/>
    </row>
    <row r="37">
      <c r="A37" s="13" t="str">
        <f>IFERROR(__xludf.DUMMYFUNCTION("""COMPUTED_VALUE"""),"Оформлен")</f>
        <v>Оформлен</v>
      </c>
      <c r="B37" s="13" t="str">
        <f>IFERROR(__xludf.DUMMYFUNCTION("""COMPUTED_VALUE"""),"Чайхана")</f>
        <v>Чайхана</v>
      </c>
      <c r="C37" s="13" t="str">
        <f>IFERROR(__xludf.DUMMYFUNCTION("""COMPUTED_VALUE"""),"Москва")</f>
        <v>Москва</v>
      </c>
      <c r="D37" s="13" t="str">
        <f>IFERROR(__xludf.DUMMYFUNCTION("""COMPUTED_VALUE"""),"Повар")</f>
        <v>Повар</v>
      </c>
      <c r="E37" s="13" t="str">
        <f>IFERROR(__xludf.DUMMYFUNCTION("""COMPUTED_VALUE"""),"Смольная улица 24Гс6")</f>
        <v>Смольная улица 24Гс6</v>
      </c>
      <c r="F37" s="13"/>
      <c r="G37" s="15">
        <f>IFERROR(__xludf.DUMMYFUNCTION("""COMPUTED_VALUE"""),46049.0)</f>
        <v>46049</v>
      </c>
      <c r="H37" s="13"/>
      <c r="I37" s="13">
        <f>IFERROR(__xludf.DUMMYFUNCTION("""COMPUTED_VALUE"""),7.72418658586E11)</f>
        <v>772418658586</v>
      </c>
      <c r="J37" s="13">
        <f>IFERROR(__xludf.DUMMYFUNCTION("""COMPUTED_VALUE"""),77.0)</f>
        <v>77</v>
      </c>
      <c r="K37" s="13">
        <f>IFERROR(__xludf.DUMMYFUNCTION("""COMPUTED_VALUE"""),2.500529651E9)</f>
        <v>2500529651</v>
      </c>
      <c r="L37" s="14" t="str">
        <f>IFERROR(__xludf.DUMMYFUNCTION("""COMPUTED_VALUE"""),"ПР")</f>
        <v>ПР</v>
      </c>
      <c r="M37" s="13">
        <f>IFERROR(__xludf.DUMMYFUNCTION("""COMPUTED_VALUE"""),6133155.0)</f>
        <v>6133155</v>
      </c>
      <c r="N37" s="15">
        <f>IFERROR(__xludf.DUMMYFUNCTION("""COMPUTED_VALUE"""),45194.0)</f>
        <v>45194</v>
      </c>
      <c r="O37" s="15">
        <f>IFERROR(__xludf.DUMMYFUNCTION("""COMPUTED_VALUE"""),31444.0)</f>
        <v>31444</v>
      </c>
      <c r="P37" s="13" t="str">
        <f>IFERROR(__xludf.DUMMYFUNCTION("""COMPUTED_VALUE"""),"404955452")</f>
        <v>404955452</v>
      </c>
      <c r="Q37" s="13" t="str">
        <f>IFERROR(__xludf.DUMMYFUNCTION("""COMPUTED_VALUE"""),"Юсупов Илхомидин Гозиевич")</f>
        <v>Юсупов Илхомидин Гозиевич</v>
      </c>
      <c r="R37" s="13" t="str">
        <f>IFERROR(__xludf.DUMMYFUNCTION("""COMPUTED_VALUE"""),"79162515030")</f>
        <v>79162515030</v>
      </c>
      <c r="S37" s="13" t="str">
        <f>IFERROR(__xludf.DUMMYFUNCTION("""COMPUTED_VALUE"""),"Таджикистан")</f>
        <v>Таджикистан</v>
      </c>
      <c r="T37" s="16" t="str">
        <f>IFERROR(__xludf.DUMMYFUNCTION("""COMPUTED_VALUE"""),"https://disk.360.yandex.ru/d/GS2Es6iw7kU0yw")</f>
        <v>https://disk.360.yandex.ru/d/GS2Es6iw7kU0yw</v>
      </c>
      <c r="U37" s="13" t="str">
        <f>IFERROR(__xludf.DUMMYFUNCTION("""COMPUTED_VALUE"""),"Собран")</f>
        <v>Собран</v>
      </c>
      <c r="V37" s="15">
        <f>IFERROR(__xludf.DUMMYFUNCTION("""COMPUTED_VALUE"""),46067.0)</f>
        <v>46067</v>
      </c>
      <c r="W37" s="15">
        <f>IFERROR(__xludf.DUMMYFUNCTION("""COMPUTED_VALUE"""),45930.0)</f>
        <v>45930</v>
      </c>
      <c r="X37" s="15">
        <f>IFERROR(__xludf.DUMMYFUNCTION("""COMPUTED_VALUE"""),45985.0)</f>
        <v>45985</v>
      </c>
      <c r="Y37" s="16" t="str">
        <f>IFERROR(__xludf.DUMMYFUNCTION("""COMPUTED_VALUE"""),"https://disk.yandex.ru/d/lK79AyD7TDUznw")</f>
        <v>https://disk.yandex.ru/d/lK79AyD7TDUznw</v>
      </c>
      <c r="Z37" s="13"/>
      <c r="AA37" s="13"/>
    </row>
    <row r="38">
      <c r="A38" s="13" t="str">
        <f>IFERROR(__xludf.DUMMYFUNCTION("""COMPUTED_VALUE"""),"Оформлен")</f>
        <v>Оформлен</v>
      </c>
      <c r="B38" s="13" t="str">
        <f>IFERROR(__xludf.DUMMYFUNCTION("""COMPUTED_VALUE"""),"Чайхана")</f>
        <v>Чайхана</v>
      </c>
      <c r="C38" s="13" t="str">
        <f>IFERROR(__xludf.DUMMYFUNCTION("""COMPUTED_VALUE"""),"Москва")</f>
        <v>Москва</v>
      </c>
      <c r="D38" s="13" t="str">
        <f>IFERROR(__xludf.DUMMYFUNCTION("""COMPUTED_VALUE"""),"Повар")</f>
        <v>Повар</v>
      </c>
      <c r="E38" s="13" t="str">
        <f>IFERROR(__xludf.DUMMYFUNCTION("""COMPUTED_VALUE"""),"Ул. Савеловская линия 9")</f>
        <v>Ул. Савеловская линия 9</v>
      </c>
      <c r="F38" s="13"/>
      <c r="G38" s="15">
        <f>IFERROR(__xludf.DUMMYFUNCTION("""COMPUTED_VALUE"""),46049.0)</f>
        <v>46049</v>
      </c>
      <c r="H38" s="13"/>
      <c r="I38" s="13">
        <f>IFERROR(__xludf.DUMMYFUNCTION("""COMPUTED_VALUE"""),3.43537688905E11)</f>
        <v>343537688905</v>
      </c>
      <c r="J38" s="13">
        <f>IFERROR(__xludf.DUMMYFUNCTION("""COMPUTED_VALUE"""),77.0)</f>
        <v>77</v>
      </c>
      <c r="K38" s="13">
        <f>IFERROR(__xludf.DUMMYFUNCTION("""COMPUTED_VALUE"""),2.500215388E9)</f>
        <v>2500215388</v>
      </c>
      <c r="L38" s="14" t="str">
        <f>IFERROR(__xludf.DUMMYFUNCTION("""COMPUTED_VALUE"""),"ПР")</f>
        <v>ПР</v>
      </c>
      <c r="M38" s="13">
        <f>IFERROR(__xludf.DUMMYFUNCTION("""COMPUTED_VALUE"""),5825048.0)</f>
        <v>5825048</v>
      </c>
      <c r="N38" s="15">
        <f>IFERROR(__xludf.DUMMYFUNCTION("""COMPUTED_VALUE"""),44782.0)</f>
        <v>44782</v>
      </c>
      <c r="O38" s="15">
        <f>IFERROR(__xludf.DUMMYFUNCTION("""COMPUTED_VALUE"""),35229.0)</f>
        <v>35229</v>
      </c>
      <c r="P38" s="13" t="str">
        <f>IFERROR(__xludf.DUMMYFUNCTION("""COMPUTED_VALUE"""),"FA6124155")</f>
        <v>FA6124155</v>
      </c>
      <c r="Q38" s="13" t="str">
        <f>IFERROR(__xludf.DUMMYFUNCTION("""COMPUTED_VALUE"""),"Анорбоев Шахзод Тулкин Угли")</f>
        <v>Анорбоев Шахзод Тулкин Угли</v>
      </c>
      <c r="R38" s="13" t="str">
        <f>IFERROR(__xludf.DUMMYFUNCTION("""COMPUTED_VALUE"""),"79021411970")</f>
        <v>79021411970</v>
      </c>
      <c r="S38" s="13" t="str">
        <f>IFERROR(__xludf.DUMMYFUNCTION("""COMPUTED_VALUE"""),"Узбекистан")</f>
        <v>Узбекистан</v>
      </c>
      <c r="T38" s="16" t="str">
        <f>IFERROR(__xludf.DUMMYFUNCTION("""COMPUTED_VALUE"""),"https://disk.360.yandex.ru/d/_lWGYFOo1DKLmA")</f>
        <v>https://disk.360.yandex.ru/d/_lWGYFOo1DKLmA</v>
      </c>
      <c r="U38" s="13" t="str">
        <f>IFERROR(__xludf.DUMMYFUNCTION("""COMPUTED_VALUE"""),"Последний чек об оплате патента")</f>
        <v>Последний чек об оплате патента</v>
      </c>
      <c r="V38" s="15">
        <f>IFERROR(__xludf.DUMMYFUNCTION("""COMPUTED_VALUE"""),46030.0)</f>
        <v>46030</v>
      </c>
      <c r="W38" s="15">
        <f>IFERROR(__xludf.DUMMYFUNCTION("""COMPUTED_VALUE"""),45757.0)</f>
        <v>45757</v>
      </c>
      <c r="X38" s="15">
        <f>IFERROR(__xludf.DUMMYFUNCTION("""COMPUTED_VALUE"""),45987.0)</f>
        <v>45987</v>
      </c>
      <c r="Y38" s="16" t="str">
        <f>IFERROR(__xludf.DUMMYFUNCTION("""COMPUTED_VALUE"""),"https://disk.yandex.ru/d/K9HQDYXgV9uiVQ")</f>
        <v>https://disk.yandex.ru/d/K9HQDYXgV9uiVQ</v>
      </c>
      <c r="Z38" s="13"/>
      <c r="AA38" s="13"/>
    </row>
    <row r="39">
      <c r="A39" s="13" t="str">
        <f>IFERROR(__xludf.DUMMYFUNCTION("""COMPUTED_VALUE"""),"Оформлен")</f>
        <v>Оформлен</v>
      </c>
      <c r="B39" s="13" t="str">
        <f>IFERROR(__xludf.DUMMYFUNCTION("""COMPUTED_VALUE"""),"Чайхана")</f>
        <v>Чайхана</v>
      </c>
      <c r="C39" s="13" t="str">
        <f>IFERROR(__xludf.DUMMYFUNCTION("""COMPUTED_VALUE"""),"Московская Область")</f>
        <v>Московская Область</v>
      </c>
      <c r="D39" s="13" t="str">
        <f>IFERROR(__xludf.DUMMYFUNCTION("""COMPUTED_VALUE"""),"Уборщица")</f>
        <v>Уборщица</v>
      </c>
      <c r="E39" s="13" t="str">
        <f>IFERROR(__xludf.DUMMYFUNCTION("""COMPUTED_VALUE"""),"Химки Пролетарская дом 18 ст. 7")</f>
        <v>Химки Пролетарская дом 18 ст. 7</v>
      </c>
      <c r="F39" s="13"/>
      <c r="G39" s="15">
        <f>IFERROR(__xludf.DUMMYFUNCTION("""COMPUTED_VALUE"""),46049.0)</f>
        <v>46049</v>
      </c>
      <c r="H39" s="13"/>
      <c r="I39" s="13">
        <f>IFERROR(__xludf.DUMMYFUNCTION("""COMPUTED_VALUE"""),9.71901898983E11)</f>
        <v>971901898983</v>
      </c>
      <c r="J39" s="13">
        <f>IFERROR(__xludf.DUMMYFUNCTION("""COMPUTED_VALUE"""),77.0)</f>
        <v>77</v>
      </c>
      <c r="K39" s="13">
        <f>IFERROR(__xludf.DUMMYFUNCTION("""COMPUTED_VALUE"""),2.500508483E9)</f>
        <v>2500508483</v>
      </c>
      <c r="L39" s="14" t="str">
        <f>IFERROR(__xludf.DUMMYFUNCTION("""COMPUTED_VALUE"""),"ПР")</f>
        <v>ПР</v>
      </c>
      <c r="M39" s="13">
        <f>IFERROR(__xludf.DUMMYFUNCTION("""COMPUTED_VALUE"""),6111709.0)</f>
        <v>6111709</v>
      </c>
      <c r="N39" s="15">
        <f>IFERROR(__xludf.DUMMYFUNCTION("""COMPUTED_VALUE"""),44218.0)</f>
        <v>44218</v>
      </c>
      <c r="O39" s="15">
        <f>IFERROR(__xludf.DUMMYFUNCTION("""COMPUTED_VALUE"""),27937.0)</f>
        <v>27937</v>
      </c>
      <c r="P39" s="13" t="str">
        <f>IFERROR(__xludf.DUMMYFUNCTION("""COMPUTED_VALUE"""),"FA1913334")</f>
        <v>FA1913334</v>
      </c>
      <c r="Q39" s="13" t="str">
        <f>IFERROR(__xludf.DUMMYFUNCTION("""COMPUTED_VALUE"""),"Жуманиязова Гулшод Базарбаевна")</f>
        <v>Жуманиязова Гулшод Базарбаевна</v>
      </c>
      <c r="R39" s="13" t="str">
        <f>IFERROR(__xludf.DUMMYFUNCTION("""COMPUTED_VALUE"""),"79021525757")</f>
        <v>79021525757</v>
      </c>
      <c r="S39" s="13" t="str">
        <f>IFERROR(__xludf.DUMMYFUNCTION("""COMPUTED_VALUE"""),"Узбекистан")</f>
        <v>Узбекистан</v>
      </c>
      <c r="T39" s="16" t="str">
        <f>IFERROR(__xludf.DUMMYFUNCTION("""COMPUTED_VALUE"""),"https://disk.360.yandex.ru/d/9jmwoU2-G9Xjtw")</f>
        <v>https://disk.360.yandex.ru/d/9jmwoU2-G9Xjtw</v>
      </c>
      <c r="U39" s="13" t="str">
        <f>IFERROR(__xludf.DUMMYFUNCTION("""COMPUTED_VALUE"""),"Собран")</f>
        <v>Собран</v>
      </c>
      <c r="V39" s="15">
        <f>IFERROR(__xludf.DUMMYFUNCTION("""COMPUTED_VALUE"""),46066.0)</f>
        <v>46066</v>
      </c>
      <c r="W39" s="15">
        <f>IFERROR(__xludf.DUMMYFUNCTION("""COMPUTED_VALUE"""),45918.0)</f>
        <v>45918</v>
      </c>
      <c r="X39" s="15">
        <f>IFERROR(__xludf.DUMMYFUNCTION("""COMPUTED_VALUE"""),45987.0)</f>
        <v>45987</v>
      </c>
      <c r="Y39" s="16" t="str">
        <f>IFERROR(__xludf.DUMMYFUNCTION("""COMPUTED_VALUE"""),"https://disk.yandex.ru/d/PlI0zieB12CVWg")</f>
        <v>https://disk.yandex.ru/d/PlI0zieB12CVWg</v>
      </c>
      <c r="Z39" s="13"/>
      <c r="AA39" s="13"/>
    </row>
    <row r="40">
      <c r="A40" s="13" t="str">
        <f>IFERROR(__xludf.DUMMYFUNCTION("""COMPUTED_VALUE"""),"Оформлен")</f>
        <v>Оформлен</v>
      </c>
      <c r="B40" s="13" t="str">
        <f>IFERROR(__xludf.DUMMYFUNCTION("""COMPUTED_VALUE"""),"Чайхана")</f>
        <v>Чайхана</v>
      </c>
      <c r="C40" s="13" t="str">
        <f>IFERROR(__xludf.DUMMYFUNCTION("""COMPUTED_VALUE"""),"Москва")</f>
        <v>Москва</v>
      </c>
      <c r="D40" s="13" t="str">
        <f>IFERROR(__xludf.DUMMYFUNCTION("""COMPUTED_VALUE"""),"Кассир")</f>
        <v>Кассир</v>
      </c>
      <c r="E40" s="13" t="str">
        <f>IFERROR(__xludf.DUMMYFUNCTION("""COMPUTED_VALUE"""),"Смольная улица 24Гс6")</f>
        <v>Смольная улица 24Гс6</v>
      </c>
      <c r="F40" s="13"/>
      <c r="G40" s="15">
        <f>IFERROR(__xludf.DUMMYFUNCTION("""COMPUTED_VALUE"""),46049.0)</f>
        <v>46049</v>
      </c>
      <c r="H40" s="13"/>
      <c r="I40" s="13">
        <f>IFERROR(__xludf.DUMMYFUNCTION("""COMPUTED_VALUE"""),5.02765439695E11)</f>
        <v>502765439695</v>
      </c>
      <c r="J40" s="13">
        <f>IFERROR(__xludf.DUMMYFUNCTION("""COMPUTED_VALUE"""),77.0)</f>
        <v>77</v>
      </c>
      <c r="K40" s="13">
        <f>IFERROR(__xludf.DUMMYFUNCTION("""COMPUTED_VALUE"""),2.500565622E9)</f>
        <v>2500565622</v>
      </c>
      <c r="L40" s="14" t="str">
        <f>IFERROR(__xludf.DUMMYFUNCTION("""COMPUTED_VALUE"""),"ПР")</f>
        <v>ПР</v>
      </c>
      <c r="M40" s="13">
        <f>IFERROR(__xludf.DUMMYFUNCTION("""COMPUTED_VALUE"""),6166008.0)</f>
        <v>6166008</v>
      </c>
      <c r="N40" s="15">
        <f>IFERROR(__xludf.DUMMYFUNCTION("""COMPUTED_VALUE"""),44680.0)</f>
        <v>44680</v>
      </c>
      <c r="O40" s="15">
        <f>IFERROR(__xludf.DUMMYFUNCTION("""COMPUTED_VALUE"""),37600.0)</f>
        <v>37600</v>
      </c>
      <c r="P40" s="13" t="str">
        <f>IFERROR(__xludf.DUMMYFUNCTION("""COMPUTED_VALUE"""),"FA5404457")</f>
        <v>FA5404457</v>
      </c>
      <c r="Q40" s="13" t="str">
        <f>IFERROR(__xludf.DUMMYFUNCTION("""COMPUTED_VALUE"""),"Зулунов Акбарали Шухратбек Угли")</f>
        <v>Зулунов Акбарали Шухратбек Угли</v>
      </c>
      <c r="R40" s="13" t="str">
        <f>IFERROR(__xludf.DUMMYFUNCTION("""COMPUTED_VALUE"""),"79684325555")</f>
        <v>79684325555</v>
      </c>
      <c r="S40" s="13" t="str">
        <f>IFERROR(__xludf.DUMMYFUNCTION("""COMPUTED_VALUE"""),"Узбекистан")</f>
        <v>Узбекистан</v>
      </c>
      <c r="T40" s="16" t="str">
        <f>IFERROR(__xludf.DUMMYFUNCTION("""COMPUTED_VALUE"""),"https://disk.360.yandex.ru/d/X7iFvChjUoMBBQ")</f>
        <v>https://disk.360.yandex.ru/d/X7iFvChjUoMBBQ</v>
      </c>
      <c r="U40" s="13" t="str">
        <f>IFERROR(__xludf.DUMMYFUNCTION("""COMPUTED_VALUE"""),"Последний чек об оплате патента")</f>
        <v>Последний чек об оплате патента</v>
      </c>
      <c r="V40" s="15">
        <f>IFERROR(__xludf.DUMMYFUNCTION("""COMPUTED_VALUE"""),46006.0)</f>
        <v>46006</v>
      </c>
      <c r="W40" s="15">
        <f>IFERROR(__xludf.DUMMYFUNCTION("""COMPUTED_VALUE"""),45952.0)</f>
        <v>45952</v>
      </c>
      <c r="X40" s="15">
        <f>IFERROR(__xludf.DUMMYFUNCTION("""COMPUTED_VALUE"""),45987.0)</f>
        <v>45987</v>
      </c>
      <c r="Y40" s="16" t="str">
        <f>IFERROR(__xludf.DUMMYFUNCTION("""COMPUTED_VALUE"""),"https://disk.360.yandex.ru/d/wHrCoNVml-0PAQ")</f>
        <v>https://disk.360.yandex.ru/d/wHrCoNVml-0PAQ</v>
      </c>
      <c r="Z40" s="13"/>
      <c r="AA40" s="13"/>
    </row>
    <row r="41">
      <c r="A41" s="13" t="str">
        <f>IFERROR(__xludf.DUMMYFUNCTION("""COMPUTED_VALUE"""),"Оформлен")</f>
        <v>Оформлен</v>
      </c>
      <c r="B41" s="13" t="str">
        <f>IFERROR(__xludf.DUMMYFUNCTION("""COMPUTED_VALUE"""),"Чайхана")</f>
        <v>Чайхана</v>
      </c>
      <c r="C41" s="13" t="str">
        <f>IFERROR(__xludf.DUMMYFUNCTION("""COMPUTED_VALUE"""),"Москва")</f>
        <v>Москва</v>
      </c>
      <c r="D41" s="13" t="str">
        <f>IFERROR(__xludf.DUMMYFUNCTION("""COMPUTED_VALUE"""),"Посудомойщица")</f>
        <v>Посудомойщица</v>
      </c>
      <c r="E41" s="13" t="str">
        <f>IFERROR(__xludf.DUMMYFUNCTION("""COMPUTED_VALUE"""),"Ул. Савеловская линия 9")</f>
        <v>Ул. Савеловская линия 9</v>
      </c>
      <c r="F41" s="13"/>
      <c r="G41" s="15">
        <f>IFERROR(__xludf.DUMMYFUNCTION("""COMPUTED_VALUE"""),46049.0)</f>
        <v>46049</v>
      </c>
      <c r="H41" s="13"/>
      <c r="I41" s="13"/>
      <c r="J41" s="13">
        <f>IFERROR(__xludf.DUMMYFUNCTION("""COMPUTED_VALUE"""),77.0)</f>
        <v>77</v>
      </c>
      <c r="K41" s="13">
        <f>IFERROR(__xludf.DUMMYFUNCTION("""COMPUTED_VALUE"""),2.500581529E9)</f>
        <v>2500581529</v>
      </c>
      <c r="L41" s="14" t="str">
        <f>IFERROR(__xludf.DUMMYFUNCTION("""COMPUTED_VALUE"""),"ПР")</f>
        <v>ПР</v>
      </c>
      <c r="M41" s="13">
        <f>IFERROR(__xludf.DUMMYFUNCTION("""COMPUTED_VALUE"""),6180970.0)</f>
        <v>6180970</v>
      </c>
      <c r="N41" s="15">
        <f>IFERROR(__xludf.DUMMYFUNCTION("""COMPUTED_VALUE"""),44084.0)</f>
        <v>44084</v>
      </c>
      <c r="O41" s="15">
        <f>IFERROR(__xludf.DUMMYFUNCTION("""COMPUTED_VALUE"""),29820.0)</f>
        <v>29820</v>
      </c>
      <c r="P41" s="13" t="str">
        <f>IFERROR(__xludf.DUMMYFUNCTION("""COMPUTED_VALUE"""),"FA1321448")</f>
        <v>FA1321448</v>
      </c>
      <c r="Q41" s="13" t="str">
        <f>IFERROR(__xludf.DUMMYFUNCTION("""COMPUTED_VALUE"""),"Маматова Хуршидахон Исроиловна")</f>
        <v>Маматова Хуршидахон Исроиловна</v>
      </c>
      <c r="R41" s="13" t="str">
        <f>IFERROR(__xludf.DUMMYFUNCTION("""COMPUTED_VALUE"""),"79288542471")</f>
        <v>79288542471</v>
      </c>
      <c r="S41" s="13" t="str">
        <f>IFERROR(__xludf.DUMMYFUNCTION("""COMPUTED_VALUE"""),"Узбекистан")</f>
        <v>Узбекистан</v>
      </c>
      <c r="T41" s="16" t="str">
        <f>IFERROR(__xludf.DUMMYFUNCTION("""COMPUTED_VALUE"""),"https://disk.360.yandex.ru/d/bpi0DZnVhxVxQQ")</f>
        <v>https://disk.360.yandex.ru/d/bpi0DZnVhxVxQQ</v>
      </c>
      <c r="U41" s="13" t="str">
        <f>IFERROR(__xludf.DUMMYFUNCTION("""COMPUTED_VALUE"""),"Последний чек об оплате патента")</f>
        <v>Последний чек об оплате патента</v>
      </c>
      <c r="V41" s="15">
        <f>IFERROR(__xludf.DUMMYFUNCTION("""COMPUTED_VALUE"""),46019.0)</f>
        <v>46019</v>
      </c>
      <c r="W41" s="15">
        <f>IFERROR(__xludf.DUMMYFUNCTION("""COMPUTED_VALUE"""),45961.0)</f>
        <v>45961</v>
      </c>
      <c r="X41" s="15">
        <f>IFERROR(__xludf.DUMMYFUNCTION("""COMPUTED_VALUE"""),45987.0)</f>
        <v>45987</v>
      </c>
      <c r="Y41" s="16" t="str">
        <f>IFERROR(__xludf.DUMMYFUNCTION("""COMPUTED_VALUE"""),"https://disk.360.yandex.ru/d/AlKElUnCk-xMtg")</f>
        <v>https://disk.360.yandex.ru/d/AlKElUnCk-xMtg</v>
      </c>
      <c r="Z41" s="13"/>
      <c r="AA41" s="13"/>
    </row>
    <row r="42">
      <c r="A42" s="13" t="str">
        <f>IFERROR(__xludf.DUMMYFUNCTION("""COMPUTED_VALUE"""),"Оформлен")</f>
        <v>Оформлен</v>
      </c>
      <c r="B42" s="13" t="str">
        <f>IFERROR(__xludf.DUMMYFUNCTION("""COMPUTED_VALUE"""),"Чайхана")</f>
        <v>Чайхана</v>
      </c>
      <c r="C42" s="13" t="str">
        <f>IFERROR(__xludf.DUMMYFUNCTION("""COMPUTED_VALUE"""),"Москва")</f>
        <v>Москва</v>
      </c>
      <c r="D42" s="13" t="str">
        <f>IFERROR(__xludf.DUMMYFUNCTION("""COMPUTED_VALUE"""),"Уборщица")</f>
        <v>Уборщица</v>
      </c>
      <c r="E42" s="13" t="str">
        <f>IFERROR(__xludf.DUMMYFUNCTION("""COMPUTED_VALUE"""),"Ходынский б-р 20А")</f>
        <v>Ходынский б-р 20А</v>
      </c>
      <c r="F42" s="13"/>
      <c r="G42" s="15">
        <f>IFERROR(__xludf.DUMMYFUNCTION("""COMPUTED_VALUE"""),46049.0)</f>
        <v>46049</v>
      </c>
      <c r="H42" s="13"/>
      <c r="I42" s="13">
        <f>IFERROR(__xludf.DUMMYFUNCTION("""COMPUTED_VALUE"""),2.30412983604E11)</f>
        <v>230412983604</v>
      </c>
      <c r="J42" s="13">
        <f>IFERROR(__xludf.DUMMYFUNCTION("""COMPUTED_VALUE"""),77.0)</f>
        <v>77</v>
      </c>
      <c r="K42" s="13">
        <f>IFERROR(__xludf.DUMMYFUNCTION("""COMPUTED_VALUE"""),2.500600493E9)</f>
        <v>2500600493</v>
      </c>
      <c r="L42" s="14" t="str">
        <f>IFERROR(__xludf.DUMMYFUNCTION("""COMPUTED_VALUE"""),"ПР")</f>
        <v>ПР</v>
      </c>
      <c r="M42" s="13">
        <f>IFERROR(__xludf.DUMMYFUNCTION("""COMPUTED_VALUE"""),6280914.0)</f>
        <v>6280914</v>
      </c>
      <c r="N42" s="15">
        <f>IFERROR(__xludf.DUMMYFUNCTION("""COMPUTED_VALUE"""),44379.0)</f>
        <v>44379</v>
      </c>
      <c r="O42" s="15">
        <f>IFERROR(__xludf.DUMMYFUNCTION("""COMPUTED_VALUE"""),30055.0)</f>
        <v>30055</v>
      </c>
      <c r="P42" s="13" t="str">
        <f>IFERROR(__xludf.DUMMYFUNCTION("""COMPUTED_VALUE"""),"FA3256595")</f>
        <v>FA3256595</v>
      </c>
      <c r="Q42" s="13" t="str">
        <f>IFERROR(__xludf.DUMMYFUNCTION("""COMPUTED_VALUE"""),"Муратова Алие Эдимовна")</f>
        <v>Муратова Алие Эдимовна</v>
      </c>
      <c r="R42" s="13" t="str">
        <f>IFERROR(__xludf.DUMMYFUNCTION("""COMPUTED_VALUE"""),"79129707604")</f>
        <v>79129707604</v>
      </c>
      <c r="S42" s="13" t="str">
        <f>IFERROR(__xludf.DUMMYFUNCTION("""COMPUTED_VALUE"""),"Узбекистан")</f>
        <v>Узбекистан</v>
      </c>
      <c r="T42" s="16" t="str">
        <f>IFERROR(__xludf.DUMMYFUNCTION("""COMPUTED_VALUE"""),"https://disk.360.yandex.ru/d/WaZu3rjVUkK0ew")</f>
        <v>https://disk.360.yandex.ru/d/WaZu3rjVUkK0ew</v>
      </c>
      <c r="U42" s="13" t="str">
        <f>IFERROR(__xludf.DUMMYFUNCTION("""COMPUTED_VALUE"""),"Последний чек об оплате патента")</f>
        <v>Последний чек об оплате патента</v>
      </c>
      <c r="V42" s="15">
        <f>IFERROR(__xludf.DUMMYFUNCTION("""COMPUTED_VALUE"""),46010.0)</f>
        <v>46010</v>
      </c>
      <c r="W42" s="15">
        <f>IFERROR(__xludf.DUMMYFUNCTION("""COMPUTED_VALUE"""),45980.0)</f>
        <v>45980</v>
      </c>
      <c r="X42" s="15">
        <f>IFERROR(__xludf.DUMMYFUNCTION("""COMPUTED_VALUE"""),45987.0)</f>
        <v>45987</v>
      </c>
      <c r="Y42" s="16" t="str">
        <f>IFERROR(__xludf.DUMMYFUNCTION("""COMPUTED_VALUE"""),"https://disk.360.yandex.ru/d/KxQYizuIqCi1OA")</f>
        <v>https://disk.360.yandex.ru/d/KxQYizuIqCi1OA</v>
      </c>
      <c r="Z42" s="13"/>
      <c r="AA42" s="13"/>
    </row>
    <row r="43">
      <c r="A43" s="13" t="str">
        <f>IFERROR(__xludf.DUMMYFUNCTION("""COMPUTED_VALUE"""),"Оформлен")</f>
        <v>Оформлен</v>
      </c>
      <c r="B43" s="13" t="str">
        <f>IFERROR(__xludf.DUMMYFUNCTION("""COMPUTED_VALUE"""),"Чайхана")</f>
        <v>Чайхана</v>
      </c>
      <c r="C43" s="13" t="str">
        <f>IFERROR(__xludf.DUMMYFUNCTION("""COMPUTED_VALUE"""),"Москва")</f>
        <v>Москва</v>
      </c>
      <c r="D43" s="13" t="str">
        <f>IFERROR(__xludf.DUMMYFUNCTION("""COMPUTED_VALUE"""),"Повар")</f>
        <v>Повар</v>
      </c>
      <c r="E43" s="13" t="str">
        <f>IFERROR(__xludf.DUMMYFUNCTION("""COMPUTED_VALUE"""),"Ходынский б-р 20А")</f>
        <v>Ходынский б-р 20А</v>
      </c>
      <c r="F43" s="13"/>
      <c r="G43" s="15">
        <f>IFERROR(__xludf.DUMMYFUNCTION("""COMPUTED_VALUE"""),46049.0)</f>
        <v>46049</v>
      </c>
      <c r="H43" s="13"/>
      <c r="I43" s="13">
        <f>IFERROR(__xludf.DUMMYFUNCTION("""COMPUTED_VALUE"""),7.70979908855E11)</f>
        <v>770979908855</v>
      </c>
      <c r="J43" s="13">
        <f>IFERROR(__xludf.DUMMYFUNCTION("""COMPUTED_VALUE"""),77.0)</f>
        <v>77</v>
      </c>
      <c r="K43" s="13">
        <f>IFERROR(__xludf.DUMMYFUNCTION("""COMPUTED_VALUE"""),2.50056208E9)</f>
        <v>2500562080</v>
      </c>
      <c r="L43" s="14" t="str">
        <f>IFERROR(__xludf.DUMMYFUNCTION("""COMPUTED_VALUE"""),"ПР")</f>
        <v>ПР</v>
      </c>
      <c r="M43" s="13">
        <f>IFERROR(__xludf.DUMMYFUNCTION("""COMPUTED_VALUE"""),6161807.0)</f>
        <v>6161807</v>
      </c>
      <c r="N43" s="15">
        <f>IFERROR(__xludf.DUMMYFUNCTION("""COMPUTED_VALUE"""),44410.0)</f>
        <v>44410</v>
      </c>
      <c r="O43" s="15">
        <f>IFERROR(__xludf.DUMMYFUNCTION("""COMPUTED_VALUE"""),37891.0)</f>
        <v>37891</v>
      </c>
      <c r="P43" s="13" t="str">
        <f>IFERROR(__xludf.DUMMYFUNCTION("""COMPUTED_VALUE"""),"403461047")</f>
        <v>403461047</v>
      </c>
      <c r="Q43" s="13" t="str">
        <f>IFERROR(__xludf.DUMMYFUNCTION("""COMPUTED_VALUE"""),"Рахимов Сафарали Имомович")</f>
        <v>Рахимов Сафарали Имомович</v>
      </c>
      <c r="R43" s="13" t="str">
        <f>IFERROR(__xludf.DUMMYFUNCTION("""COMPUTED_VALUE"""),"79776437403")</f>
        <v>79776437403</v>
      </c>
      <c r="S43" s="13" t="str">
        <f>IFERROR(__xludf.DUMMYFUNCTION("""COMPUTED_VALUE"""),"Таджикистан")</f>
        <v>Таджикистан</v>
      </c>
      <c r="T43" s="16" t="str">
        <f>IFERROR(__xludf.DUMMYFUNCTION("""COMPUTED_VALUE"""),"https://disk.360.yandex.ru/d/CntNa6hac6yXtw")</f>
        <v>https://disk.360.yandex.ru/d/CntNa6hac6yXtw</v>
      </c>
      <c r="U43" s="13" t="str">
        <f>IFERROR(__xludf.DUMMYFUNCTION("""COMPUTED_VALUE"""),"Последний чек об оплате патента")</f>
        <v>Последний чек об оплате патента</v>
      </c>
      <c r="V43" s="15"/>
      <c r="W43" s="15">
        <f>IFERROR(__xludf.DUMMYFUNCTION("""COMPUTED_VALUE"""),45950.0)</f>
        <v>45950</v>
      </c>
      <c r="X43" s="15">
        <f>IFERROR(__xludf.DUMMYFUNCTION("""COMPUTED_VALUE"""),45987.0)</f>
        <v>45987</v>
      </c>
      <c r="Y43" s="16" t="str">
        <f>IFERROR(__xludf.DUMMYFUNCTION("""COMPUTED_VALUE"""),"https://disk.360.yandex.ru/d/J6Nrsx5HkG4dqg")</f>
        <v>https://disk.360.yandex.ru/d/J6Nrsx5HkG4dqg</v>
      </c>
      <c r="Z43" s="13"/>
      <c r="AA43" s="13"/>
    </row>
    <row r="44">
      <c r="A44" s="13" t="str">
        <f>IFERROR(__xludf.DUMMYFUNCTION("""COMPUTED_VALUE"""),"Оформлен")</f>
        <v>Оформлен</v>
      </c>
      <c r="B44" s="13" t="str">
        <f>IFERROR(__xludf.DUMMYFUNCTION("""COMPUTED_VALUE"""),"Чайхана")</f>
        <v>Чайхана</v>
      </c>
      <c r="C44" s="13" t="str">
        <f>IFERROR(__xludf.DUMMYFUNCTION("""COMPUTED_VALUE"""),"Москва")</f>
        <v>Москва</v>
      </c>
      <c r="D44" s="13" t="str">
        <f>IFERROR(__xludf.DUMMYFUNCTION("""COMPUTED_VALUE"""),"Уборщица")</f>
        <v>Уборщица</v>
      </c>
      <c r="E44" s="13" t="str">
        <f>IFERROR(__xludf.DUMMYFUNCTION("""COMPUTED_VALUE"""),"Ходынский б-р 20А")</f>
        <v>Ходынский б-р 20А</v>
      </c>
      <c r="F44" s="13"/>
      <c r="G44" s="15">
        <f>IFERROR(__xludf.DUMMYFUNCTION("""COMPUTED_VALUE"""),46049.0)</f>
        <v>46049</v>
      </c>
      <c r="H44" s="13"/>
      <c r="I44" s="13">
        <f>IFERROR(__xludf.DUMMYFUNCTION("""COMPUTED_VALUE"""),7.7515166163E11)</f>
        <v>775151661630</v>
      </c>
      <c r="J44" s="13">
        <f>IFERROR(__xludf.DUMMYFUNCTION("""COMPUTED_VALUE"""),77.0)</f>
        <v>77</v>
      </c>
      <c r="K44" s="13">
        <f>IFERROR(__xludf.DUMMYFUNCTION("""COMPUTED_VALUE"""),2.500348855E9)</f>
        <v>2500348855</v>
      </c>
      <c r="L44" s="14" t="str">
        <f>IFERROR(__xludf.DUMMYFUNCTION("""COMPUTED_VALUE"""),"ПР")</f>
        <v>ПР</v>
      </c>
      <c r="M44" s="13">
        <f>IFERROR(__xludf.DUMMYFUNCTION("""COMPUTED_VALUE"""),5954715.0)</f>
        <v>5954715</v>
      </c>
      <c r="N44" s="15">
        <f>IFERROR(__xludf.DUMMYFUNCTION("""COMPUTED_VALUE"""),44807.0)</f>
        <v>44807</v>
      </c>
      <c r="O44" s="15">
        <f>IFERROR(__xludf.DUMMYFUNCTION("""COMPUTED_VALUE"""),32096.0)</f>
        <v>32096</v>
      </c>
      <c r="P44" s="13" t="str">
        <f>IFERROR(__xludf.DUMMYFUNCTION("""COMPUTED_VALUE"""),"FA6282566")</f>
        <v>FA6282566</v>
      </c>
      <c r="Q44" s="13" t="str">
        <f>IFERROR(__xludf.DUMMYFUNCTION("""COMPUTED_VALUE"""),"Рахмонова Нигора Туракуловна")</f>
        <v>Рахмонова Нигора Туракуловна</v>
      </c>
      <c r="R44" s="13" t="str">
        <f>IFERROR(__xludf.DUMMYFUNCTION("""COMPUTED_VALUE"""),"79032802321")</f>
        <v>79032802321</v>
      </c>
      <c r="S44" s="13" t="str">
        <f>IFERROR(__xludf.DUMMYFUNCTION("""COMPUTED_VALUE"""),"Узбекистан")</f>
        <v>Узбекистан</v>
      </c>
      <c r="T44" s="16" t="str">
        <f>IFERROR(__xludf.DUMMYFUNCTION("""COMPUTED_VALUE"""),"https://disk.360.yandex.ru/d/a_6R9ScKKoeejw")</f>
        <v>https://disk.360.yandex.ru/d/a_6R9ScKKoeejw</v>
      </c>
      <c r="U44" s="13" t="str">
        <f>IFERROR(__xludf.DUMMYFUNCTION("""COMPUTED_VALUE"""),"Последний чек об оплате патента")</f>
        <v>Последний чек об оплате патента</v>
      </c>
      <c r="V44" s="15">
        <f>IFERROR(__xludf.DUMMYFUNCTION("""COMPUTED_VALUE"""),46032.0)</f>
        <v>46032</v>
      </c>
      <c r="W44" s="15">
        <f>IFERROR(__xludf.DUMMYFUNCTION("""COMPUTED_VALUE"""),45819.0)</f>
        <v>45819</v>
      </c>
      <c r="X44" s="15">
        <f>IFERROR(__xludf.DUMMYFUNCTION("""COMPUTED_VALUE"""),45987.0)</f>
        <v>45987</v>
      </c>
      <c r="Y44" s="16" t="str">
        <f>IFERROR(__xludf.DUMMYFUNCTION("""COMPUTED_VALUE"""),"https://disk.360.yandex.ru/d/Qk80H-srSrAHow")</f>
        <v>https://disk.360.yandex.ru/d/Qk80H-srSrAHow</v>
      </c>
      <c r="Z44" s="13"/>
      <c r="AA44" s="13"/>
    </row>
    <row r="45">
      <c r="A45" s="13" t="str">
        <f>IFERROR(__xludf.DUMMYFUNCTION("""COMPUTED_VALUE"""),"Оформлен")</f>
        <v>Оформлен</v>
      </c>
      <c r="B45" s="13" t="str">
        <f>IFERROR(__xludf.DUMMYFUNCTION("""COMPUTED_VALUE"""),"Чайхана")</f>
        <v>Чайхана</v>
      </c>
      <c r="C45" s="13" t="str">
        <f>IFERROR(__xludf.DUMMYFUNCTION("""COMPUTED_VALUE"""),"Московская Область")</f>
        <v>Московская Область</v>
      </c>
      <c r="D45" s="13" t="str">
        <f>IFERROR(__xludf.DUMMYFUNCTION("""COMPUTED_VALUE"""),"Повар")</f>
        <v>Повар</v>
      </c>
      <c r="E45" s="13" t="str">
        <f>IFERROR(__xludf.DUMMYFUNCTION("""COMPUTED_VALUE"""),"Химки Пролетарская дом 18 ст. 7")</f>
        <v>Химки Пролетарская дом 18 ст. 7</v>
      </c>
      <c r="F45" s="13"/>
      <c r="G45" s="15">
        <f>IFERROR(__xludf.DUMMYFUNCTION("""COMPUTED_VALUE"""),46049.0)</f>
        <v>46049</v>
      </c>
      <c r="H45" s="13"/>
      <c r="I45" s="13">
        <f>IFERROR(__xludf.DUMMYFUNCTION("""COMPUTED_VALUE"""),7.75117173632E11)</f>
        <v>775117173632</v>
      </c>
      <c r="J45" s="13">
        <f>IFERROR(__xludf.DUMMYFUNCTION("""COMPUTED_VALUE"""),77.0)</f>
        <v>77</v>
      </c>
      <c r="K45" s="13">
        <f>IFERROR(__xludf.DUMMYFUNCTION("""COMPUTED_VALUE"""),2.500496789E9)</f>
        <v>2500496789</v>
      </c>
      <c r="L45" s="14" t="str">
        <f>IFERROR(__xludf.DUMMYFUNCTION("""COMPUTED_VALUE"""),"ПР")</f>
        <v>ПР</v>
      </c>
      <c r="M45" s="13">
        <f>IFERROR(__xludf.DUMMYFUNCTION("""COMPUTED_VALUE"""),6099436.0)</f>
        <v>6099436</v>
      </c>
      <c r="N45" s="15">
        <f>IFERROR(__xludf.DUMMYFUNCTION("""COMPUTED_VALUE"""),44633.0)</f>
        <v>44633</v>
      </c>
      <c r="O45" s="15">
        <f>IFERROR(__xludf.DUMMYFUNCTION("""COMPUTED_VALUE"""),28122.0)</f>
        <v>28122</v>
      </c>
      <c r="P45" s="13" t="str">
        <f>IFERROR(__xludf.DUMMYFUNCTION("""COMPUTED_VALUE"""),"FA5178680")</f>
        <v>FA5178680</v>
      </c>
      <c r="Q45" s="13" t="str">
        <f>IFERROR(__xludf.DUMMYFUNCTION("""COMPUTED_VALUE"""),"Саттаров Адхам Абдумажитович")</f>
        <v>Саттаров Адхам Абдумажитович</v>
      </c>
      <c r="R45" s="13" t="str">
        <f>IFERROR(__xludf.DUMMYFUNCTION("""COMPUTED_VALUE"""),"79957088596")</f>
        <v>79957088596</v>
      </c>
      <c r="S45" s="13" t="str">
        <f>IFERROR(__xludf.DUMMYFUNCTION("""COMPUTED_VALUE"""),"Узбекистан")</f>
        <v>Узбекистан</v>
      </c>
      <c r="T45" s="16" t="str">
        <f>IFERROR(__xludf.DUMMYFUNCTION("""COMPUTED_VALUE"""),"https://disk.360.yandex.ru/d/MI3mIAcXeunDyg")</f>
        <v>https://disk.360.yandex.ru/d/MI3mIAcXeunDyg</v>
      </c>
      <c r="U45" s="13" t="str">
        <f>IFERROR(__xludf.DUMMYFUNCTION("""COMPUTED_VALUE"""),"Собран")</f>
        <v>Собран</v>
      </c>
      <c r="V45" s="15">
        <f>IFERROR(__xludf.DUMMYFUNCTION("""COMPUTED_VALUE"""),46062.0)</f>
        <v>46062</v>
      </c>
      <c r="W45" s="15">
        <f>IFERROR(__xludf.DUMMYFUNCTION("""COMPUTED_VALUE"""),45910.0)</f>
        <v>45910</v>
      </c>
      <c r="X45" s="15">
        <f>IFERROR(__xludf.DUMMYFUNCTION("""COMPUTED_VALUE"""),45987.0)</f>
        <v>45987</v>
      </c>
      <c r="Y45" s="16" t="str">
        <f>IFERROR(__xludf.DUMMYFUNCTION("""COMPUTED_VALUE"""),"https://disk.360.yandex.ru/d/FYT12WT9tt45eA")</f>
        <v>https://disk.360.yandex.ru/d/FYT12WT9tt45eA</v>
      </c>
      <c r="Z45" s="13"/>
      <c r="AA45" s="13"/>
    </row>
    <row r="46">
      <c r="A46" s="13" t="str">
        <f>IFERROR(__xludf.DUMMYFUNCTION("""COMPUTED_VALUE"""),"Оформлен")</f>
        <v>Оформлен</v>
      </c>
      <c r="B46" s="13" t="str">
        <f>IFERROR(__xludf.DUMMYFUNCTION("""COMPUTED_VALUE"""),"Чайхана")</f>
        <v>Чайхана</v>
      </c>
      <c r="C46" s="13" t="str">
        <f>IFERROR(__xludf.DUMMYFUNCTION("""COMPUTED_VALUE"""),"Москва")</f>
        <v>Москва</v>
      </c>
      <c r="D46" s="13" t="str">
        <f>IFERROR(__xludf.DUMMYFUNCTION("""COMPUTED_VALUE"""),"Повар")</f>
        <v>Повар</v>
      </c>
      <c r="E46" s="13" t="str">
        <f>IFERROR(__xludf.DUMMYFUNCTION("""COMPUTED_VALUE"""),"Смольная улица 24Гс6")</f>
        <v>Смольная улица 24Гс6</v>
      </c>
      <c r="F46" s="13"/>
      <c r="G46" s="15">
        <f>IFERROR(__xludf.DUMMYFUNCTION("""COMPUTED_VALUE"""),46049.0)</f>
        <v>46049</v>
      </c>
      <c r="H46" s="13"/>
      <c r="I46" s="13">
        <f>IFERROR(__xludf.DUMMYFUNCTION("""COMPUTED_VALUE"""),4.02818158835E11)</f>
        <v>402818158835</v>
      </c>
      <c r="J46" s="13">
        <f>IFERROR(__xludf.DUMMYFUNCTION("""COMPUTED_VALUE"""),77.0)</f>
        <v>77</v>
      </c>
      <c r="K46" s="13">
        <f>IFERROR(__xludf.DUMMYFUNCTION("""COMPUTED_VALUE"""),2.500137893E9)</f>
        <v>2500137893</v>
      </c>
      <c r="L46" s="14" t="str">
        <f>IFERROR(__xludf.DUMMYFUNCTION("""COMPUTED_VALUE"""),"ПР")</f>
        <v>ПР</v>
      </c>
      <c r="M46" s="13">
        <f>IFERROR(__xludf.DUMMYFUNCTION("""COMPUTED_VALUE"""),5638260.0)</f>
        <v>5638260</v>
      </c>
      <c r="N46" s="15">
        <f>IFERROR(__xludf.DUMMYFUNCTION("""COMPUTED_VALUE"""),44898.0)</f>
        <v>44898</v>
      </c>
      <c r="O46" s="15">
        <f>IFERROR(__xludf.DUMMYFUNCTION("""COMPUTED_VALUE"""),31587.0)</f>
        <v>31587</v>
      </c>
      <c r="P46" s="13" t="str">
        <f>IFERROR(__xludf.DUMMYFUNCTION("""COMPUTED_VALUE"""),"FA6790853")</f>
        <v>FA6790853</v>
      </c>
      <c r="Q46" s="13" t="str">
        <f>IFERROR(__xludf.DUMMYFUNCTION("""COMPUTED_VALUE"""),"Солиев Алимардон Акбаралиевич")</f>
        <v>Солиев Алимардон Акбаралиевич</v>
      </c>
      <c r="R46" s="13" t="str">
        <f>IFERROR(__xludf.DUMMYFUNCTION("""COMPUTED_VALUE"""),"79161154264")</f>
        <v>79161154264</v>
      </c>
      <c r="S46" s="13" t="str">
        <f>IFERROR(__xludf.DUMMYFUNCTION("""COMPUTED_VALUE"""),"Узбекистан")</f>
        <v>Узбекистан</v>
      </c>
      <c r="T46" s="16" t="str">
        <f>IFERROR(__xludf.DUMMYFUNCTION("""COMPUTED_VALUE"""),"https://disk.360.yandex.ru/d/RekmlrVQ1zmIlg")</f>
        <v>https://disk.360.yandex.ru/d/RekmlrVQ1zmIlg</v>
      </c>
      <c r="U46" s="13" t="str">
        <f>IFERROR(__xludf.DUMMYFUNCTION("""COMPUTED_VALUE"""),"Собран")</f>
        <v>Собран</v>
      </c>
      <c r="V46" s="15">
        <f>IFERROR(__xludf.DUMMYFUNCTION("""COMPUTED_VALUE"""),46065.0)</f>
        <v>46065</v>
      </c>
      <c r="W46" s="15">
        <f>IFERROR(__xludf.DUMMYFUNCTION("""COMPUTED_VALUE"""),45728.0)</f>
        <v>45728</v>
      </c>
      <c r="X46" s="15">
        <f>IFERROR(__xludf.DUMMYFUNCTION("""COMPUTED_VALUE"""),45987.0)</f>
        <v>45987</v>
      </c>
      <c r="Y46" s="16" t="str">
        <f>IFERROR(__xludf.DUMMYFUNCTION("""COMPUTED_VALUE"""),"https://disk.360.yandex.ru/d/ocJ8-808haryuQ")</f>
        <v>https://disk.360.yandex.ru/d/ocJ8-808haryuQ</v>
      </c>
      <c r="Z46" s="13"/>
      <c r="AA46" s="13"/>
    </row>
    <row r="47">
      <c r="A47" s="13" t="str">
        <f>IFERROR(__xludf.DUMMYFUNCTION("""COMPUTED_VALUE"""),"Оформлен")</f>
        <v>Оформлен</v>
      </c>
      <c r="B47" s="13" t="str">
        <f>IFERROR(__xludf.DUMMYFUNCTION("""COMPUTED_VALUE"""),"Чайхана")</f>
        <v>Чайхана</v>
      </c>
      <c r="C47" s="13" t="str">
        <f>IFERROR(__xludf.DUMMYFUNCTION("""COMPUTED_VALUE"""),"Москва")</f>
        <v>Москва</v>
      </c>
      <c r="D47" s="13" t="str">
        <f>IFERROR(__xludf.DUMMYFUNCTION("""COMPUTED_VALUE"""),"Повар")</f>
        <v>Повар</v>
      </c>
      <c r="E47" s="13" t="str">
        <f>IFERROR(__xludf.DUMMYFUNCTION("""COMPUTED_VALUE"""),"Бутырская 89 стр 2")</f>
        <v>Бутырская 89 стр 2</v>
      </c>
      <c r="F47" s="13"/>
      <c r="G47" s="15">
        <f>IFERROR(__xludf.DUMMYFUNCTION("""COMPUTED_VALUE"""),46049.0)</f>
        <v>46049</v>
      </c>
      <c r="H47" s="13"/>
      <c r="I47" s="13">
        <f>IFERROR(__xludf.DUMMYFUNCTION("""COMPUTED_VALUE"""),7.72832978617E11)</f>
        <v>772832978617</v>
      </c>
      <c r="J47" s="13">
        <f>IFERROR(__xludf.DUMMYFUNCTION("""COMPUTED_VALUE"""),77.0)</f>
        <v>77</v>
      </c>
      <c r="K47" s="13">
        <f>IFERROR(__xludf.DUMMYFUNCTION("""COMPUTED_VALUE"""),2.500567539E9)</f>
        <v>2500567539</v>
      </c>
      <c r="L47" s="14" t="str">
        <f>IFERROR(__xludf.DUMMYFUNCTION("""COMPUTED_VALUE"""),"ПР")</f>
        <v>ПР</v>
      </c>
      <c r="M47" s="13">
        <f>IFERROR(__xludf.DUMMYFUNCTION("""COMPUTED_VALUE"""),6169529.0)</f>
        <v>6169529</v>
      </c>
      <c r="N47" s="15">
        <f>IFERROR(__xludf.DUMMYFUNCTION("""COMPUTED_VALUE"""),44205.0)</f>
        <v>44205</v>
      </c>
      <c r="O47" s="15">
        <f>IFERROR(__xludf.DUMMYFUNCTION("""COMPUTED_VALUE"""),33475.0)</f>
        <v>33475</v>
      </c>
      <c r="P47" s="13" t="str">
        <f>IFERROR(__xludf.DUMMYFUNCTION("""COMPUTED_VALUE"""),"FA1743958")</f>
        <v>FA1743958</v>
      </c>
      <c r="Q47" s="13" t="str">
        <f>IFERROR(__xludf.DUMMYFUNCTION("""COMPUTED_VALUE"""),"Сулайманов Санжар Абдунаби Угли")</f>
        <v>Сулайманов Санжар Абдунаби Угли</v>
      </c>
      <c r="R47" s="13" t="str">
        <f>IFERROR(__xludf.DUMMYFUNCTION("""COMPUTED_VALUE"""),"79019835829")</f>
        <v>79019835829</v>
      </c>
      <c r="S47" s="13" t="str">
        <f>IFERROR(__xludf.DUMMYFUNCTION("""COMPUTED_VALUE"""),"Узбекистан")</f>
        <v>Узбекистан</v>
      </c>
      <c r="T47" s="16" t="str">
        <f>IFERROR(__xludf.DUMMYFUNCTION("""COMPUTED_VALUE"""),"https://disk.360.yandex.ru/d/usG2fwlDAyXzgg")</f>
        <v>https://disk.360.yandex.ru/d/usG2fwlDAyXzgg</v>
      </c>
      <c r="U47" s="13" t="str">
        <f>IFERROR(__xludf.DUMMYFUNCTION("""COMPUTED_VALUE"""),"Собран")</f>
        <v>Собран</v>
      </c>
      <c r="V47" s="15">
        <f>IFERROR(__xludf.DUMMYFUNCTION("""COMPUTED_VALUE"""),46072.0)</f>
        <v>46072</v>
      </c>
      <c r="W47" s="15">
        <f>IFERROR(__xludf.DUMMYFUNCTION("""COMPUTED_VALUE"""),45953.0)</f>
        <v>45953</v>
      </c>
      <c r="X47" s="15">
        <f>IFERROR(__xludf.DUMMYFUNCTION("""COMPUTED_VALUE"""),45987.0)</f>
        <v>45987</v>
      </c>
      <c r="Y47" s="16" t="str">
        <f>IFERROR(__xludf.DUMMYFUNCTION("""COMPUTED_VALUE"""),"https://disk.360.yandex.ru/d/vSZKX5gOqhB1wg")</f>
        <v>https://disk.360.yandex.ru/d/vSZKX5gOqhB1wg</v>
      </c>
      <c r="Z47" s="13"/>
      <c r="AA47" s="13"/>
    </row>
    <row r="48">
      <c r="A48" s="13" t="str">
        <f>IFERROR(__xludf.DUMMYFUNCTION("""COMPUTED_VALUE"""),"Оформлен")</f>
        <v>Оформлен</v>
      </c>
      <c r="B48" s="13" t="str">
        <f>IFERROR(__xludf.DUMMYFUNCTION("""COMPUTED_VALUE"""),"Чайхана")</f>
        <v>Чайхана</v>
      </c>
      <c r="C48" s="13" t="str">
        <f>IFERROR(__xludf.DUMMYFUNCTION("""COMPUTED_VALUE"""),"Москва")</f>
        <v>Москва</v>
      </c>
      <c r="D48" s="13" t="str">
        <f>IFERROR(__xludf.DUMMYFUNCTION("""COMPUTED_VALUE"""),"Кассир")</f>
        <v>Кассир</v>
      </c>
      <c r="E48" s="13" t="str">
        <f>IFERROR(__xludf.DUMMYFUNCTION("""COMPUTED_VALUE"""),"Часовая 11 стр 2")</f>
        <v>Часовая 11 стр 2</v>
      </c>
      <c r="F48" s="13"/>
      <c r="G48" s="15">
        <f>IFERROR(__xludf.DUMMYFUNCTION("""COMPUTED_VALUE"""),46049.0)</f>
        <v>46049</v>
      </c>
      <c r="H48" s="13"/>
      <c r="I48" s="13">
        <f>IFERROR(__xludf.DUMMYFUNCTION("""COMPUTED_VALUE"""),7.75184127705E11)</f>
        <v>775184127705</v>
      </c>
      <c r="J48" s="13">
        <f>IFERROR(__xludf.DUMMYFUNCTION("""COMPUTED_VALUE"""),77.0)</f>
        <v>77</v>
      </c>
      <c r="K48" s="13">
        <f>IFERROR(__xludf.DUMMYFUNCTION("""COMPUTED_VALUE"""),2.500551616E9)</f>
        <v>2500551616</v>
      </c>
      <c r="L48" s="14" t="str">
        <f>IFERROR(__xludf.DUMMYFUNCTION("""COMPUTED_VALUE"""),"ПР")</f>
        <v>ПР</v>
      </c>
      <c r="M48" s="13">
        <f>IFERROR(__xludf.DUMMYFUNCTION("""COMPUTED_VALUE"""),6153238.0)</f>
        <v>6153238</v>
      </c>
      <c r="N48" s="15">
        <f>IFERROR(__xludf.DUMMYFUNCTION("""COMPUTED_VALUE"""),45631.0)</f>
        <v>45631</v>
      </c>
      <c r="O48" s="15">
        <f>IFERROR(__xludf.DUMMYFUNCTION("""COMPUTED_VALUE"""),34590.0)</f>
        <v>34590</v>
      </c>
      <c r="P48" s="13" t="str">
        <f>IFERROR(__xludf.DUMMYFUNCTION("""COMPUTED_VALUE"""),"405760633")</f>
        <v>405760633</v>
      </c>
      <c r="Q48" s="13" t="str">
        <f>IFERROR(__xludf.DUMMYFUNCTION("""COMPUTED_VALUE"""),"Султонзода Нодира Махкамтош")</f>
        <v>Султонзода Нодира Махкамтош</v>
      </c>
      <c r="R48" s="13" t="str">
        <f>IFERROR(__xludf.DUMMYFUNCTION("""COMPUTED_VALUE"""),"79891031216")</f>
        <v>79891031216</v>
      </c>
      <c r="S48" s="13" t="str">
        <f>IFERROR(__xludf.DUMMYFUNCTION("""COMPUTED_VALUE"""),"Таджикистан")</f>
        <v>Таджикистан</v>
      </c>
      <c r="T48" s="16" t="str">
        <f>IFERROR(__xludf.DUMMYFUNCTION("""COMPUTED_VALUE"""),"https://disk.360.yandex.ru/d/96MWvHB-laBr4w")</f>
        <v>https://disk.360.yandex.ru/d/96MWvHB-laBr4w</v>
      </c>
      <c r="U48" s="13" t="str">
        <f>IFERROR(__xludf.DUMMYFUNCTION("""COMPUTED_VALUE"""),"Последний чек об оплате патента")</f>
        <v>Последний чек об оплате патента</v>
      </c>
      <c r="V48" s="15"/>
      <c r="W48" s="15">
        <f>IFERROR(__xludf.DUMMYFUNCTION("""COMPUTED_VALUE"""),45943.0)</f>
        <v>45943</v>
      </c>
      <c r="X48" s="15">
        <f>IFERROR(__xludf.DUMMYFUNCTION("""COMPUTED_VALUE"""),45987.0)</f>
        <v>45987</v>
      </c>
      <c r="Y48" s="16" t="str">
        <f>IFERROR(__xludf.DUMMYFUNCTION("""COMPUTED_VALUE"""),"https://disk.360.yandex.ru/d/po64bA9Xe9JMQQ")</f>
        <v>https://disk.360.yandex.ru/d/po64bA9Xe9JMQQ</v>
      </c>
      <c r="Z48" s="13"/>
      <c r="AA48" s="13"/>
    </row>
    <row r="49">
      <c r="A49" s="13" t="str">
        <f>IFERROR(__xludf.DUMMYFUNCTION("""COMPUTED_VALUE"""),"Оформлен")</f>
        <v>Оформлен</v>
      </c>
      <c r="B49" s="13" t="str">
        <f>IFERROR(__xludf.DUMMYFUNCTION("""COMPUTED_VALUE"""),"Чайхана")</f>
        <v>Чайхана</v>
      </c>
      <c r="C49" s="13" t="str">
        <f>IFERROR(__xludf.DUMMYFUNCTION("""COMPUTED_VALUE"""),"Москва")</f>
        <v>Москва</v>
      </c>
      <c r="D49" s="13" t="str">
        <f>IFERROR(__xludf.DUMMYFUNCTION("""COMPUTED_VALUE"""),"Повар")</f>
        <v>Повар</v>
      </c>
      <c r="E49" s="13" t="str">
        <f>IFERROR(__xludf.DUMMYFUNCTION("""COMPUTED_VALUE"""),"Ходынский б-р 20А")</f>
        <v>Ходынский б-р 20А</v>
      </c>
      <c r="F49" s="13"/>
      <c r="G49" s="15">
        <f>IFERROR(__xludf.DUMMYFUNCTION("""COMPUTED_VALUE"""),46049.0)</f>
        <v>46049</v>
      </c>
      <c r="H49" s="13"/>
      <c r="I49" s="13">
        <f>IFERROR(__xludf.DUMMYFUNCTION("""COMPUTED_VALUE"""),5.0072713242E11)</f>
        <v>500727132420</v>
      </c>
      <c r="J49" s="13">
        <f>IFERROR(__xludf.DUMMYFUNCTION("""COMPUTED_VALUE"""),77.0)</f>
        <v>77</v>
      </c>
      <c r="K49" s="13">
        <f>IFERROR(__xludf.DUMMYFUNCTION("""COMPUTED_VALUE"""),2.500223289E9)</f>
        <v>2500223289</v>
      </c>
      <c r="L49" s="14" t="str">
        <f>IFERROR(__xludf.DUMMYFUNCTION("""COMPUTED_VALUE"""),"ПР")</f>
        <v>ПР</v>
      </c>
      <c r="M49" s="13">
        <f>IFERROR(__xludf.DUMMYFUNCTION("""COMPUTED_VALUE"""),5832434.0)</f>
        <v>5832434</v>
      </c>
      <c r="N49" s="15">
        <f>IFERROR(__xludf.DUMMYFUNCTION("""COMPUTED_VALUE"""),45324.0)</f>
        <v>45324</v>
      </c>
      <c r="O49" s="15">
        <f>IFERROR(__xludf.DUMMYFUNCTION("""COMPUTED_VALUE"""),35419.0)</f>
        <v>35419</v>
      </c>
      <c r="P49" s="13" t="str">
        <f>IFERROR(__xludf.DUMMYFUNCTION("""COMPUTED_VALUE"""),"FK0539948")</f>
        <v>FK0539948</v>
      </c>
      <c r="Q49" s="13" t="str">
        <f>IFERROR(__xludf.DUMMYFUNCTION("""COMPUTED_VALUE"""),"Тураева Райхон Улугбек Кизи")</f>
        <v>Тураева Райхон Улугбек Кизи</v>
      </c>
      <c r="R49" s="13" t="str">
        <f>IFERROR(__xludf.DUMMYFUNCTION("""COMPUTED_VALUE"""),"79776109620")</f>
        <v>79776109620</v>
      </c>
      <c r="S49" s="13" t="str">
        <f>IFERROR(__xludf.DUMMYFUNCTION("""COMPUTED_VALUE"""),"Узбекистан")</f>
        <v>Узбекистан</v>
      </c>
      <c r="T49" s="16" t="str">
        <f>IFERROR(__xludf.DUMMYFUNCTION("""COMPUTED_VALUE"""),"https://disk.360.yandex.ru/d/LEQS46Vxwem-2w")</f>
        <v>https://disk.360.yandex.ru/d/LEQS46Vxwem-2w</v>
      </c>
      <c r="U49" s="13" t="str">
        <f>IFERROR(__xludf.DUMMYFUNCTION("""COMPUTED_VALUE"""),"Последний чек об оплате патента")</f>
        <v>Последний чек об оплате патента</v>
      </c>
      <c r="V49" s="15">
        <f>IFERROR(__xludf.DUMMYFUNCTION("""COMPUTED_VALUE"""),46033.0)</f>
        <v>46033</v>
      </c>
      <c r="W49" s="15">
        <f>IFERROR(__xludf.DUMMYFUNCTION("""COMPUTED_VALUE"""),45761.0)</f>
        <v>45761</v>
      </c>
      <c r="X49" s="15">
        <f>IFERROR(__xludf.DUMMYFUNCTION("""COMPUTED_VALUE"""),45987.0)</f>
        <v>45987</v>
      </c>
      <c r="Y49" s="16" t="str">
        <f>IFERROR(__xludf.DUMMYFUNCTION("""COMPUTED_VALUE"""),"https://disk.yandex.ru/d/JeOnsguKyvVbjg")</f>
        <v>https://disk.yandex.ru/d/JeOnsguKyvVbjg</v>
      </c>
      <c r="Z49" s="13"/>
      <c r="AA49" s="13"/>
    </row>
    <row r="50">
      <c r="A50" s="13" t="str">
        <f>IFERROR(__xludf.DUMMYFUNCTION("""COMPUTED_VALUE"""),"Оформлен")</f>
        <v>Оформлен</v>
      </c>
      <c r="B50" s="13" t="str">
        <f>IFERROR(__xludf.DUMMYFUNCTION("""COMPUTED_VALUE"""),"Чайхана")</f>
        <v>Чайхана</v>
      </c>
      <c r="C50" s="13" t="str">
        <f>IFERROR(__xludf.DUMMYFUNCTION("""COMPUTED_VALUE"""),"Московская Область")</f>
        <v>Московская Область</v>
      </c>
      <c r="D50" s="13" t="str">
        <f>IFERROR(__xludf.DUMMYFUNCTION("""COMPUTED_VALUE"""),"Повар")</f>
        <v>Повар</v>
      </c>
      <c r="E50" s="13" t="str">
        <f>IFERROR(__xludf.DUMMYFUNCTION("""COMPUTED_VALUE"""),"Химки Пролетарская дом 18 ст. 7")</f>
        <v>Химки Пролетарская дом 18 ст. 7</v>
      </c>
      <c r="F50" s="13"/>
      <c r="G50" s="15">
        <f>IFERROR(__xludf.DUMMYFUNCTION("""COMPUTED_VALUE"""),46049.0)</f>
        <v>46049</v>
      </c>
      <c r="H50" s="13"/>
      <c r="I50" s="13">
        <f>IFERROR(__xludf.DUMMYFUNCTION("""COMPUTED_VALUE"""),7.72323442638E11)</f>
        <v>772323442638</v>
      </c>
      <c r="J50" s="13">
        <f>IFERROR(__xludf.DUMMYFUNCTION("""COMPUTED_VALUE"""),77.0)</f>
        <v>77</v>
      </c>
      <c r="K50" s="13">
        <f>IFERROR(__xludf.DUMMYFUNCTION("""COMPUTED_VALUE"""),2.500475552E9)</f>
        <v>2500475552</v>
      </c>
      <c r="L50" s="14" t="str">
        <f>IFERROR(__xludf.DUMMYFUNCTION("""COMPUTED_VALUE"""),"ПР")</f>
        <v>ПР</v>
      </c>
      <c r="M50" s="13">
        <f>IFERROR(__xludf.DUMMYFUNCTION("""COMPUTED_VALUE"""),6078509.0)</f>
        <v>6078509</v>
      </c>
      <c r="N50" s="15">
        <f>IFERROR(__xludf.DUMMYFUNCTION("""COMPUTED_VALUE"""),44460.0)</f>
        <v>44460</v>
      </c>
      <c r="O50" s="15">
        <f>IFERROR(__xludf.DUMMYFUNCTION("""COMPUTED_VALUE"""),35197.0)</f>
        <v>35197</v>
      </c>
      <c r="P50" s="13" t="str">
        <f>IFERROR(__xludf.DUMMYFUNCTION("""COMPUTED_VALUE"""),"FA3908084")</f>
        <v>FA3908084</v>
      </c>
      <c r="Q50" s="13" t="str">
        <f>IFERROR(__xludf.DUMMYFUNCTION("""COMPUTED_VALUE"""),"Хакимжанов Мухаммадхон Хасан Угли")</f>
        <v>Хакимжанов Мухаммадхон Хасан Угли</v>
      </c>
      <c r="R50" s="13" t="str">
        <f>IFERROR(__xludf.DUMMYFUNCTION("""COMPUTED_VALUE"""),"79955063157")</f>
        <v>79955063157</v>
      </c>
      <c r="S50" s="13" t="str">
        <f>IFERROR(__xludf.DUMMYFUNCTION("""COMPUTED_VALUE"""),"Узбекистан")</f>
        <v>Узбекистан</v>
      </c>
      <c r="T50" s="16" t="str">
        <f>IFERROR(__xludf.DUMMYFUNCTION("""COMPUTED_VALUE"""),"https://disk.360.yandex.ru/d/3AC65WsnW64oPA")</f>
        <v>https://disk.360.yandex.ru/d/3AC65WsnW64oPA</v>
      </c>
      <c r="U50" s="13" t="str">
        <f>IFERROR(__xludf.DUMMYFUNCTION("""COMPUTED_VALUE"""),"Собран")</f>
        <v>Собран</v>
      </c>
      <c r="V50" s="15">
        <f>IFERROR(__xludf.DUMMYFUNCTION("""COMPUTED_VALUE"""),46078.0)</f>
        <v>46078</v>
      </c>
      <c r="W50" s="15">
        <f>IFERROR(__xludf.DUMMYFUNCTION("""COMPUTED_VALUE"""),45897.0)</f>
        <v>45897</v>
      </c>
      <c r="X50" s="15">
        <f>IFERROR(__xludf.DUMMYFUNCTION("""COMPUTED_VALUE"""),45987.0)</f>
        <v>45987</v>
      </c>
      <c r="Y50" s="16" t="str">
        <f>IFERROR(__xludf.DUMMYFUNCTION("""COMPUTED_VALUE"""),"https://disk.yandex.ru/d/A4IXB3q1QQIkxg")</f>
        <v>https://disk.yandex.ru/d/A4IXB3q1QQIkxg</v>
      </c>
      <c r="Z50" s="13"/>
      <c r="AA50" s="13"/>
    </row>
    <row r="51">
      <c r="A51" s="13" t="str">
        <f>IFERROR(__xludf.DUMMYFUNCTION("""COMPUTED_VALUE"""),"Оформлен")</f>
        <v>Оформлен</v>
      </c>
      <c r="B51" s="13" t="str">
        <f>IFERROR(__xludf.DUMMYFUNCTION("""COMPUTED_VALUE"""),"Чайхана")</f>
        <v>Чайхана</v>
      </c>
      <c r="C51" s="13" t="str">
        <f>IFERROR(__xludf.DUMMYFUNCTION("""COMPUTED_VALUE"""),"Москва")</f>
        <v>Москва</v>
      </c>
      <c r="D51" s="13" t="str">
        <f>IFERROR(__xludf.DUMMYFUNCTION("""COMPUTED_VALUE"""),"Кассир")</f>
        <v>Кассир</v>
      </c>
      <c r="E51" s="13" t="str">
        <f>IFERROR(__xludf.DUMMYFUNCTION("""COMPUTED_VALUE"""),"Часовая 11 стр 2")</f>
        <v>Часовая 11 стр 2</v>
      </c>
      <c r="F51" s="13"/>
      <c r="G51" s="15">
        <f>IFERROR(__xludf.DUMMYFUNCTION("""COMPUTED_VALUE"""),46049.0)</f>
        <v>46049</v>
      </c>
      <c r="H51" s="13"/>
      <c r="I51" s="13">
        <f>IFERROR(__xludf.DUMMYFUNCTION("""COMPUTED_VALUE"""),1.00000868544E11)</f>
        <v>100000868544</v>
      </c>
      <c r="J51" s="13">
        <f>IFERROR(__xludf.DUMMYFUNCTION("""COMPUTED_VALUE"""),77.0)</f>
        <v>77</v>
      </c>
      <c r="K51" s="13">
        <f>IFERROR(__xludf.DUMMYFUNCTION("""COMPUTED_VALUE"""),2.500392966E9)</f>
        <v>2500392966</v>
      </c>
      <c r="L51" s="14" t="str">
        <f>IFERROR(__xludf.DUMMYFUNCTION("""COMPUTED_VALUE"""),"ПР")</f>
        <v>ПР</v>
      </c>
      <c r="M51" s="13">
        <f>IFERROR(__xludf.DUMMYFUNCTION("""COMPUTED_VALUE"""),5997266.0)</f>
        <v>5997266</v>
      </c>
      <c r="N51" s="15">
        <f>IFERROR(__xludf.DUMMYFUNCTION("""COMPUTED_VALUE"""),44944.0)</f>
        <v>44944</v>
      </c>
      <c r="O51" s="15">
        <f>IFERROR(__xludf.DUMMYFUNCTION("""COMPUTED_VALUE"""),37514.0)</f>
        <v>37514</v>
      </c>
      <c r="P51" s="13" t="str">
        <f>IFERROR(__xludf.DUMMYFUNCTION("""COMPUTED_VALUE"""),"404480432")</f>
        <v>404480432</v>
      </c>
      <c r="Q51" s="13" t="str">
        <f>IFERROR(__xludf.DUMMYFUNCTION("""COMPUTED_VALUE"""),"Азиззода Джамшед Абдулхамид")</f>
        <v>Азиззода Джамшед Абдулхамид</v>
      </c>
      <c r="R51" s="13" t="str">
        <f>IFERROR(__xludf.DUMMYFUNCTION("""COMPUTED_VALUE"""),"79116699346")</f>
        <v>79116699346</v>
      </c>
      <c r="S51" s="13" t="str">
        <f>IFERROR(__xludf.DUMMYFUNCTION("""COMPUTED_VALUE"""),"Таджикистан")</f>
        <v>Таджикистан</v>
      </c>
      <c r="T51" s="16" t="str">
        <f>IFERROR(__xludf.DUMMYFUNCTION("""COMPUTED_VALUE"""),"https://disk.360.yandex.ru/d/8HBL_uJwED6NKQ")</f>
        <v>https://disk.360.yandex.ru/d/8HBL_uJwED6NKQ</v>
      </c>
      <c r="U51" s="13" t="str">
        <f>IFERROR(__xludf.DUMMYFUNCTION("""COMPUTED_VALUE"""),"Последний чек об оплате патента")</f>
        <v>Последний чек об оплате патента</v>
      </c>
      <c r="V51" s="15">
        <f>IFERROR(__xludf.DUMMYFUNCTION("""COMPUTED_VALUE"""),45998.0)</f>
        <v>45998</v>
      </c>
      <c r="W51" s="15">
        <f>IFERROR(__xludf.DUMMYFUNCTION("""COMPUTED_VALUE"""),45846.0)</f>
        <v>45846</v>
      </c>
      <c r="X51" s="15">
        <f>IFERROR(__xludf.DUMMYFUNCTION("""COMPUTED_VALUE"""),45988.0)</f>
        <v>45988</v>
      </c>
      <c r="Y51" s="16" t="str">
        <f>IFERROR(__xludf.DUMMYFUNCTION("""COMPUTED_VALUE"""),"https://disk.yandex.ru/d/Fq3NupujgXwRUA")</f>
        <v>https://disk.yandex.ru/d/Fq3NupujgXwRUA</v>
      </c>
      <c r="Z51" s="13"/>
      <c r="AA51" s="13"/>
    </row>
    <row r="52">
      <c r="A52" s="13" t="str">
        <f>IFERROR(__xludf.DUMMYFUNCTION("""COMPUTED_VALUE"""),"Оформлен")</f>
        <v>Оформлен</v>
      </c>
      <c r="B52" s="13" t="str">
        <f>IFERROR(__xludf.DUMMYFUNCTION("""COMPUTED_VALUE"""),"Чайхана")</f>
        <v>Чайхана</v>
      </c>
      <c r="C52" s="13" t="str">
        <f>IFERROR(__xludf.DUMMYFUNCTION("""COMPUTED_VALUE"""),"Москва")</f>
        <v>Москва</v>
      </c>
      <c r="D52" s="13" t="str">
        <f>IFERROR(__xludf.DUMMYFUNCTION("""COMPUTED_VALUE"""),"Повар")</f>
        <v>Повар</v>
      </c>
      <c r="E52" s="13" t="str">
        <f>IFERROR(__xludf.DUMMYFUNCTION("""COMPUTED_VALUE"""),"Чайхана Красная Пресня 29")</f>
        <v>Чайхана Красная Пресня 29</v>
      </c>
      <c r="F52" s="13" t="str">
        <f>IFERROR(__xludf.DUMMYFUNCTION("""COMPUTED_VALUE"""),"Новый номер")</f>
        <v>Новый номер</v>
      </c>
      <c r="G52" s="15">
        <f>IFERROR(__xludf.DUMMYFUNCTION("""COMPUTED_VALUE"""),46049.0)</f>
        <v>46049</v>
      </c>
      <c r="H52" s="13"/>
      <c r="I52" s="13"/>
      <c r="J52" s="13">
        <f>IFERROR(__xludf.DUMMYFUNCTION("""COMPUTED_VALUE"""),77.0)</f>
        <v>77</v>
      </c>
      <c r="K52" s="13">
        <f>IFERROR(__xludf.DUMMYFUNCTION("""COMPUTED_VALUE"""),2.500116037E9)</f>
        <v>2500116037</v>
      </c>
      <c r="L52" s="14" t="str">
        <f>IFERROR(__xludf.DUMMYFUNCTION("""COMPUTED_VALUE"""),"ПР")</f>
        <v>ПР</v>
      </c>
      <c r="M52" s="13">
        <f>IFERROR(__xludf.DUMMYFUNCTION("""COMPUTED_VALUE"""),4661973.0)</f>
        <v>4661973</v>
      </c>
      <c r="N52" s="15">
        <f>IFERROR(__xludf.DUMMYFUNCTION("""COMPUTED_VALUE"""),45160.0)</f>
        <v>45160</v>
      </c>
      <c r="O52" s="15">
        <f>IFERROR(__xludf.DUMMYFUNCTION("""COMPUTED_VALUE"""),37676.0)</f>
        <v>37676</v>
      </c>
      <c r="P52" s="13" t="str">
        <f>IFERROR(__xludf.DUMMYFUNCTION("""COMPUTED_VALUE"""),"FA8298850")</f>
        <v>FA8298850</v>
      </c>
      <c r="Q52" s="13" t="str">
        <f>IFERROR(__xludf.DUMMYFUNCTION("""COMPUTED_VALUE"""),"Камолов Асилбек Равшанбек Угли")</f>
        <v>Камолов Асилбек Равшанбек Угли</v>
      </c>
      <c r="R52" s="13" t="str">
        <f>IFERROR(__xludf.DUMMYFUNCTION("""COMPUTED_VALUE"""),"79775787388")</f>
        <v>79775787388</v>
      </c>
      <c r="S52" s="13" t="str">
        <f>IFERROR(__xludf.DUMMYFUNCTION("""COMPUTED_VALUE"""),"Узбекистан")</f>
        <v>Узбекистан</v>
      </c>
      <c r="T52" s="16" t="str">
        <f>IFERROR(__xludf.DUMMYFUNCTION("""COMPUTED_VALUE"""),"https://disk.360.yandex.ru/d/6nABG7ql0dVUVw")</f>
        <v>https://disk.360.yandex.ru/d/6nABG7ql0dVUVw</v>
      </c>
      <c r="U52" s="13" t="str">
        <f>IFERROR(__xludf.DUMMYFUNCTION("""COMPUTED_VALUE"""),"Последний чек об оплате патента")</f>
        <v>Последний чек об оплате патента</v>
      </c>
      <c r="V52" s="15">
        <f>IFERROR(__xludf.DUMMYFUNCTION("""COMPUTED_VALUE"""),46051.0)</f>
        <v>46051</v>
      </c>
      <c r="W52" s="15">
        <f>IFERROR(__xludf.DUMMYFUNCTION("""COMPUTED_VALUE"""),45720.0)</f>
        <v>45720</v>
      </c>
      <c r="X52" s="15">
        <f>IFERROR(__xludf.DUMMYFUNCTION("""COMPUTED_VALUE"""),45988.0)</f>
        <v>45988</v>
      </c>
      <c r="Y52" s="16" t="str">
        <f>IFERROR(__xludf.DUMMYFUNCTION("""COMPUTED_VALUE"""),"https://disk.yandex.ru/d/HSYOpAthzIqUYA")</f>
        <v>https://disk.yandex.ru/d/HSYOpAthzIqUYA</v>
      </c>
      <c r="Z52" s="13"/>
      <c r="AA52" s="13"/>
    </row>
    <row r="53">
      <c r="A53" s="13" t="str">
        <f>IFERROR(__xludf.DUMMYFUNCTION("""COMPUTED_VALUE"""),"Оформлен")</f>
        <v>Оформлен</v>
      </c>
      <c r="B53" s="13" t="str">
        <f>IFERROR(__xludf.DUMMYFUNCTION("""COMPUTED_VALUE"""),"Чайхана")</f>
        <v>Чайхана</v>
      </c>
      <c r="C53" s="13" t="str">
        <f>IFERROR(__xludf.DUMMYFUNCTION("""COMPUTED_VALUE"""),"Московская Область")</f>
        <v>Московская Область</v>
      </c>
      <c r="D53" s="13" t="str">
        <f>IFERROR(__xludf.DUMMYFUNCTION("""COMPUTED_VALUE"""),"Повар")</f>
        <v>Повар</v>
      </c>
      <c r="E53" s="13" t="str">
        <f>IFERROR(__xludf.DUMMYFUNCTION("""COMPUTED_VALUE"""),"Химки Пролетарская дом 18 ст. 7")</f>
        <v>Химки Пролетарская дом 18 ст. 7</v>
      </c>
      <c r="F53" s="13"/>
      <c r="G53" s="15">
        <f>IFERROR(__xludf.DUMMYFUNCTION("""COMPUTED_VALUE"""),46049.0)</f>
        <v>46049</v>
      </c>
      <c r="H53" s="13"/>
      <c r="I53" s="13">
        <f>IFERROR(__xludf.DUMMYFUNCTION("""COMPUTED_VALUE"""),5.02776294258E11)</f>
        <v>502776294258</v>
      </c>
      <c r="J53" s="13">
        <f>IFERROR(__xludf.DUMMYFUNCTION("""COMPUTED_VALUE"""),50.0)</f>
        <v>50</v>
      </c>
      <c r="K53" s="13">
        <f>IFERROR(__xludf.DUMMYFUNCTION("""COMPUTED_VALUE"""),2.500108756E9)</f>
        <v>2500108756</v>
      </c>
      <c r="L53" s="14" t="str">
        <f>IFERROR(__xludf.DUMMYFUNCTION("""COMPUTED_VALUE"""),"ПР")</f>
        <v>ПР</v>
      </c>
      <c r="M53" s="13">
        <f>IFERROR(__xludf.DUMMYFUNCTION("""COMPUTED_VALUE"""),6413201.0)</f>
        <v>6413201</v>
      </c>
      <c r="N53" s="15">
        <f>IFERROR(__xludf.DUMMYFUNCTION("""COMPUTED_VALUE"""),45069.0)</f>
        <v>45069</v>
      </c>
      <c r="O53" s="15">
        <f>IFERROR(__xludf.DUMMYFUNCTION("""COMPUTED_VALUE"""),38153.0)</f>
        <v>38153</v>
      </c>
      <c r="P53" s="13" t="str">
        <f>IFERROR(__xludf.DUMMYFUNCTION("""COMPUTED_VALUE"""),"FA7792896")</f>
        <v>FA7792896</v>
      </c>
      <c r="Q53" s="13" t="str">
        <f>IFERROR(__xludf.DUMMYFUNCTION("""COMPUTED_VALUE"""),"Махмудов Ботиржон Маруфжон Угли")</f>
        <v>Махмудов Ботиржон Маруфжон Угли</v>
      </c>
      <c r="R53" s="13" t="str">
        <f>IFERROR(__xludf.DUMMYFUNCTION("""COMPUTED_VALUE"""),"79030178883")</f>
        <v>79030178883</v>
      </c>
      <c r="S53" s="13" t="str">
        <f>IFERROR(__xludf.DUMMYFUNCTION("""COMPUTED_VALUE"""),"Узбекистан")</f>
        <v>Узбекистан</v>
      </c>
      <c r="T53" s="16" t="str">
        <f>IFERROR(__xludf.DUMMYFUNCTION("""COMPUTED_VALUE"""),"https://disk.360.yandex.ru/d/I1lnMn-ZakgQ2w")</f>
        <v>https://disk.360.yandex.ru/d/I1lnMn-ZakgQ2w</v>
      </c>
      <c r="U53" s="13" t="str">
        <f>IFERROR(__xludf.DUMMYFUNCTION("""COMPUTED_VALUE"""),"Собран")</f>
        <v>Собран</v>
      </c>
      <c r="V53" s="15">
        <f>IFERROR(__xludf.DUMMYFUNCTION("""COMPUTED_VALUE"""),46078.0)</f>
        <v>46078</v>
      </c>
      <c r="W53" s="15">
        <f>IFERROR(__xludf.DUMMYFUNCTION("""COMPUTED_VALUE"""),45743.0)</f>
        <v>45743</v>
      </c>
      <c r="X53" s="15">
        <f>IFERROR(__xludf.DUMMYFUNCTION("""COMPUTED_VALUE"""),45988.0)</f>
        <v>45988</v>
      </c>
      <c r="Y53" s="16" t="str">
        <f>IFERROR(__xludf.DUMMYFUNCTION("""COMPUTED_VALUE"""),"https://disk.yandex.ru/d/Qysh9FS0bede0w")</f>
        <v>https://disk.yandex.ru/d/Qysh9FS0bede0w</v>
      </c>
      <c r="Z53" s="13"/>
      <c r="AA53" s="13"/>
    </row>
    <row r="54">
      <c r="A54" s="13" t="str">
        <f>IFERROR(__xludf.DUMMYFUNCTION("""COMPUTED_VALUE"""),"Оформлен")</f>
        <v>Оформлен</v>
      </c>
      <c r="B54" s="13" t="str">
        <f>IFERROR(__xludf.DUMMYFUNCTION("""COMPUTED_VALUE"""),"Чайхана")</f>
        <v>Чайхана</v>
      </c>
      <c r="C54" s="13" t="str">
        <f>IFERROR(__xludf.DUMMYFUNCTION("""COMPUTED_VALUE"""),"Москва")</f>
        <v>Москва</v>
      </c>
      <c r="D54" s="13" t="str">
        <f>IFERROR(__xludf.DUMMYFUNCTION("""COMPUTED_VALUE"""),"Кассир")</f>
        <v>Кассир</v>
      </c>
      <c r="E54" s="13" t="str">
        <f>IFERROR(__xludf.DUMMYFUNCTION("""COMPUTED_VALUE"""),"Смольная улица 24Гс6")</f>
        <v>Смольная улица 24Гс6</v>
      </c>
      <c r="F54" s="13"/>
      <c r="G54" s="15">
        <f>IFERROR(__xludf.DUMMYFUNCTION("""COMPUTED_VALUE"""),46049.0)</f>
        <v>46049</v>
      </c>
      <c r="H54" s="13"/>
      <c r="I54" s="13">
        <f>IFERROR(__xludf.DUMMYFUNCTION("""COMPUTED_VALUE"""),9.7180693062E11)</f>
        <v>971806930620</v>
      </c>
      <c r="J54" s="13">
        <f>IFERROR(__xludf.DUMMYFUNCTION("""COMPUTED_VALUE"""),77.0)</f>
        <v>77</v>
      </c>
      <c r="K54" s="13">
        <f>IFERROR(__xludf.DUMMYFUNCTION("""COMPUTED_VALUE"""),2.500383935E9)</f>
        <v>2500383935</v>
      </c>
      <c r="L54" s="14" t="str">
        <f>IFERROR(__xludf.DUMMYFUNCTION("""COMPUTED_VALUE"""),"ПР")</f>
        <v>ПР</v>
      </c>
      <c r="M54" s="13">
        <f>IFERROR(__xludf.DUMMYFUNCTION("""COMPUTED_VALUE"""),5988337.0)</f>
        <v>5988337</v>
      </c>
      <c r="N54" s="15">
        <f>IFERROR(__xludf.DUMMYFUNCTION("""COMPUTED_VALUE"""),45921.0)</f>
        <v>45921</v>
      </c>
      <c r="O54" s="15">
        <f>IFERROR(__xludf.DUMMYFUNCTION("""COMPUTED_VALUE"""),32966.0)</f>
        <v>32966</v>
      </c>
      <c r="P54" s="13" t="str">
        <f>IFERROR(__xludf.DUMMYFUNCTION("""COMPUTED_VALUE"""),"FA3908587")</f>
        <v>FA3908587</v>
      </c>
      <c r="Q54" s="13" t="str">
        <f>IFERROR(__xludf.DUMMYFUNCTION("""COMPUTED_VALUE"""),"Рустамов Дониёр Абдукахорович")</f>
        <v>Рустамов Дониёр Абдукахорович</v>
      </c>
      <c r="R54" s="13" t="str">
        <f>IFERROR(__xludf.DUMMYFUNCTION("""COMPUTED_VALUE"""),"79776800074")</f>
        <v>79776800074</v>
      </c>
      <c r="S54" s="13" t="str">
        <f>IFERROR(__xludf.DUMMYFUNCTION("""COMPUTED_VALUE"""),"Узбекистан")</f>
        <v>Узбекистан</v>
      </c>
      <c r="T54" s="16" t="str">
        <f>IFERROR(__xludf.DUMMYFUNCTION("""COMPUTED_VALUE"""),"https://disk.360.yandex.ru/d/ys4yeiFXp911tA")</f>
        <v>https://disk.360.yandex.ru/d/ys4yeiFXp911tA</v>
      </c>
      <c r="U54" s="13" t="str">
        <f>IFERROR(__xludf.DUMMYFUNCTION("""COMPUTED_VALUE"""),"Собран")</f>
        <v>Собран</v>
      </c>
      <c r="V54" s="15">
        <f>IFERROR(__xludf.DUMMYFUNCTION("""COMPUTED_VALUE"""),46056.0)</f>
        <v>46056</v>
      </c>
      <c r="W54" s="15">
        <f>IFERROR(__xludf.DUMMYFUNCTION("""COMPUTED_VALUE"""),45840.0)</f>
        <v>45840</v>
      </c>
      <c r="X54" s="15">
        <f>IFERROR(__xludf.DUMMYFUNCTION("""COMPUTED_VALUE"""),45988.0)</f>
        <v>45988</v>
      </c>
      <c r="Y54" s="16" t="str">
        <f>IFERROR(__xludf.DUMMYFUNCTION("""COMPUTED_VALUE"""),"https://disk.yandex.ru/d/bMvJpmN7yeKI2w")</f>
        <v>https://disk.yandex.ru/d/bMvJpmN7yeKI2w</v>
      </c>
      <c r="Z54" s="13"/>
      <c r="AA54" s="13"/>
    </row>
    <row r="55">
      <c r="A55" s="13" t="str">
        <f>IFERROR(__xludf.DUMMYFUNCTION("""COMPUTED_VALUE"""),"Оформлен")</f>
        <v>Оформлен</v>
      </c>
      <c r="B55" s="13" t="str">
        <f>IFERROR(__xludf.DUMMYFUNCTION("""COMPUTED_VALUE"""),"Чайхана")</f>
        <v>Чайхана</v>
      </c>
      <c r="C55" s="13" t="str">
        <f>IFERROR(__xludf.DUMMYFUNCTION("""COMPUTED_VALUE"""),"Московская Область")</f>
        <v>Московская Область</v>
      </c>
      <c r="D55" s="13" t="str">
        <f>IFERROR(__xludf.DUMMYFUNCTION("""COMPUTED_VALUE"""),"Повар")</f>
        <v>Повар</v>
      </c>
      <c r="E55" s="13" t="str">
        <f>IFERROR(__xludf.DUMMYFUNCTION("""COMPUTED_VALUE"""),"Химки Пролетарская дом 18 ст. 7")</f>
        <v>Химки Пролетарская дом 18 ст. 7</v>
      </c>
      <c r="F55" s="13"/>
      <c r="G55" s="15">
        <f>IFERROR(__xludf.DUMMYFUNCTION("""COMPUTED_VALUE"""),46049.0)</f>
        <v>46049</v>
      </c>
      <c r="H55" s="13"/>
      <c r="I55" s="13">
        <f>IFERROR(__xludf.DUMMYFUNCTION("""COMPUTED_VALUE"""),5.61020333756E11)</f>
        <v>561020333756</v>
      </c>
      <c r="J55" s="13">
        <f>IFERROR(__xludf.DUMMYFUNCTION("""COMPUTED_VALUE"""),77.0)</f>
        <v>77</v>
      </c>
      <c r="K55" s="13">
        <f>IFERROR(__xludf.DUMMYFUNCTION("""COMPUTED_VALUE"""),2.500575262E9)</f>
        <v>2500575262</v>
      </c>
      <c r="L55" s="14" t="str">
        <f>IFERROR(__xludf.DUMMYFUNCTION("""COMPUTED_VALUE"""),"ПР")</f>
        <v>ПР</v>
      </c>
      <c r="M55" s="13">
        <f>IFERROR(__xludf.DUMMYFUNCTION("""COMPUTED_VALUE"""),6176061.0)</f>
        <v>6176061</v>
      </c>
      <c r="N55" s="15">
        <f>IFERROR(__xludf.DUMMYFUNCTION("""COMPUTED_VALUE"""),43518.0)</f>
        <v>43518</v>
      </c>
      <c r="O55" s="15">
        <f>IFERROR(__xludf.DUMMYFUNCTION("""COMPUTED_VALUE"""),31889.0)</f>
        <v>31889</v>
      </c>
      <c r="P55" s="13" t="str">
        <f>IFERROR(__xludf.DUMMYFUNCTION("""COMPUTED_VALUE"""),"FA0091999")</f>
        <v>FA0091999</v>
      </c>
      <c r="Q55" s="13" t="str">
        <f>IFERROR(__xludf.DUMMYFUNCTION("""COMPUTED_VALUE"""),"Абдуллаев Маруф Мусаевич")</f>
        <v>Абдуллаев Маруф Мусаевич</v>
      </c>
      <c r="R55" s="13" t="str">
        <f>IFERROR(__xludf.DUMMYFUNCTION("""COMPUTED_VALUE"""),"79036164768")</f>
        <v>79036164768</v>
      </c>
      <c r="S55" s="13" t="str">
        <f>IFERROR(__xludf.DUMMYFUNCTION("""COMPUTED_VALUE"""),"Узбекистан")</f>
        <v>Узбекистан</v>
      </c>
      <c r="T55" s="16" t="str">
        <f>IFERROR(__xludf.DUMMYFUNCTION("""COMPUTED_VALUE"""),"https://disk.360.yandex.ru/d/NnDlZSeWlkMAXg")</f>
        <v>https://disk.360.yandex.ru/d/NnDlZSeWlkMAXg</v>
      </c>
      <c r="U55" s="13" t="str">
        <f>IFERROR(__xludf.DUMMYFUNCTION("""COMPUTED_VALUE"""),"Собран")</f>
        <v>Собран</v>
      </c>
      <c r="V55" s="15">
        <f>IFERROR(__xludf.DUMMYFUNCTION("""COMPUTED_VALUE"""),46074.0)</f>
        <v>46074</v>
      </c>
      <c r="W55" s="15">
        <f>IFERROR(__xludf.DUMMYFUNCTION("""COMPUTED_VALUE"""),45958.0)</f>
        <v>45958</v>
      </c>
      <c r="X55" s="15">
        <f>IFERROR(__xludf.DUMMYFUNCTION("""COMPUTED_VALUE"""),45989.0)</f>
        <v>45989</v>
      </c>
      <c r="Y55" s="16" t="str">
        <f>IFERROR(__xludf.DUMMYFUNCTION("""COMPUTED_VALUE"""),"https://disk.yandex.ru/d/VP85tip3RLqwdw")</f>
        <v>https://disk.yandex.ru/d/VP85tip3RLqwdw</v>
      </c>
      <c r="Z55" s="13"/>
      <c r="AA55" s="13"/>
    </row>
    <row r="56">
      <c r="A56" s="13" t="str">
        <f>IFERROR(__xludf.DUMMYFUNCTION("""COMPUTED_VALUE"""),"Оформлен")</f>
        <v>Оформлен</v>
      </c>
      <c r="B56" s="13" t="str">
        <f>IFERROR(__xludf.DUMMYFUNCTION("""COMPUTED_VALUE"""),"Чайхана")</f>
        <v>Чайхана</v>
      </c>
      <c r="C56" s="13" t="str">
        <f>IFERROR(__xludf.DUMMYFUNCTION("""COMPUTED_VALUE"""),"Москва")</f>
        <v>Москва</v>
      </c>
      <c r="D56" s="13" t="str">
        <f>IFERROR(__xludf.DUMMYFUNCTION("""COMPUTED_VALUE"""),"Посудомойщица")</f>
        <v>Посудомойщица</v>
      </c>
      <c r="E56" s="13" t="str">
        <f>IFERROR(__xludf.DUMMYFUNCTION("""COMPUTED_VALUE"""),"Часовая 11 стр 2")</f>
        <v>Часовая 11 стр 2</v>
      </c>
      <c r="F56" s="13"/>
      <c r="G56" s="15">
        <f>IFERROR(__xludf.DUMMYFUNCTION("""COMPUTED_VALUE"""),46049.0)</f>
        <v>46049</v>
      </c>
      <c r="H56" s="13"/>
      <c r="I56" s="13">
        <f>IFERROR(__xludf.DUMMYFUNCTION("""COMPUTED_VALUE"""),7.74354320506E11)</f>
        <v>774354320506</v>
      </c>
      <c r="J56" s="13">
        <f>IFERROR(__xludf.DUMMYFUNCTION("""COMPUTED_VALUE"""),77.0)</f>
        <v>77</v>
      </c>
      <c r="K56" s="13">
        <f>IFERROR(__xludf.DUMMYFUNCTION("""COMPUTED_VALUE"""),2.500579103E9)</f>
        <v>2500579103</v>
      </c>
      <c r="L56" s="14" t="str">
        <f>IFERROR(__xludf.DUMMYFUNCTION("""COMPUTED_VALUE"""),"ПР")</f>
        <v>ПР</v>
      </c>
      <c r="M56" s="13">
        <f>IFERROR(__xludf.DUMMYFUNCTION("""COMPUTED_VALUE"""),6179688.0)</f>
        <v>6179688</v>
      </c>
      <c r="N56" s="15">
        <f>IFERROR(__xludf.DUMMYFUNCTION("""COMPUTED_VALUE"""),44832.0)</f>
        <v>44832</v>
      </c>
      <c r="O56" s="15">
        <f>IFERROR(__xludf.DUMMYFUNCTION("""COMPUTED_VALUE"""),31543.0)</f>
        <v>31543</v>
      </c>
      <c r="P56" s="13" t="str">
        <f>IFERROR(__xludf.DUMMYFUNCTION("""COMPUTED_VALUE"""),"FA6450883")</f>
        <v>FA6450883</v>
      </c>
      <c r="Q56" s="13" t="str">
        <f>IFERROR(__xludf.DUMMYFUNCTION("""COMPUTED_VALUE"""),"Куватова Холбека Зокировна")</f>
        <v>Куватова Холбека Зокировна</v>
      </c>
      <c r="R56" s="13" t="str">
        <f>IFERROR(__xludf.DUMMYFUNCTION("""COMPUTED_VALUE"""),"79060885518")</f>
        <v>79060885518</v>
      </c>
      <c r="S56" s="13" t="str">
        <f>IFERROR(__xludf.DUMMYFUNCTION("""COMPUTED_VALUE"""),"Узбекистан")</f>
        <v>Узбекистан</v>
      </c>
      <c r="T56" s="16" t="str">
        <f>IFERROR(__xludf.DUMMYFUNCTION("""COMPUTED_VALUE"""),"https://disk.360.yandex.ru/d/4lzLr92e5rbvmg")</f>
        <v>https://disk.360.yandex.ru/d/4lzLr92e5rbvmg</v>
      </c>
      <c r="U56" s="13" t="str">
        <f>IFERROR(__xludf.DUMMYFUNCTION("""COMPUTED_VALUE"""),"Последний чек об оплате патента")</f>
        <v>Последний чек об оплате патента</v>
      </c>
      <c r="V56" s="15">
        <f>IFERROR(__xludf.DUMMYFUNCTION("""COMPUTED_VALUE"""),46001.0)</f>
        <v>46001</v>
      </c>
      <c r="W56" s="15">
        <f>IFERROR(__xludf.DUMMYFUNCTION("""COMPUTED_VALUE"""),45960.0)</f>
        <v>45960</v>
      </c>
      <c r="X56" s="15">
        <f>IFERROR(__xludf.DUMMYFUNCTION("""COMPUTED_VALUE"""),45989.0)</f>
        <v>45989</v>
      </c>
      <c r="Y56" s="16" t="str">
        <f>IFERROR(__xludf.DUMMYFUNCTION("""COMPUTED_VALUE"""),"https://disk.yandex.ru/d/DzMKGC6LVCNYxA")</f>
        <v>https://disk.yandex.ru/d/DzMKGC6LVCNYxA</v>
      </c>
      <c r="Z56" s="13"/>
      <c r="AA56" s="13"/>
    </row>
    <row r="57">
      <c r="A57" s="13" t="str">
        <f>IFERROR(__xludf.DUMMYFUNCTION("""COMPUTED_VALUE"""),"Оформлен")</f>
        <v>Оформлен</v>
      </c>
      <c r="B57" s="13" t="str">
        <f>IFERROR(__xludf.DUMMYFUNCTION("""COMPUTED_VALUE"""),"Чайхана")</f>
        <v>Чайхана</v>
      </c>
      <c r="C57" s="13" t="str">
        <f>IFERROR(__xludf.DUMMYFUNCTION("""COMPUTED_VALUE"""),"Москва")</f>
        <v>Москва</v>
      </c>
      <c r="D57" s="13" t="str">
        <f>IFERROR(__xludf.DUMMYFUNCTION("""COMPUTED_VALUE"""),"Уборщица")</f>
        <v>Уборщица</v>
      </c>
      <c r="E57" s="13" t="str">
        <f>IFERROR(__xludf.DUMMYFUNCTION("""COMPUTED_VALUE"""),"Смольная улица 24Гс6")</f>
        <v>Смольная улица 24Гс6</v>
      </c>
      <c r="F57" s="13"/>
      <c r="G57" s="15">
        <f>IFERROR(__xludf.DUMMYFUNCTION("""COMPUTED_VALUE"""),46049.0)</f>
        <v>46049</v>
      </c>
      <c r="H57" s="13"/>
      <c r="I57" s="13">
        <f>IFERROR(__xludf.DUMMYFUNCTION("""COMPUTED_VALUE"""),7.75151914986E11)</f>
        <v>775151914986</v>
      </c>
      <c r="J57" s="13">
        <f>IFERROR(__xludf.DUMMYFUNCTION("""COMPUTED_VALUE"""),77.0)</f>
        <v>77</v>
      </c>
      <c r="K57" s="13">
        <f>IFERROR(__xludf.DUMMYFUNCTION("""COMPUTED_VALUE"""),2.500475187E9)</f>
        <v>2500475187</v>
      </c>
      <c r="L57" s="14" t="str">
        <f>IFERROR(__xludf.DUMMYFUNCTION("""COMPUTED_VALUE"""),"ПР")</f>
        <v>ПР</v>
      </c>
      <c r="M57" s="13">
        <f>IFERROR(__xludf.DUMMYFUNCTION("""COMPUTED_VALUE"""),6077900.0)</f>
        <v>6077900</v>
      </c>
      <c r="N57" s="15">
        <f>IFERROR(__xludf.DUMMYFUNCTION("""COMPUTED_VALUE"""),45838.0)</f>
        <v>45838</v>
      </c>
      <c r="O57" s="15">
        <f>IFERROR(__xludf.DUMMYFUNCTION("""COMPUTED_VALUE"""),31124.0)</f>
        <v>31124</v>
      </c>
      <c r="P57" s="13" t="str">
        <f>IFERROR(__xludf.DUMMYFUNCTION("""COMPUTED_VALUE"""),"406104617")</f>
        <v>406104617</v>
      </c>
      <c r="Q57" s="13" t="str">
        <f>IFERROR(__xludf.DUMMYFUNCTION("""COMPUTED_VALUE"""),"Курбонова Гулджахон Абдуразоковна")</f>
        <v>Курбонова Гулджахон Абдуразоковна</v>
      </c>
      <c r="R57" s="13" t="str">
        <f>IFERROR(__xludf.DUMMYFUNCTION("""COMPUTED_VALUE"""),"79255103455")</f>
        <v>79255103455</v>
      </c>
      <c r="S57" s="13" t="str">
        <f>IFERROR(__xludf.DUMMYFUNCTION("""COMPUTED_VALUE"""),"Таджикистан")</f>
        <v>Таджикистан</v>
      </c>
      <c r="T57" s="16" t="str">
        <f>IFERROR(__xludf.DUMMYFUNCTION("""COMPUTED_VALUE"""),"https://disk.360.yandex.ru/d/fOKu-OFmtb44Dg")</f>
        <v>https://disk.360.yandex.ru/d/fOKu-OFmtb44Dg</v>
      </c>
      <c r="U57" s="13" t="str">
        <f>IFERROR(__xludf.DUMMYFUNCTION("""COMPUTED_VALUE"""),"Собран")</f>
        <v>Собран</v>
      </c>
      <c r="V57" s="15">
        <f>IFERROR(__xludf.DUMMYFUNCTION("""COMPUTED_VALUE"""),46078.0)</f>
        <v>46078</v>
      </c>
      <c r="W57" s="15">
        <f>IFERROR(__xludf.DUMMYFUNCTION("""COMPUTED_VALUE"""),45897.0)</f>
        <v>45897</v>
      </c>
      <c r="X57" s="15">
        <f>IFERROR(__xludf.DUMMYFUNCTION("""COMPUTED_VALUE"""),45989.0)</f>
        <v>45989</v>
      </c>
      <c r="Y57" s="16" t="str">
        <f>IFERROR(__xludf.DUMMYFUNCTION("""COMPUTED_VALUE"""),"https://disk.yandex.ru/d/qreVb661uM4jJQ")</f>
        <v>https://disk.yandex.ru/d/qreVb661uM4jJQ</v>
      </c>
      <c r="Z57" s="13"/>
      <c r="AA57" s="13"/>
    </row>
    <row r="58">
      <c r="A58" s="13" t="str">
        <f>IFERROR(__xludf.DUMMYFUNCTION("""COMPUTED_VALUE"""),"Оформлен")</f>
        <v>Оформлен</v>
      </c>
      <c r="B58" s="13" t="str">
        <f>IFERROR(__xludf.DUMMYFUNCTION("""COMPUTED_VALUE"""),"Чайхана")</f>
        <v>Чайхана</v>
      </c>
      <c r="C58" s="13" t="str">
        <f>IFERROR(__xludf.DUMMYFUNCTION("""COMPUTED_VALUE"""),"Москва")</f>
        <v>Москва</v>
      </c>
      <c r="D58" s="13" t="str">
        <f>IFERROR(__xludf.DUMMYFUNCTION("""COMPUTED_VALUE"""),"Повар")</f>
        <v>Повар</v>
      </c>
      <c r="E58" s="13" t="str">
        <f>IFERROR(__xludf.DUMMYFUNCTION("""COMPUTED_VALUE"""),"Складочная 20А, стр. 16")</f>
        <v>Складочная 20А, стр. 16</v>
      </c>
      <c r="F58" s="13"/>
      <c r="G58" s="15">
        <f>IFERROR(__xludf.DUMMYFUNCTION("""COMPUTED_VALUE"""),46049.0)</f>
        <v>46049</v>
      </c>
      <c r="H58" s="13"/>
      <c r="I58" s="13"/>
      <c r="J58" s="13">
        <f>IFERROR(__xludf.DUMMYFUNCTION("""COMPUTED_VALUE"""),77.0)</f>
        <v>77</v>
      </c>
      <c r="K58" s="13">
        <f>IFERROR(__xludf.DUMMYFUNCTION("""COMPUTED_VALUE"""),2.500252913E9)</f>
        <v>2500252913</v>
      </c>
      <c r="L58" s="14" t="str">
        <f>IFERROR(__xludf.DUMMYFUNCTION("""COMPUTED_VALUE"""),"ПР")</f>
        <v>ПР</v>
      </c>
      <c r="M58" s="13">
        <f>IFERROR(__xludf.DUMMYFUNCTION("""COMPUTED_VALUE"""),5860734.0)</f>
        <v>5860734</v>
      </c>
      <c r="N58" s="15">
        <f>IFERROR(__xludf.DUMMYFUNCTION("""COMPUTED_VALUE"""),45706.0)</f>
        <v>45706</v>
      </c>
      <c r="O58" s="15">
        <f>IFERROR(__xludf.DUMMYFUNCTION("""COMPUTED_VALUE"""),37049.0)</f>
        <v>37049</v>
      </c>
      <c r="P58" s="13" t="str">
        <f>IFERROR(__xludf.DUMMYFUNCTION("""COMPUTED_VALUE"""),"FB0811623")</f>
        <v>FB0811623</v>
      </c>
      <c r="Q58" s="13" t="str">
        <f>IFERROR(__xludf.DUMMYFUNCTION("""COMPUTED_VALUE"""),"Холиков Алииброхим Мухаммад Угли")</f>
        <v>Холиков Алииброхим Мухаммад Угли</v>
      </c>
      <c r="R58" s="13" t="str">
        <f>IFERROR(__xludf.DUMMYFUNCTION("""COMPUTED_VALUE"""),"79966813316")</f>
        <v>79966813316</v>
      </c>
      <c r="S58" s="13" t="str">
        <f>IFERROR(__xludf.DUMMYFUNCTION("""COMPUTED_VALUE"""),"Узбекистан")</f>
        <v>Узбекистан</v>
      </c>
      <c r="T58" s="16" t="str">
        <f>IFERROR(__xludf.DUMMYFUNCTION("""COMPUTED_VALUE"""),"https://disk.360.yandex.ru/d/Ps7TMdWNF9BBsA")</f>
        <v>https://disk.360.yandex.ru/d/Ps7TMdWNF9BBsA</v>
      </c>
      <c r="U58" s="13" t="str">
        <f>IFERROR(__xludf.DUMMYFUNCTION("""COMPUTED_VALUE"""),"Последний чек об оплате патента")</f>
        <v>Последний чек об оплате патента</v>
      </c>
      <c r="V58" s="15">
        <f>IFERROR(__xludf.DUMMYFUNCTION("""COMPUTED_VALUE"""),46016.0)</f>
        <v>46016</v>
      </c>
      <c r="W58" s="15">
        <f>IFERROR(__xludf.DUMMYFUNCTION("""COMPUTED_VALUE"""),45775.0)</f>
        <v>45775</v>
      </c>
      <c r="X58" s="15">
        <f>IFERROR(__xludf.DUMMYFUNCTION("""COMPUTED_VALUE"""),45989.0)</f>
        <v>45989</v>
      </c>
      <c r="Y58" s="16" t="str">
        <f>IFERROR(__xludf.DUMMYFUNCTION("""COMPUTED_VALUE"""),"https://disk.yandex.ru/d/3rQUXoTqbPnjAw")</f>
        <v>https://disk.yandex.ru/d/3rQUXoTqbPnjAw</v>
      </c>
      <c r="Z58" s="13"/>
      <c r="AA58" s="13"/>
    </row>
    <row r="59">
      <c r="A59" s="13" t="str">
        <f>IFERROR(__xludf.DUMMYFUNCTION("""COMPUTED_VALUE"""),"Оформлен")</f>
        <v>Оформлен</v>
      </c>
      <c r="B59" s="13" t="str">
        <f>IFERROR(__xludf.DUMMYFUNCTION("""COMPUTED_VALUE"""),"Чайхана")</f>
        <v>Чайхана</v>
      </c>
      <c r="C59" s="13" t="str">
        <f>IFERROR(__xludf.DUMMYFUNCTION("""COMPUTED_VALUE"""),"Москва")</f>
        <v>Москва</v>
      </c>
      <c r="D59" s="13" t="str">
        <f>IFERROR(__xludf.DUMMYFUNCTION("""COMPUTED_VALUE"""),"Повар")</f>
        <v>Повар</v>
      </c>
      <c r="E59" s="13" t="str">
        <f>IFERROR(__xludf.DUMMYFUNCTION("""COMPUTED_VALUE"""),"Часовая 11 стр 2")</f>
        <v>Часовая 11 стр 2</v>
      </c>
      <c r="F59" s="13"/>
      <c r="G59" s="15">
        <f>IFERROR(__xludf.DUMMYFUNCTION("""COMPUTED_VALUE"""),46049.0)</f>
        <v>46049</v>
      </c>
      <c r="H59" s="13"/>
      <c r="I59" s="13">
        <f>IFERROR(__xludf.DUMMYFUNCTION("""COMPUTED_VALUE"""),7.75155901184E11)</f>
        <v>775155901184</v>
      </c>
      <c r="J59" s="13">
        <f>IFERROR(__xludf.DUMMYFUNCTION("""COMPUTED_VALUE"""),77.0)</f>
        <v>77</v>
      </c>
      <c r="K59" s="13">
        <f>IFERROR(__xludf.DUMMYFUNCTION("""COMPUTED_VALUE"""),2.500380403E9)</f>
        <v>2500380403</v>
      </c>
      <c r="L59" s="14" t="str">
        <f>IFERROR(__xludf.DUMMYFUNCTION("""COMPUTED_VALUE"""),"ПР")</f>
        <v>ПР</v>
      </c>
      <c r="M59" s="13">
        <f>IFERROR(__xludf.DUMMYFUNCTION("""COMPUTED_VALUE"""),5984964.0)</f>
        <v>5984964</v>
      </c>
      <c r="N59" s="15">
        <f>IFERROR(__xludf.DUMMYFUNCTION("""COMPUTED_VALUE"""),45107.0)</f>
        <v>45107</v>
      </c>
      <c r="O59" s="15">
        <f>IFERROR(__xludf.DUMMYFUNCTION("""COMPUTED_VALUE"""),37624.0)</f>
        <v>37624</v>
      </c>
      <c r="P59" s="13" t="str">
        <f>IFERROR(__xludf.DUMMYFUNCTION("""COMPUTED_VALUE"""),"FA8011909")</f>
        <v>FA8011909</v>
      </c>
      <c r="Q59" s="13" t="str">
        <f>IFERROR(__xludf.DUMMYFUNCTION("""COMPUTED_VALUE"""),"Усманов Нодирбек Уктамжон Угли")</f>
        <v>Усманов Нодирбек Уктамжон Угли</v>
      </c>
      <c r="R59" s="13" t="str">
        <f>IFERROR(__xludf.DUMMYFUNCTION("""COMPUTED_VALUE"""),"79800015369")</f>
        <v>79800015369</v>
      </c>
      <c r="S59" s="13" t="str">
        <f>IFERROR(__xludf.DUMMYFUNCTION("""COMPUTED_VALUE"""),"Узбекистан")</f>
        <v>Узбекистан</v>
      </c>
      <c r="T59" s="16" t="str">
        <f>IFERROR(__xludf.DUMMYFUNCTION("""COMPUTED_VALUE"""),"https://disk.360.yandex.ru/d/aetZvIGmvMTT0w")</f>
        <v>https://disk.360.yandex.ru/d/aetZvIGmvMTT0w</v>
      </c>
      <c r="U59" s="13" t="str">
        <f>IFERROR(__xludf.DUMMYFUNCTION("""COMPUTED_VALUE"""),"Последний чек об оплате патента")</f>
        <v>Последний чек об оплате патента</v>
      </c>
      <c r="V59" s="15"/>
      <c r="W59" s="15">
        <f>IFERROR(__xludf.DUMMYFUNCTION("""COMPUTED_VALUE"""),45839.0)</f>
        <v>45839</v>
      </c>
      <c r="X59" s="15">
        <f>IFERROR(__xludf.DUMMYFUNCTION("""COMPUTED_VALUE"""),45992.0)</f>
        <v>45992</v>
      </c>
      <c r="Y59" s="16" t="str">
        <f>IFERROR(__xludf.DUMMYFUNCTION("""COMPUTED_VALUE"""),"https://drive.google.com/drive/folders/1oyiGOui-Fj3V1xb3sH2Tzy4bg6qayvH5")</f>
        <v>https://drive.google.com/drive/folders/1oyiGOui-Fj3V1xb3sH2Tzy4bg6qayvH5</v>
      </c>
      <c r="Z59" s="13"/>
      <c r="AA59" s="13"/>
    </row>
    <row r="60">
      <c r="A60" s="13" t="str">
        <f>IFERROR(__xludf.DUMMYFUNCTION("""COMPUTED_VALUE"""),"Оформлен")</f>
        <v>Оформлен</v>
      </c>
      <c r="B60" s="13" t="str">
        <f>IFERROR(__xludf.DUMMYFUNCTION("""COMPUTED_VALUE"""),"Чайхана")</f>
        <v>Чайхана</v>
      </c>
      <c r="C60" s="13" t="str">
        <f>IFERROR(__xludf.DUMMYFUNCTION("""COMPUTED_VALUE"""),"Москва")</f>
        <v>Москва</v>
      </c>
      <c r="D60" s="13" t="str">
        <f>IFERROR(__xludf.DUMMYFUNCTION("""COMPUTED_VALUE"""),"Повар")</f>
        <v>Повар</v>
      </c>
      <c r="E60" s="13" t="str">
        <f>IFERROR(__xludf.DUMMYFUNCTION("""COMPUTED_VALUE"""),"Бутырская 89 стр 2")</f>
        <v>Бутырская 89 стр 2</v>
      </c>
      <c r="F60" s="13"/>
      <c r="G60" s="15">
        <f>IFERROR(__xludf.DUMMYFUNCTION("""COMPUTED_VALUE"""),46049.0)</f>
        <v>46049</v>
      </c>
      <c r="H60" s="13"/>
      <c r="I60" s="13">
        <f>IFERROR(__xludf.DUMMYFUNCTION("""COMPUTED_VALUE"""),2.46415369245E11)</f>
        <v>246415369245</v>
      </c>
      <c r="J60" s="13">
        <f>IFERROR(__xludf.DUMMYFUNCTION("""COMPUTED_VALUE"""),77.0)</f>
        <v>77</v>
      </c>
      <c r="K60" s="13">
        <f>IFERROR(__xludf.DUMMYFUNCTION("""COMPUTED_VALUE"""),2.500372065E9)</f>
        <v>2500372065</v>
      </c>
      <c r="L60" s="14" t="str">
        <f>IFERROR(__xludf.DUMMYFUNCTION("""COMPUTED_VALUE"""),"ПР")</f>
        <v>ПР</v>
      </c>
      <c r="M60" s="13">
        <f>IFERROR(__xludf.DUMMYFUNCTION("""COMPUTED_VALUE"""),5976773.0)</f>
        <v>5976773</v>
      </c>
      <c r="N60" s="15">
        <f>IFERROR(__xludf.DUMMYFUNCTION("""COMPUTED_VALUE"""),45567.0)</f>
        <v>45567</v>
      </c>
      <c r="O60" s="15">
        <f>IFERROR(__xludf.DUMMYFUNCTION("""COMPUTED_VALUE"""),27216.0)</f>
        <v>27216</v>
      </c>
      <c r="P60" s="13" t="str">
        <f>IFERROR(__xludf.DUMMYFUNCTION("""COMPUTED_VALUE"""),"405640568")</f>
        <v>405640568</v>
      </c>
      <c r="Q60" s="13" t="str">
        <f>IFERROR(__xludf.DUMMYFUNCTION("""COMPUTED_VALUE"""),"Атаев Иброхим")</f>
        <v>Атаев Иброхим</v>
      </c>
      <c r="R60" s="13" t="str">
        <f>IFERROR(__xludf.DUMMYFUNCTION("""COMPUTED_VALUE"""),"79911875000")</f>
        <v>79911875000</v>
      </c>
      <c r="S60" s="13" t="str">
        <f>IFERROR(__xludf.DUMMYFUNCTION("""COMPUTED_VALUE"""),"Таджикистан")</f>
        <v>Таджикистан</v>
      </c>
      <c r="T60" s="16" t="str">
        <f>IFERROR(__xludf.DUMMYFUNCTION("""COMPUTED_VALUE"""),"https://disk.360.yandex.ru/d/3GngX8Ryp61PFQ")</f>
        <v>https://disk.360.yandex.ru/d/3GngX8Ryp61PFQ</v>
      </c>
      <c r="U60" s="13" t="str">
        <f>IFERROR(__xludf.DUMMYFUNCTION("""COMPUTED_VALUE"""),"собран")</f>
        <v>собран</v>
      </c>
      <c r="V60" s="15">
        <f>IFERROR(__xludf.DUMMYFUNCTION("""COMPUTED_VALUE"""),46066.0)</f>
        <v>46066</v>
      </c>
      <c r="W60" s="15">
        <f>IFERROR(__xludf.DUMMYFUNCTION("""COMPUTED_VALUE"""),45853.0)</f>
        <v>45853</v>
      </c>
      <c r="X60" s="15">
        <f>IFERROR(__xludf.DUMMYFUNCTION("""COMPUTED_VALUE"""),45993.0)</f>
        <v>45993</v>
      </c>
      <c r="Y60" s="16" t="str">
        <f>IFERROR(__xludf.DUMMYFUNCTION("""COMPUTED_VALUE"""),"https://disk.yandex.ru/d/8ypgXorcVLF2wA")</f>
        <v>https://disk.yandex.ru/d/8ypgXorcVLF2wA</v>
      </c>
      <c r="Z60" s="13"/>
      <c r="AA60" s="13"/>
    </row>
    <row r="61">
      <c r="A61" s="13" t="str">
        <f>IFERROR(__xludf.DUMMYFUNCTION("""COMPUTED_VALUE"""),"Оформлен")</f>
        <v>Оформлен</v>
      </c>
      <c r="B61" s="13" t="str">
        <f>IFERROR(__xludf.DUMMYFUNCTION("""COMPUTED_VALUE"""),"Чайхана")</f>
        <v>Чайхана</v>
      </c>
      <c r="C61" s="13" t="str">
        <f>IFERROR(__xludf.DUMMYFUNCTION("""COMPUTED_VALUE"""),"Москва")</f>
        <v>Москва</v>
      </c>
      <c r="D61" s="13" t="str">
        <f>IFERROR(__xludf.DUMMYFUNCTION("""COMPUTED_VALUE"""),"Повар")</f>
        <v>Повар</v>
      </c>
      <c r="E61" s="13" t="str">
        <f>IFERROR(__xludf.DUMMYFUNCTION("""COMPUTED_VALUE"""),"Чайхана Красная Пресня 29")</f>
        <v>Чайхана Красная Пресня 29</v>
      </c>
      <c r="F61" s="13"/>
      <c r="G61" s="15">
        <f>IFERROR(__xludf.DUMMYFUNCTION("""COMPUTED_VALUE"""),46049.0)</f>
        <v>46049</v>
      </c>
      <c r="H61" s="13"/>
      <c r="I61" s="13">
        <f>IFERROR(__xludf.DUMMYFUNCTION("""COMPUTED_VALUE"""),7.7343164594E11)</f>
        <v>773431645940</v>
      </c>
      <c r="J61" s="13">
        <f>IFERROR(__xludf.DUMMYFUNCTION("""COMPUTED_VALUE"""),77.0)</f>
        <v>77</v>
      </c>
      <c r="K61" s="13">
        <f>IFERROR(__xludf.DUMMYFUNCTION("""COMPUTED_VALUE"""),2.500372065E9)</f>
        <v>2500372065</v>
      </c>
      <c r="L61" s="14" t="str">
        <f>IFERROR(__xludf.DUMMYFUNCTION("""COMPUTED_VALUE"""),"ПР")</f>
        <v>ПР</v>
      </c>
      <c r="M61" s="13">
        <f>IFERROR(__xludf.DUMMYFUNCTION("""COMPUTED_VALUE"""),5976773.0)</f>
        <v>5976773</v>
      </c>
      <c r="N61" s="15">
        <f>IFERROR(__xludf.DUMMYFUNCTION("""COMPUTED_VALUE"""),45476.0)</f>
        <v>45476</v>
      </c>
      <c r="O61" s="15">
        <f>IFERROR(__xludf.DUMMYFUNCTION("""COMPUTED_VALUE"""),33138.0)</f>
        <v>33138</v>
      </c>
      <c r="P61" s="13" t="str">
        <f>IFERROR(__xludf.DUMMYFUNCTION("""COMPUTED_VALUE"""),"FK0586855")</f>
        <v>FK0586855</v>
      </c>
      <c r="Q61" s="13" t="str">
        <f>IFERROR(__xludf.DUMMYFUNCTION("""COMPUTED_VALUE"""),"Джуманиязова Саида Бахадировна")</f>
        <v>Джуманиязова Саида Бахадировна</v>
      </c>
      <c r="R61" s="13" t="str">
        <f>IFERROR(__xludf.DUMMYFUNCTION("""COMPUTED_VALUE"""),"79686192625")</f>
        <v>79686192625</v>
      </c>
      <c r="S61" s="13" t="str">
        <f>IFERROR(__xludf.DUMMYFUNCTION("""COMPUTED_VALUE"""),"Узбекистан")</f>
        <v>Узбекистан</v>
      </c>
      <c r="T61" s="16" t="str">
        <f>IFERROR(__xludf.DUMMYFUNCTION("""COMPUTED_VALUE"""),"https://disk.360.yandex.ru/d/Aqa6_Hu8SKbd6A")</f>
        <v>https://disk.360.yandex.ru/d/Aqa6_Hu8SKbd6A</v>
      </c>
      <c r="U61" s="13" t="str">
        <f>IFERROR(__xludf.DUMMYFUNCTION("""COMPUTED_VALUE"""),"Собран")</f>
        <v>Собран</v>
      </c>
      <c r="V61" s="15">
        <f>IFERROR(__xludf.DUMMYFUNCTION("""COMPUTED_VALUE"""),45676.0)</f>
        <v>45676</v>
      </c>
      <c r="W61" s="15">
        <f>IFERROR(__xludf.DUMMYFUNCTION("""COMPUTED_VALUE"""),45833.0)</f>
        <v>45833</v>
      </c>
      <c r="X61" s="15">
        <f>IFERROR(__xludf.DUMMYFUNCTION("""COMPUTED_VALUE"""),45993.0)</f>
        <v>45993</v>
      </c>
      <c r="Y61" s="16" t="str">
        <f>IFERROR(__xludf.DUMMYFUNCTION("""COMPUTED_VALUE"""),"https://disk.yandex.ru/d/8lwN1V3MDGt0oQ")</f>
        <v>https://disk.yandex.ru/d/8lwN1V3MDGt0oQ</v>
      </c>
      <c r="Z61" s="13"/>
      <c r="AA61" s="13"/>
    </row>
    <row r="62">
      <c r="A62" s="13" t="str">
        <f>IFERROR(__xludf.DUMMYFUNCTION("""COMPUTED_VALUE"""),"Оформлен")</f>
        <v>Оформлен</v>
      </c>
      <c r="B62" s="13" t="str">
        <f>IFERROR(__xludf.DUMMYFUNCTION("""COMPUTED_VALUE"""),"Чайхана")</f>
        <v>Чайхана</v>
      </c>
      <c r="C62" s="13" t="str">
        <f>IFERROR(__xludf.DUMMYFUNCTION("""COMPUTED_VALUE"""),"Московская Область")</f>
        <v>Московская Область</v>
      </c>
      <c r="D62" s="13" t="str">
        <f>IFERROR(__xludf.DUMMYFUNCTION("""COMPUTED_VALUE"""),"Коренщица")</f>
        <v>Коренщица</v>
      </c>
      <c r="E62" s="13" t="str">
        <f>IFERROR(__xludf.DUMMYFUNCTION("""COMPUTED_VALUE"""),"Химки Пролетарская дом 18 ст. 7")</f>
        <v>Химки Пролетарская дом 18 ст. 7</v>
      </c>
      <c r="F62" s="13"/>
      <c r="G62" s="15">
        <f>IFERROR(__xludf.DUMMYFUNCTION("""COMPUTED_VALUE"""),46049.0)</f>
        <v>46049</v>
      </c>
      <c r="H62" s="13"/>
      <c r="I62" s="13">
        <f>IFERROR(__xludf.DUMMYFUNCTION("""COMPUTED_VALUE"""),2.3101357277E11)</f>
        <v>231013572770</v>
      </c>
      <c r="J62" s="13">
        <f>IFERROR(__xludf.DUMMYFUNCTION("""COMPUTED_VALUE"""),77.0)</f>
        <v>77</v>
      </c>
      <c r="K62" s="13">
        <f>IFERROR(__xludf.DUMMYFUNCTION("""COMPUTED_VALUE"""),2.500531708E9)</f>
        <v>2500531708</v>
      </c>
      <c r="L62" s="14" t="str">
        <f>IFERROR(__xludf.DUMMYFUNCTION("""COMPUTED_VALUE"""),"ПР")</f>
        <v>ПР</v>
      </c>
      <c r="M62" s="13">
        <f>IFERROR(__xludf.DUMMYFUNCTION("""COMPUTED_VALUE"""),6134606.0)</f>
        <v>6134606</v>
      </c>
      <c r="N62" s="15">
        <f>IFERROR(__xludf.DUMMYFUNCTION("""COMPUTED_VALUE"""),44417.0)</f>
        <v>44417</v>
      </c>
      <c r="O62" s="15">
        <f>IFERROR(__xludf.DUMMYFUNCTION("""COMPUTED_VALUE"""),29072.0)</f>
        <v>29072</v>
      </c>
      <c r="P62" s="13" t="str">
        <f>IFERROR(__xludf.DUMMYFUNCTION("""COMPUTED_VALUE"""),"FA3562031")</f>
        <v>FA3562031</v>
      </c>
      <c r="Q62" s="13" t="str">
        <f>IFERROR(__xludf.DUMMYFUNCTION("""COMPUTED_VALUE"""),"Зуфарова Дилбар Рустамджановна")</f>
        <v>Зуфарова Дилбар Рустамджановна</v>
      </c>
      <c r="R62" s="13" t="str">
        <f>IFERROR(__xludf.DUMMYFUNCTION("""COMPUTED_VALUE"""),"79962119116")</f>
        <v>79962119116</v>
      </c>
      <c r="S62" s="13" t="str">
        <f>IFERROR(__xludf.DUMMYFUNCTION("""COMPUTED_VALUE"""),"Узбекистан")</f>
        <v>Узбекистан</v>
      </c>
      <c r="T62" s="16" t="str">
        <f>IFERROR(__xludf.DUMMYFUNCTION("""COMPUTED_VALUE"""),"https://disk.360.yandex.ru/d/S-uNiXUaBkUeWw")</f>
        <v>https://disk.360.yandex.ru/d/S-uNiXUaBkUeWw</v>
      </c>
      <c r="U62" s="13" t="str">
        <f>IFERROR(__xludf.DUMMYFUNCTION("""COMPUTED_VALUE"""),"Собран")</f>
        <v>Собран</v>
      </c>
      <c r="V62" s="15"/>
      <c r="W62" s="15">
        <f>IFERROR(__xludf.DUMMYFUNCTION("""COMPUTED_VALUE"""),45930.0)</f>
        <v>45930</v>
      </c>
      <c r="X62" s="15">
        <f>IFERROR(__xludf.DUMMYFUNCTION("""COMPUTED_VALUE"""),45993.0)</f>
        <v>45993</v>
      </c>
      <c r="Y62" s="16" t="str">
        <f>IFERROR(__xludf.DUMMYFUNCTION("""COMPUTED_VALUE"""),"https://disk.yandex.ru/d/LlrzHwOIgopmSQ")</f>
        <v>https://disk.yandex.ru/d/LlrzHwOIgopmSQ</v>
      </c>
      <c r="Z62" s="13"/>
      <c r="AA62" s="13"/>
    </row>
    <row r="63">
      <c r="A63" s="13" t="str">
        <f>IFERROR(__xludf.DUMMYFUNCTION("""COMPUTED_VALUE"""),"Оформлен")</f>
        <v>Оформлен</v>
      </c>
      <c r="B63" s="13" t="str">
        <f>IFERROR(__xludf.DUMMYFUNCTION("""COMPUTED_VALUE"""),"Чайхана")</f>
        <v>Чайхана</v>
      </c>
      <c r="C63" s="13" t="str">
        <f>IFERROR(__xludf.DUMMYFUNCTION("""COMPUTED_VALUE"""),"Москва")</f>
        <v>Москва</v>
      </c>
      <c r="D63" s="13" t="str">
        <f>IFERROR(__xludf.DUMMYFUNCTION("""COMPUTED_VALUE"""),"Повар")</f>
        <v>Повар</v>
      </c>
      <c r="E63" s="13" t="str">
        <f>IFERROR(__xludf.DUMMYFUNCTION("""COMPUTED_VALUE"""),"Смольная улица 24Гс6")</f>
        <v>Смольная улица 24Гс6</v>
      </c>
      <c r="F63" s="13"/>
      <c r="G63" s="15">
        <f>IFERROR(__xludf.DUMMYFUNCTION("""COMPUTED_VALUE"""),46049.0)</f>
        <v>46049</v>
      </c>
      <c r="H63" s="13"/>
      <c r="I63" s="13">
        <f>IFERROR(__xludf.DUMMYFUNCTION("""COMPUTED_VALUE"""),7.71778280523E11)</f>
        <v>771778280523</v>
      </c>
      <c r="J63" s="13">
        <f>IFERROR(__xludf.DUMMYFUNCTION("""COMPUTED_VALUE"""),77.0)</f>
        <v>77</v>
      </c>
      <c r="K63" s="13">
        <f>IFERROR(__xludf.DUMMYFUNCTION("""COMPUTED_VALUE"""),2.500424766E9)</f>
        <v>2500424766</v>
      </c>
      <c r="L63" s="14" t="str">
        <f>IFERROR(__xludf.DUMMYFUNCTION("""COMPUTED_VALUE"""),"ПР")</f>
        <v>ПР</v>
      </c>
      <c r="M63" s="13">
        <f>IFERROR(__xludf.DUMMYFUNCTION("""COMPUTED_VALUE"""),6029745.0)</f>
        <v>6029745</v>
      </c>
      <c r="N63" s="15">
        <f>IFERROR(__xludf.DUMMYFUNCTION("""COMPUTED_VALUE"""),45778.0)</f>
        <v>45778</v>
      </c>
      <c r="O63" s="15">
        <f>IFERROR(__xludf.DUMMYFUNCTION("""COMPUTED_VALUE"""),31469.0)</f>
        <v>31469</v>
      </c>
      <c r="P63" s="13" t="str">
        <f>IFERROR(__xludf.DUMMYFUNCTION("""COMPUTED_VALUE"""),"406032592")</f>
        <v>406032592</v>
      </c>
      <c r="Q63" s="13" t="str">
        <f>IFERROR(__xludf.DUMMYFUNCTION("""COMPUTED_VALUE"""),"Хаитова Лайло Норбоевна")</f>
        <v>Хаитова Лайло Норбоевна</v>
      </c>
      <c r="R63" s="13" t="str">
        <f>IFERROR(__xludf.DUMMYFUNCTION("""COMPUTED_VALUE"""),"79694748125")</f>
        <v>79694748125</v>
      </c>
      <c r="S63" s="13" t="str">
        <f>IFERROR(__xludf.DUMMYFUNCTION("""COMPUTED_VALUE"""),"Таджикистан")</f>
        <v>Таджикистан</v>
      </c>
      <c r="T63" s="16" t="str">
        <f>IFERROR(__xludf.DUMMYFUNCTION("""COMPUTED_VALUE"""),"https://disk.360.yandex.ru/d/UMx6L-s9IFcEKA")</f>
        <v>https://disk.360.yandex.ru/d/UMx6L-s9IFcEKA</v>
      </c>
      <c r="U63" s="13" t="str">
        <f>IFERROR(__xludf.DUMMYFUNCTION("""COMPUTED_VALUE"""),"Последний чек об оплате патента")</f>
        <v>Последний чек об оплате патента</v>
      </c>
      <c r="V63" s="15">
        <f>IFERROR(__xludf.DUMMYFUNCTION("""COMPUTED_VALUE"""),46008.0)</f>
        <v>46008</v>
      </c>
      <c r="W63" s="15">
        <f>IFERROR(__xludf.DUMMYFUNCTION("""COMPUTED_VALUE"""),45863.0)</f>
        <v>45863</v>
      </c>
      <c r="X63" s="15">
        <f>IFERROR(__xludf.DUMMYFUNCTION("""COMPUTED_VALUE"""),45993.0)</f>
        <v>45993</v>
      </c>
      <c r="Y63" s="16" t="str">
        <f>IFERROR(__xludf.DUMMYFUNCTION("""COMPUTED_VALUE"""),"https://disk.yandex.ru/d/7Qice2GIQ9wSww")</f>
        <v>https://disk.yandex.ru/d/7Qice2GIQ9wSww</v>
      </c>
      <c r="Z63" s="13"/>
      <c r="AA63" s="13"/>
    </row>
    <row r="64">
      <c r="A64" s="13" t="str">
        <f>IFERROR(__xludf.DUMMYFUNCTION("""COMPUTED_VALUE"""),"Оформлен")</f>
        <v>Оформлен</v>
      </c>
      <c r="B64" s="13" t="str">
        <f>IFERROR(__xludf.DUMMYFUNCTION("""COMPUTED_VALUE"""),"Чайхана")</f>
        <v>Чайхана</v>
      </c>
      <c r="C64" s="13" t="str">
        <f>IFERROR(__xludf.DUMMYFUNCTION("""COMPUTED_VALUE"""),"Москва")</f>
        <v>Москва</v>
      </c>
      <c r="D64" s="13" t="str">
        <f>IFERROR(__xludf.DUMMYFUNCTION("""COMPUTED_VALUE"""),"Повар")</f>
        <v>Повар</v>
      </c>
      <c r="E64" s="13" t="str">
        <f>IFERROR(__xludf.DUMMYFUNCTION("""COMPUTED_VALUE"""),"Складочная 20А, стр. 16")</f>
        <v>Складочная 20А, стр. 16</v>
      </c>
      <c r="F64" s="13"/>
      <c r="G64" s="15">
        <f>IFERROR(__xludf.DUMMYFUNCTION("""COMPUTED_VALUE"""),46049.0)</f>
        <v>46049</v>
      </c>
      <c r="H64" s="13"/>
      <c r="I64" s="13"/>
      <c r="J64" s="13">
        <f>IFERROR(__xludf.DUMMYFUNCTION("""COMPUTED_VALUE"""),77.0)</f>
        <v>77</v>
      </c>
      <c r="K64" s="13">
        <f>IFERROR(__xludf.DUMMYFUNCTION("""COMPUTED_VALUE"""),2.500493501E9)</f>
        <v>2500493501</v>
      </c>
      <c r="L64" s="14" t="str">
        <f>IFERROR(__xludf.DUMMYFUNCTION("""COMPUTED_VALUE"""),"ПР")</f>
        <v>ПР</v>
      </c>
      <c r="M64" s="13">
        <f>IFERROR(__xludf.DUMMYFUNCTION("""COMPUTED_VALUE"""),6096567.0)</f>
        <v>6096567</v>
      </c>
      <c r="N64" s="15">
        <f>IFERROR(__xludf.DUMMYFUNCTION("""COMPUTED_VALUE"""),44715.0)</f>
        <v>44715</v>
      </c>
      <c r="O64" s="15">
        <f>IFERROR(__xludf.DUMMYFUNCTION("""COMPUTED_VALUE"""),27615.0)</f>
        <v>27615</v>
      </c>
      <c r="P64" s="13" t="str">
        <f>IFERROR(__xludf.DUMMYFUNCTION("""COMPUTED_VALUE"""),"FA5662922")</f>
        <v>FA5662922</v>
      </c>
      <c r="Q64" s="13" t="str">
        <f>IFERROR(__xludf.DUMMYFUNCTION("""COMPUTED_VALUE"""),"Кучкарова Мавлуда Норбоевна")</f>
        <v>Кучкарова Мавлуда Норбоевна</v>
      </c>
      <c r="R64" s="13" t="str">
        <f>IFERROR(__xludf.DUMMYFUNCTION("""COMPUTED_VALUE"""),"79998729176")</f>
        <v>79998729176</v>
      </c>
      <c r="S64" s="13" t="str">
        <f>IFERROR(__xludf.DUMMYFUNCTION("""COMPUTED_VALUE"""),"Узбекистан")</f>
        <v>Узбекистан</v>
      </c>
      <c r="T64" s="16" t="str">
        <f>IFERROR(__xludf.DUMMYFUNCTION("""COMPUTED_VALUE"""),"https://disk.360.yandex.ru/d/POuTCOZskud2yQ")</f>
        <v>https://disk.360.yandex.ru/d/POuTCOZskud2yQ</v>
      </c>
      <c r="U64" s="13" t="str">
        <f>IFERROR(__xludf.DUMMYFUNCTION("""COMPUTED_VALUE"""),"Собран")</f>
        <v>Собран</v>
      </c>
      <c r="V64" s="15">
        <f>IFERROR(__xludf.DUMMYFUNCTION("""COMPUTED_VALUE"""),46066.0)</f>
        <v>46066</v>
      </c>
      <c r="W64" s="15">
        <f>IFERROR(__xludf.DUMMYFUNCTION("""COMPUTED_VALUE"""),45909.0)</f>
        <v>45909</v>
      </c>
      <c r="X64" s="15">
        <f>IFERROR(__xludf.DUMMYFUNCTION("""COMPUTED_VALUE"""),45994.0)</f>
        <v>45994</v>
      </c>
      <c r="Y64" s="16" t="str">
        <f>IFERROR(__xludf.DUMMYFUNCTION("""COMPUTED_VALUE"""),"https://disk.360.yandex.ru/d/Ae6vI_PtV5jKjA")</f>
        <v>https://disk.360.yandex.ru/d/Ae6vI_PtV5jKjA</v>
      </c>
      <c r="Z64" s="13"/>
      <c r="AA64" s="13"/>
    </row>
    <row r="65">
      <c r="A65" s="13" t="str">
        <f>IFERROR(__xludf.DUMMYFUNCTION("""COMPUTED_VALUE"""),"Оформлен")</f>
        <v>Оформлен</v>
      </c>
      <c r="B65" s="13" t="str">
        <f>IFERROR(__xludf.DUMMYFUNCTION("""COMPUTED_VALUE"""),"Чайхана")</f>
        <v>Чайхана</v>
      </c>
      <c r="C65" s="13" t="str">
        <f>IFERROR(__xludf.DUMMYFUNCTION("""COMPUTED_VALUE"""),"Москва")</f>
        <v>Москва</v>
      </c>
      <c r="D65" s="13" t="str">
        <f>IFERROR(__xludf.DUMMYFUNCTION("""COMPUTED_VALUE"""),"Повар")</f>
        <v>Повар</v>
      </c>
      <c r="E65" s="13" t="str">
        <f>IFERROR(__xludf.DUMMYFUNCTION("""COMPUTED_VALUE"""),"Ходынский б-р 20А")</f>
        <v>Ходынский б-р 20А</v>
      </c>
      <c r="F65" s="13"/>
      <c r="G65" s="15">
        <f>IFERROR(__xludf.DUMMYFUNCTION("""COMPUTED_VALUE"""),46049.0)</f>
        <v>46049</v>
      </c>
      <c r="H65" s="13"/>
      <c r="I65" s="13">
        <f>IFERROR(__xludf.DUMMYFUNCTION("""COMPUTED_VALUE"""),7.75175953769E11)</f>
        <v>775175953769</v>
      </c>
      <c r="J65" s="13">
        <f>IFERROR(__xludf.DUMMYFUNCTION("""COMPUTED_VALUE"""),77.0)</f>
        <v>77</v>
      </c>
      <c r="K65" s="13">
        <f>IFERROR(__xludf.DUMMYFUNCTION("""COMPUTED_VALUE"""),2.500282125E9)</f>
        <v>2500282125</v>
      </c>
      <c r="L65" s="14" t="str">
        <f>IFERROR(__xludf.DUMMYFUNCTION("""COMPUTED_VALUE"""),"ПР")</f>
        <v>ПР</v>
      </c>
      <c r="M65" s="13">
        <f>IFERROR(__xludf.DUMMYFUNCTION("""COMPUTED_VALUE"""),5890252.0)</f>
        <v>5890252</v>
      </c>
      <c r="N65" s="15">
        <f>IFERROR(__xludf.DUMMYFUNCTION("""COMPUTED_VALUE"""),44481.0)</f>
        <v>44481</v>
      </c>
      <c r="O65" s="15">
        <f>IFERROR(__xludf.DUMMYFUNCTION("""COMPUTED_VALUE"""),37059.0)</f>
        <v>37059</v>
      </c>
      <c r="P65" s="13" t="str">
        <f>IFERROR(__xludf.DUMMYFUNCTION("""COMPUTED_VALUE"""),"FA4105978")</f>
        <v>FA4105978</v>
      </c>
      <c r="Q65" s="13" t="str">
        <f>IFERROR(__xludf.DUMMYFUNCTION("""COMPUTED_VALUE"""),"Рахматуллаев Мухаммад")</f>
        <v>Рахматуллаев Мухаммад</v>
      </c>
      <c r="R65" s="13" t="str">
        <f>IFERROR(__xludf.DUMMYFUNCTION("""COMPUTED_VALUE"""),"79662669660")</f>
        <v>79662669660</v>
      </c>
      <c r="S65" s="13" t="str">
        <f>IFERROR(__xludf.DUMMYFUNCTION("""COMPUTED_VALUE"""),"Узбекистан")</f>
        <v>Узбекистан</v>
      </c>
      <c r="T65" s="16" t="str">
        <f>IFERROR(__xludf.DUMMYFUNCTION("""COMPUTED_VALUE"""),"https://disk.360.yandex.ru/d/1Fps5ZrWs1jNRA")</f>
        <v>https://disk.360.yandex.ru/d/1Fps5ZrWs1jNRA</v>
      </c>
      <c r="U65" s="13" t="str">
        <f>IFERROR(__xludf.DUMMYFUNCTION("""COMPUTED_VALUE"""),"Последний чек об оплате патента")</f>
        <v>Последний чек об оплате патента</v>
      </c>
      <c r="V65" s="15">
        <f>IFERROR(__xludf.DUMMYFUNCTION("""COMPUTED_VALUE"""),46010.0)</f>
        <v>46010</v>
      </c>
      <c r="W65" s="15">
        <f>IFERROR(__xludf.DUMMYFUNCTION("""COMPUTED_VALUE"""),45792.0)</f>
        <v>45792</v>
      </c>
      <c r="X65" s="15">
        <f>IFERROR(__xludf.DUMMYFUNCTION("""COMPUTED_VALUE"""),45994.0)</f>
        <v>45994</v>
      </c>
      <c r="Y65" s="16" t="str">
        <f>IFERROR(__xludf.DUMMYFUNCTION("""COMPUTED_VALUE"""),"https://disk.yandex.ru/d/TL6Cfo361YmLmw")</f>
        <v>https://disk.yandex.ru/d/TL6Cfo361YmLmw</v>
      </c>
      <c r="Z65" s="13"/>
      <c r="AA65" s="13"/>
    </row>
    <row r="66">
      <c r="A66" s="13" t="str">
        <f>IFERROR(__xludf.DUMMYFUNCTION("""COMPUTED_VALUE"""),"Оформлен")</f>
        <v>Оформлен</v>
      </c>
      <c r="B66" s="13" t="str">
        <f>IFERROR(__xludf.DUMMYFUNCTION("""COMPUTED_VALUE"""),"Чайхана")</f>
        <v>Чайхана</v>
      </c>
      <c r="C66" s="13" t="str">
        <f>IFERROR(__xludf.DUMMYFUNCTION("""COMPUTED_VALUE"""),"Москва")</f>
        <v>Москва</v>
      </c>
      <c r="D66" s="13" t="str">
        <f>IFERROR(__xludf.DUMMYFUNCTION("""COMPUTED_VALUE"""),"Повар")</f>
        <v>Повар</v>
      </c>
      <c r="E66" s="13" t="str">
        <f>IFERROR(__xludf.DUMMYFUNCTION("""COMPUTED_VALUE"""),"Часовая 11 стр 2")</f>
        <v>Часовая 11 стр 2</v>
      </c>
      <c r="F66" s="13" t="str">
        <f>IFERROR(__xludf.DUMMYFUNCTION("""COMPUTED_VALUE"""),"скан")</f>
        <v>скан</v>
      </c>
      <c r="G66" s="15">
        <f>IFERROR(__xludf.DUMMYFUNCTION("""COMPUTED_VALUE"""),46049.0)</f>
        <v>46049</v>
      </c>
      <c r="H66" s="13"/>
      <c r="I66" s="13">
        <f>IFERROR(__xludf.DUMMYFUNCTION("""COMPUTED_VALUE"""),7.75185498484E11)</f>
        <v>775185498484</v>
      </c>
      <c r="J66" s="13">
        <f>IFERROR(__xludf.DUMMYFUNCTION("""COMPUTED_VALUE"""),77.0)</f>
        <v>77</v>
      </c>
      <c r="K66" s="13">
        <f>IFERROR(__xludf.DUMMYFUNCTION("""COMPUTED_VALUE"""),2.500587641E9)</f>
        <v>2500587641</v>
      </c>
      <c r="L66" s="14" t="str">
        <f>IFERROR(__xludf.DUMMYFUNCTION("""COMPUTED_VALUE"""),"ПР")</f>
        <v>ПР</v>
      </c>
      <c r="M66" s="13">
        <f>IFERROR(__xludf.DUMMYFUNCTION("""COMPUTED_VALUE"""),6188720.0)</f>
        <v>6188720</v>
      </c>
      <c r="N66" s="15">
        <f>IFERROR(__xludf.DUMMYFUNCTION("""COMPUTED_VALUE"""),44188.0)</f>
        <v>44188</v>
      </c>
      <c r="O66" s="15">
        <f>IFERROR(__xludf.DUMMYFUNCTION("""COMPUTED_VALUE"""),35273.0)</f>
        <v>35273</v>
      </c>
      <c r="P66" s="13" t="str">
        <f>IFERROR(__xludf.DUMMYFUNCTION("""COMPUTED_VALUE"""),"FA1550453")</f>
        <v>FA1550453</v>
      </c>
      <c r="Q66" s="13" t="str">
        <f>IFERROR(__xludf.DUMMYFUNCTION("""COMPUTED_VALUE"""),"Рахмонов Сухроб Баронжон угли")</f>
        <v>Рахмонов Сухроб Баронжон угли</v>
      </c>
      <c r="R66" s="13" t="str">
        <f>IFERROR(__xludf.DUMMYFUNCTION("""COMPUTED_VALUE"""),"79336934364")</f>
        <v>79336934364</v>
      </c>
      <c r="S66" s="13" t="str">
        <f>IFERROR(__xludf.DUMMYFUNCTION("""COMPUTED_VALUE"""),"Узбекистан")</f>
        <v>Узбекистан</v>
      </c>
      <c r="T66" s="16" t="str">
        <f>IFERROR(__xludf.DUMMYFUNCTION("""COMPUTED_VALUE"""),"https://disk.360.yandex.ru/d/PPxKL1yzQK_oUw")</f>
        <v>https://disk.360.yandex.ru/d/PPxKL1yzQK_oUw</v>
      </c>
      <c r="U66" s="13" t="str">
        <f>IFERROR(__xludf.DUMMYFUNCTION("""COMPUTED_VALUE"""),"Собран")</f>
        <v>Собран</v>
      </c>
      <c r="V66" s="15"/>
      <c r="W66" s="15">
        <f>IFERROR(__xludf.DUMMYFUNCTION("""COMPUTED_VALUE"""),45968.0)</f>
        <v>45968</v>
      </c>
      <c r="X66" s="15">
        <f>IFERROR(__xludf.DUMMYFUNCTION("""COMPUTED_VALUE"""),45997.0)</f>
        <v>45997</v>
      </c>
      <c r="Y66" s="16" t="str">
        <f>IFERROR(__xludf.DUMMYFUNCTION("""COMPUTED_VALUE"""),"https://disk.360.yandex.ru/d/q9H4hFvZZ1AUxQ")</f>
        <v>https://disk.360.yandex.ru/d/q9H4hFvZZ1AUxQ</v>
      </c>
      <c r="Z66" s="13"/>
      <c r="AA66" s="13"/>
    </row>
    <row r="67">
      <c r="A67" s="13" t="str">
        <f>IFERROR(__xludf.DUMMYFUNCTION("""COMPUTED_VALUE"""),"Оформлен")</f>
        <v>Оформлен</v>
      </c>
      <c r="B67" s="13" t="str">
        <f>IFERROR(__xludf.DUMMYFUNCTION("""COMPUTED_VALUE"""),"Чайхана")</f>
        <v>Чайхана</v>
      </c>
      <c r="C67" s="13" t="str">
        <f>IFERROR(__xludf.DUMMYFUNCTION("""COMPUTED_VALUE"""),"Москва")</f>
        <v>Москва</v>
      </c>
      <c r="D67" s="13" t="str">
        <f>IFERROR(__xludf.DUMMYFUNCTION("""COMPUTED_VALUE"""),"Повар")</f>
        <v>Повар</v>
      </c>
      <c r="E67" s="13" t="str">
        <f>IFERROR(__xludf.DUMMYFUNCTION("""COMPUTED_VALUE"""),"Чайхана Красная Пресня 29")</f>
        <v>Чайхана Красная Пресня 29</v>
      </c>
      <c r="F67" s="13" t="str">
        <f>IFERROR(__xludf.DUMMYFUNCTION("""COMPUTED_VALUE"""),"скан")</f>
        <v>скан</v>
      </c>
      <c r="G67" s="15">
        <f>IFERROR(__xludf.DUMMYFUNCTION("""COMPUTED_VALUE"""),46049.0)</f>
        <v>46049</v>
      </c>
      <c r="H67" s="13"/>
      <c r="I67" s="13">
        <f>IFERROR(__xludf.DUMMYFUNCTION("""COMPUTED_VALUE"""),7.75175950165E11)</f>
        <v>775175950165</v>
      </c>
      <c r="J67" s="13">
        <f>IFERROR(__xludf.DUMMYFUNCTION("""COMPUTED_VALUE"""),77.0)</f>
        <v>77</v>
      </c>
      <c r="K67" s="13">
        <f>IFERROR(__xludf.DUMMYFUNCTION("""COMPUTED_VALUE"""),2.500282708E9)</f>
        <v>2500282708</v>
      </c>
      <c r="L67" s="14" t="str">
        <f>IFERROR(__xludf.DUMMYFUNCTION("""COMPUTED_VALUE"""),"ПР")</f>
        <v>ПР</v>
      </c>
      <c r="M67" s="13">
        <f>IFERROR(__xludf.DUMMYFUNCTION("""COMPUTED_VALUE"""),5884848.0)</f>
        <v>5884848</v>
      </c>
      <c r="N67" s="15">
        <f>IFERROR(__xludf.DUMMYFUNCTION("""COMPUTED_VALUE"""),44967.0)</f>
        <v>44967</v>
      </c>
      <c r="O67" s="15">
        <f>IFERROR(__xludf.DUMMYFUNCTION("""COMPUTED_VALUE"""),28563.0)</f>
        <v>28563</v>
      </c>
      <c r="P67" s="13" t="str">
        <f>IFERROR(__xludf.DUMMYFUNCTION("""COMPUTED_VALUE"""),"FA7213164")</f>
        <v>FA7213164</v>
      </c>
      <c r="Q67" s="13" t="str">
        <f>IFERROR(__xludf.DUMMYFUNCTION("""COMPUTED_VALUE"""),"Уринова Гулсара Тиллакабуловна")</f>
        <v>Уринова Гулсара Тиллакабуловна</v>
      </c>
      <c r="R67" s="13" t="str">
        <f>IFERROR(__xludf.DUMMYFUNCTION("""COMPUTED_VALUE"""),"79969800138")</f>
        <v>79969800138</v>
      </c>
      <c r="S67" s="13" t="str">
        <f>IFERROR(__xludf.DUMMYFUNCTION("""COMPUTED_VALUE"""),"Узбекистан")</f>
        <v>Узбекистан</v>
      </c>
      <c r="T67" s="16" t="str">
        <f>IFERROR(__xludf.DUMMYFUNCTION("""COMPUTED_VALUE"""),"https://disk.360.yandex.ru/d/PdvfGn8RkKvfSw")</f>
        <v>https://disk.360.yandex.ru/d/PdvfGn8RkKvfSw</v>
      </c>
      <c r="U67" s="13" t="str">
        <f>IFERROR(__xludf.DUMMYFUNCTION("""COMPUTED_VALUE"""),"Собран")</f>
        <v>Собран</v>
      </c>
      <c r="V67" s="15">
        <f>IFERROR(__xludf.DUMMYFUNCTION("""COMPUTED_VALUE"""),46065.0)</f>
        <v>46065</v>
      </c>
      <c r="W67" s="15">
        <f>IFERROR(__xludf.DUMMYFUNCTION("""COMPUTED_VALUE"""),45792.0)</f>
        <v>45792</v>
      </c>
      <c r="X67" s="15">
        <f>IFERROR(__xludf.DUMMYFUNCTION("""COMPUTED_VALUE"""),45997.0)</f>
        <v>45997</v>
      </c>
      <c r="Y67" s="16" t="str">
        <f>IFERROR(__xludf.DUMMYFUNCTION("""COMPUTED_VALUE"""),"https://disk.360.yandex.ru/d/hcBVoNKDrjJ54A")</f>
        <v>https://disk.360.yandex.ru/d/hcBVoNKDrjJ54A</v>
      </c>
      <c r="Z67" s="13"/>
      <c r="AA67" s="13"/>
    </row>
    <row r="68">
      <c r="A68" s="13" t="str">
        <f>IFERROR(__xludf.DUMMYFUNCTION("""COMPUTED_VALUE"""),"Оформлен")</f>
        <v>Оформлен</v>
      </c>
      <c r="B68" s="13" t="str">
        <f>IFERROR(__xludf.DUMMYFUNCTION("""COMPUTED_VALUE"""),"Чайхана")</f>
        <v>Чайхана</v>
      </c>
      <c r="C68" s="13" t="str">
        <f>IFERROR(__xludf.DUMMYFUNCTION("""COMPUTED_VALUE"""),"Москва")</f>
        <v>Москва</v>
      </c>
      <c r="D68" s="13" t="str">
        <f>IFERROR(__xludf.DUMMYFUNCTION("""COMPUTED_VALUE"""),"Тех.персонал")</f>
        <v>Тех.персонал</v>
      </c>
      <c r="E68" s="13" t="str">
        <f>IFERROR(__xludf.DUMMYFUNCTION("""COMPUTED_VALUE"""),"Часовая 11 стр 2")</f>
        <v>Часовая 11 стр 2</v>
      </c>
      <c r="F68" s="13" t="str">
        <f>IFERROR(__xludf.DUMMYFUNCTION("""COMPUTED_VALUE"""),"скан")</f>
        <v>скан</v>
      </c>
      <c r="G68" s="15">
        <f>IFERROR(__xludf.DUMMYFUNCTION("""COMPUTED_VALUE"""),46049.0)</f>
        <v>46049</v>
      </c>
      <c r="H68" s="13"/>
      <c r="I68" s="13">
        <f>IFERROR(__xludf.DUMMYFUNCTION("""COMPUTED_VALUE"""),7.71392768519E11)</f>
        <v>771392768519</v>
      </c>
      <c r="J68" s="13">
        <f>IFERROR(__xludf.DUMMYFUNCTION("""COMPUTED_VALUE"""),77.0)</f>
        <v>77</v>
      </c>
      <c r="K68" s="13">
        <f>IFERROR(__xludf.DUMMYFUNCTION("""COMPUTED_VALUE"""),2.50059587E9)</f>
        <v>2500595870</v>
      </c>
      <c r="L68" s="14" t="str">
        <f>IFERROR(__xludf.DUMMYFUNCTION("""COMPUTED_VALUE"""),"ПР")</f>
        <v>ПР</v>
      </c>
      <c r="M68" s="13">
        <f>IFERROR(__xludf.DUMMYFUNCTION("""COMPUTED_VALUE"""),6196581.0)</f>
        <v>6196581</v>
      </c>
      <c r="N68" s="15">
        <f>IFERROR(__xludf.DUMMYFUNCTION("""COMPUTED_VALUE"""),45936.0)</f>
        <v>45936</v>
      </c>
      <c r="O68" s="15">
        <f>IFERROR(__xludf.DUMMYFUNCTION("""COMPUTED_VALUE"""),31895.0)</f>
        <v>31895</v>
      </c>
      <c r="P68" s="13" t="str">
        <f>IFERROR(__xludf.DUMMYFUNCTION("""COMPUTED_VALUE"""),"FB1697091")</f>
        <v>FB1697091</v>
      </c>
      <c r="Q68" s="13" t="str">
        <f>IFERROR(__xludf.DUMMYFUNCTION("""COMPUTED_VALUE"""),"Джовлиева Чаман Темировна")</f>
        <v>Джовлиева Чаман Темировна</v>
      </c>
      <c r="R68" s="13" t="str">
        <f>IFERROR(__xludf.DUMMYFUNCTION("""COMPUTED_VALUE"""),"79099908237")</f>
        <v>79099908237</v>
      </c>
      <c r="S68" s="13" t="str">
        <f>IFERROR(__xludf.DUMMYFUNCTION("""COMPUTED_VALUE"""),"Узбекистан")</f>
        <v>Узбекистан</v>
      </c>
      <c r="T68" s="16" t="str">
        <f>IFERROR(__xludf.DUMMYFUNCTION("""COMPUTED_VALUE"""),"https://disk.360.yandex.ru/d/KNvhPWtqjS2DIg")</f>
        <v>https://disk.360.yandex.ru/d/KNvhPWtqjS2DIg</v>
      </c>
      <c r="U68" s="13" t="str">
        <f>IFERROR(__xludf.DUMMYFUNCTION("""COMPUTED_VALUE"""),"Последний чек об оплате патента")</f>
        <v>Последний чек об оплате патента</v>
      </c>
      <c r="V68" s="15">
        <f>IFERROR(__xludf.DUMMYFUNCTION("""COMPUTED_VALUE"""),46006.0)</f>
        <v>46006</v>
      </c>
      <c r="W68" s="15">
        <f>IFERROR(__xludf.DUMMYFUNCTION("""COMPUTED_VALUE"""),45975.0)</f>
        <v>45975</v>
      </c>
      <c r="X68" s="15">
        <f>IFERROR(__xludf.DUMMYFUNCTION("""COMPUTED_VALUE"""),46001.0)</f>
        <v>46001</v>
      </c>
      <c r="Y68" s="16" t="str">
        <f>IFERROR(__xludf.DUMMYFUNCTION("""COMPUTED_VALUE"""),"https://disk.yandex.ru/d/L5z-4Y2TuwzYgg")</f>
        <v>https://disk.yandex.ru/d/L5z-4Y2TuwzYgg</v>
      </c>
      <c r="Z68" s="13"/>
      <c r="AA68" s="13"/>
    </row>
    <row r="69">
      <c r="A69" s="13" t="str">
        <f>IFERROR(__xludf.DUMMYFUNCTION("""COMPUTED_VALUE"""),"Оформлен")</f>
        <v>Оформлен</v>
      </c>
      <c r="B69" s="13" t="str">
        <f>IFERROR(__xludf.DUMMYFUNCTION("""COMPUTED_VALUE"""),"Чайхана")</f>
        <v>Чайхана</v>
      </c>
      <c r="C69" s="13" t="str">
        <f>IFERROR(__xludf.DUMMYFUNCTION("""COMPUTED_VALUE"""),"Москва")</f>
        <v>Москва</v>
      </c>
      <c r="D69" s="13" t="str">
        <f>IFERROR(__xludf.DUMMYFUNCTION("""COMPUTED_VALUE"""),"Повар")</f>
        <v>Повар</v>
      </c>
      <c r="E69" s="13" t="str">
        <f>IFERROR(__xludf.DUMMYFUNCTION("""COMPUTED_VALUE"""),"Складочная 20А, стр. 16")</f>
        <v>Складочная 20А, стр. 16</v>
      </c>
      <c r="F69" s="13" t="str">
        <f>IFERROR(__xludf.DUMMYFUNCTION("""COMPUTED_VALUE"""),"скан")</f>
        <v>скан</v>
      </c>
      <c r="G69" s="15">
        <f>IFERROR(__xludf.DUMMYFUNCTION("""COMPUTED_VALUE"""),46049.0)</f>
        <v>46049</v>
      </c>
      <c r="H69" s="13"/>
      <c r="I69" s="13"/>
      <c r="J69" s="13">
        <f>IFERROR(__xludf.DUMMYFUNCTION("""COMPUTED_VALUE"""),77.0)</f>
        <v>77</v>
      </c>
      <c r="K69" s="13">
        <f>IFERROR(__xludf.DUMMYFUNCTION("""COMPUTED_VALUE"""),2.500032565E9)</f>
        <v>2500032565</v>
      </c>
      <c r="L69" s="14" t="str">
        <f>IFERROR(__xludf.DUMMYFUNCTION("""COMPUTED_VALUE"""),"ПР")</f>
        <v>ПР</v>
      </c>
      <c r="M69" s="13">
        <f>IFERROR(__xludf.DUMMYFUNCTION("""COMPUTED_VALUE"""),4580638.0)</f>
        <v>4580638</v>
      </c>
      <c r="N69" s="15">
        <f>IFERROR(__xludf.DUMMYFUNCTION("""COMPUTED_VALUE"""),44234.0)</f>
        <v>44234</v>
      </c>
      <c r="O69" s="15">
        <f>IFERROR(__xludf.DUMMYFUNCTION("""COMPUTED_VALUE"""),27781.0)</f>
        <v>27781</v>
      </c>
      <c r="P69" s="13" t="str">
        <f>IFERROR(__xludf.DUMMYFUNCTION("""COMPUTED_VALUE"""),"FK0088302")</f>
        <v>FK0088302</v>
      </c>
      <c r="Q69" s="13" t="str">
        <f>IFERROR(__xludf.DUMMYFUNCTION("""COMPUTED_VALUE"""),"Мамбетов Махмуджан Сатимбаевич")</f>
        <v>Мамбетов Махмуджан Сатимбаевич</v>
      </c>
      <c r="R69" s="13" t="str">
        <f>IFERROR(__xludf.DUMMYFUNCTION("""COMPUTED_VALUE"""),"79771941007")</f>
        <v>79771941007</v>
      </c>
      <c r="S69" s="13" t="str">
        <f>IFERROR(__xludf.DUMMYFUNCTION("""COMPUTED_VALUE"""),"Узбекистан")</f>
        <v>Узбекистан</v>
      </c>
      <c r="T69" s="16" t="str">
        <f>IFERROR(__xludf.DUMMYFUNCTION("""COMPUTED_VALUE"""),"https://disk.360.yandex.ru/d/1Xpu0Au00iiosw")</f>
        <v>https://disk.360.yandex.ru/d/1Xpu0Au00iiosw</v>
      </c>
      <c r="U69" s="13" t="str">
        <f>IFERROR(__xludf.DUMMYFUNCTION("""COMPUTED_VALUE"""),"Собран")</f>
        <v>Собран</v>
      </c>
      <c r="V69" s="15"/>
      <c r="W69" s="15">
        <f>IFERROR(__xludf.DUMMYFUNCTION("""COMPUTED_VALUE"""),45686.0)</f>
        <v>45686</v>
      </c>
      <c r="X69" s="15">
        <f>IFERROR(__xludf.DUMMYFUNCTION("""COMPUTED_VALUE"""),46002.0)</f>
        <v>46002</v>
      </c>
      <c r="Y69" s="16" t="str">
        <f>IFERROR(__xludf.DUMMYFUNCTION("""COMPUTED_VALUE"""),"https://disk.yandex.ru/d/z1YWgBk_QRyE-A")</f>
        <v>https://disk.yandex.ru/d/z1YWgBk_QRyE-A</v>
      </c>
      <c r="Z69" s="13"/>
      <c r="AA69" s="13"/>
    </row>
    <row r="70">
      <c r="A70" s="13" t="str">
        <f>IFERROR(__xludf.DUMMYFUNCTION("""COMPUTED_VALUE"""),"Оформлен")</f>
        <v>Оформлен</v>
      </c>
      <c r="B70" s="13" t="str">
        <f>IFERROR(__xludf.DUMMYFUNCTION("""COMPUTED_VALUE"""),"Чайхана")</f>
        <v>Чайхана</v>
      </c>
      <c r="C70" s="13" t="str">
        <f>IFERROR(__xludf.DUMMYFUNCTION("""COMPUTED_VALUE"""),"Москва")</f>
        <v>Москва</v>
      </c>
      <c r="D70" s="13" t="str">
        <f>IFERROR(__xludf.DUMMYFUNCTION("""COMPUTED_VALUE"""),"Повар")</f>
        <v>Повар</v>
      </c>
      <c r="E70" s="13" t="str">
        <f>IFERROR(__xludf.DUMMYFUNCTION("""COMPUTED_VALUE"""),"Проспект мира 95 стр 1")</f>
        <v>Проспект мира 95 стр 1</v>
      </c>
      <c r="F70" s="13" t="str">
        <f>IFERROR(__xludf.DUMMYFUNCTION("""COMPUTED_VALUE"""),"запросили")</f>
        <v>запросили</v>
      </c>
      <c r="G70" s="15">
        <f>IFERROR(__xludf.DUMMYFUNCTION("""COMPUTED_VALUE"""),46049.0)</f>
        <v>46049</v>
      </c>
      <c r="H70" s="13"/>
      <c r="I70" s="13">
        <f>IFERROR(__xludf.DUMMYFUNCTION("""COMPUTED_VALUE"""),7.72674121545E11)</f>
        <v>772674121545</v>
      </c>
      <c r="J70" s="13">
        <f>IFERROR(__xludf.DUMMYFUNCTION("""COMPUTED_VALUE"""),77.0)</f>
        <v>77</v>
      </c>
      <c r="K70" s="13">
        <f>IFERROR(__xludf.DUMMYFUNCTION("""COMPUTED_VALUE"""),2.500412207E9)</f>
        <v>2500412207</v>
      </c>
      <c r="L70" s="14" t="str">
        <f>IFERROR(__xludf.DUMMYFUNCTION("""COMPUTED_VALUE"""),"ПР")</f>
        <v>ПР</v>
      </c>
      <c r="M70" s="13">
        <f>IFERROR(__xludf.DUMMYFUNCTION("""COMPUTED_VALUE"""),6014749.0)</f>
        <v>6014749</v>
      </c>
      <c r="N70" s="15">
        <f>IFERROR(__xludf.DUMMYFUNCTION("""COMPUTED_VALUE"""),43669.0)</f>
        <v>43669</v>
      </c>
      <c r="O70" s="15">
        <f>IFERROR(__xludf.DUMMYFUNCTION("""COMPUTED_VALUE"""),37313.0)</f>
        <v>37313</v>
      </c>
      <c r="P70" s="13" t="str">
        <f>IFERROR(__xludf.DUMMYFUNCTION("""COMPUTED_VALUE"""),"402759890")</f>
        <v>402759890</v>
      </c>
      <c r="Q70" s="13" t="str">
        <f>IFERROR(__xludf.DUMMYFUNCTION("""COMPUTED_VALUE"""),"Муминзода Абдувохид Мумин")</f>
        <v>Муминзода Абдувохид Мумин</v>
      </c>
      <c r="R70" s="13" t="str">
        <f>IFERROR(__xludf.DUMMYFUNCTION("""COMPUTED_VALUE"""),"79001475541")</f>
        <v>79001475541</v>
      </c>
      <c r="S70" s="13" t="str">
        <f>IFERROR(__xludf.DUMMYFUNCTION("""COMPUTED_VALUE"""),"Таджикистан")</f>
        <v>Таджикистан</v>
      </c>
      <c r="T70" s="16" t="str">
        <f>IFERROR(__xludf.DUMMYFUNCTION("""COMPUTED_VALUE"""),"https://disk.360.yandex.ru/d/JXIbcElazDWe-A")</f>
        <v>https://disk.360.yandex.ru/d/JXIbcElazDWe-A</v>
      </c>
      <c r="U70" s="13" t="str">
        <f>IFERROR(__xludf.DUMMYFUNCTION("""COMPUTED_VALUE"""),"Собран")</f>
        <v>Собран</v>
      </c>
      <c r="V70" s="15"/>
      <c r="W70" s="15">
        <f>IFERROR(__xludf.DUMMYFUNCTION("""COMPUTED_VALUE"""),45856.0)</f>
        <v>45856</v>
      </c>
      <c r="X70" s="15">
        <f>IFERROR(__xludf.DUMMYFUNCTION("""COMPUTED_VALUE"""),46008.0)</f>
        <v>46008</v>
      </c>
      <c r="Y70" s="16" t="str">
        <f>IFERROR(__xludf.DUMMYFUNCTION("""COMPUTED_VALUE"""),"https://disk.360.yandex.ru/d/hR_YiDIqO3uZDw")</f>
        <v>https://disk.360.yandex.ru/d/hR_YiDIqO3uZDw</v>
      </c>
      <c r="Z70" s="13"/>
      <c r="AA70" s="13"/>
    </row>
    <row r="71">
      <c r="A71" s="13" t="str">
        <f>IFERROR(__xludf.DUMMYFUNCTION("""COMPUTED_VALUE"""),"Оформлен")</f>
        <v>Оформлен</v>
      </c>
      <c r="B71" s="13" t="str">
        <f>IFERROR(__xludf.DUMMYFUNCTION("""COMPUTED_VALUE"""),"Чайхана")</f>
        <v>Чайхана</v>
      </c>
      <c r="C71" s="13" t="str">
        <f>IFERROR(__xludf.DUMMYFUNCTION("""COMPUTED_VALUE"""),"Москва")</f>
        <v>Москва</v>
      </c>
      <c r="D71" s="13" t="str">
        <f>IFERROR(__xludf.DUMMYFUNCTION("""COMPUTED_VALUE"""),"Повар")</f>
        <v>Повар</v>
      </c>
      <c r="E71" s="13" t="str">
        <f>IFERROR(__xludf.DUMMYFUNCTION("""COMPUTED_VALUE"""),"Часовая 11 стр 2")</f>
        <v>Часовая 11 стр 2</v>
      </c>
      <c r="F71" s="13" t="str">
        <f>IFERROR(__xludf.DUMMYFUNCTION("""COMPUTED_VALUE"""),"запросили")</f>
        <v>запросили</v>
      </c>
      <c r="G71" s="15">
        <f>IFERROR(__xludf.DUMMYFUNCTION("""COMPUTED_VALUE"""),46049.0)</f>
        <v>46049</v>
      </c>
      <c r="H71" s="13"/>
      <c r="I71" s="13">
        <f>IFERROR(__xludf.DUMMYFUNCTION("""COMPUTED_VALUE"""),7.75171178607E11)</f>
        <v>775171178607</v>
      </c>
      <c r="J71" s="13">
        <f>IFERROR(__xludf.DUMMYFUNCTION("""COMPUTED_VALUE"""),77.0)</f>
        <v>77</v>
      </c>
      <c r="K71" s="13">
        <f>IFERROR(__xludf.DUMMYFUNCTION("""COMPUTED_VALUE"""),2.500143203E9)</f>
        <v>2500143203</v>
      </c>
      <c r="L71" s="14" t="str">
        <f>IFERROR(__xludf.DUMMYFUNCTION("""COMPUTED_VALUE"""),"ПР")</f>
        <v>ПР</v>
      </c>
      <c r="M71" s="13">
        <f>IFERROR(__xludf.DUMMYFUNCTION("""COMPUTED_VALUE"""),5751882.0)</f>
        <v>5751882</v>
      </c>
      <c r="N71" s="15">
        <f>IFERROR(__xludf.DUMMYFUNCTION("""COMPUTED_VALUE"""),44298.0)</f>
        <v>44298</v>
      </c>
      <c r="O71" s="15">
        <f>IFERROR(__xludf.DUMMYFUNCTION("""COMPUTED_VALUE"""),37470.0)</f>
        <v>37470</v>
      </c>
      <c r="P71" s="13" t="str">
        <f>IFERROR(__xludf.DUMMYFUNCTION("""COMPUTED_VALUE"""),"FA2536308")</f>
        <v>FA2536308</v>
      </c>
      <c r="Q71" s="13" t="str">
        <f>IFERROR(__xludf.DUMMYFUNCTION("""COMPUTED_VALUE"""),"Тешабоев Расулжон Мухаммаджон-Угли")</f>
        <v>Тешабоев Расулжон Мухаммаджон-Угли</v>
      </c>
      <c r="R71" s="13" t="str">
        <f>IFERROR(__xludf.DUMMYFUNCTION("""COMPUTED_VALUE"""),"79777013390")</f>
        <v>79777013390</v>
      </c>
      <c r="S71" s="13" t="str">
        <f>IFERROR(__xludf.DUMMYFUNCTION("""COMPUTED_VALUE"""),"Узбекистан")</f>
        <v>Узбекистан</v>
      </c>
      <c r="T71" s="16" t="str">
        <f>IFERROR(__xludf.DUMMYFUNCTION("""COMPUTED_VALUE"""),"https://disk.360.yandex.ru/d/Z4cV4dHeJ646ng")</f>
        <v>https://disk.360.yandex.ru/d/Z4cV4dHeJ646ng</v>
      </c>
      <c r="U71" s="13" t="str">
        <f>IFERROR(__xludf.DUMMYFUNCTION("""COMPUTED_VALUE"""),"Последний чек об оплате патента")</f>
        <v>Последний чек об оплате патента</v>
      </c>
      <c r="V71" s="15">
        <f>IFERROR(__xludf.DUMMYFUNCTION("""COMPUTED_VALUE"""),45941.0)</f>
        <v>45941</v>
      </c>
      <c r="W71" s="15">
        <f>IFERROR(__xludf.DUMMYFUNCTION("""COMPUTED_VALUE"""),45729.0)</f>
        <v>45729</v>
      </c>
      <c r="X71" s="15">
        <f>IFERROR(__xludf.DUMMYFUNCTION("""COMPUTED_VALUE"""),46008.0)</f>
        <v>46008</v>
      </c>
      <c r="Y71" s="16" t="str">
        <f>IFERROR(__xludf.DUMMYFUNCTION("""COMPUTED_VALUE"""),"https://disk.360.yandex.ru/d/kymuPjYekK9gNg")</f>
        <v>https://disk.360.yandex.ru/d/kymuPjYekK9gNg</v>
      </c>
      <c r="Z71" s="13"/>
      <c r="AA71" s="13"/>
    </row>
    <row r="72">
      <c r="A72" s="13" t="str">
        <f>IFERROR(__xludf.DUMMYFUNCTION("""COMPUTED_VALUE"""),"Оформлен")</f>
        <v>Оформлен</v>
      </c>
      <c r="B72" s="13" t="str">
        <f>IFERROR(__xludf.DUMMYFUNCTION("""COMPUTED_VALUE"""),"Чайхана")</f>
        <v>Чайхана</v>
      </c>
      <c r="C72" s="13" t="str">
        <f>IFERROR(__xludf.DUMMYFUNCTION("""COMPUTED_VALUE"""),"Москва")</f>
        <v>Москва</v>
      </c>
      <c r="D72" s="13" t="str">
        <f>IFERROR(__xludf.DUMMYFUNCTION("""COMPUTED_VALUE"""),"Повар")</f>
        <v>Повар</v>
      </c>
      <c r="E72" s="13" t="str">
        <f>IFERROR(__xludf.DUMMYFUNCTION("""COMPUTED_VALUE"""),"Проспект мира 95 стр 1")</f>
        <v>Проспект мира 95 стр 1</v>
      </c>
      <c r="F72" s="13" t="str">
        <f>IFERROR(__xludf.DUMMYFUNCTION("""COMPUTED_VALUE"""),"запросили")</f>
        <v>запросили</v>
      </c>
      <c r="G72" s="15">
        <f>IFERROR(__xludf.DUMMYFUNCTION("""COMPUTED_VALUE"""),46049.0)</f>
        <v>46049</v>
      </c>
      <c r="H72" s="13"/>
      <c r="I72" s="13">
        <f>IFERROR(__xludf.DUMMYFUNCTION("""COMPUTED_VALUE"""),9.72713172982E11)</f>
        <v>972713172982</v>
      </c>
      <c r="J72" s="13"/>
      <c r="K72" s="13"/>
      <c r="L72" s="14"/>
      <c r="M72" s="13"/>
      <c r="N72" s="15">
        <f>IFERROR(__xludf.DUMMYFUNCTION("""COMPUTED_VALUE"""),45282.0)</f>
        <v>45282</v>
      </c>
      <c r="O72" s="15">
        <f>IFERROR(__xludf.DUMMYFUNCTION("""COMPUTED_VALUE"""),37748.0)</f>
        <v>37748</v>
      </c>
      <c r="P72" s="13" t="str">
        <f>IFERROR(__xludf.DUMMYFUNCTION("""COMPUTED_VALUE"""),"403723240")</f>
        <v>403723240</v>
      </c>
      <c r="Q72" s="13" t="str">
        <f>IFERROR(__xludf.DUMMYFUNCTION("""COMPUTED_VALUE"""),"Солихов Мирзоёкуб Маъруфович")</f>
        <v>Солихов Мирзоёкуб Маъруфович</v>
      </c>
      <c r="R72" s="13" t="str">
        <f>IFERROR(__xludf.DUMMYFUNCTION("""COMPUTED_VALUE"""),"79773322079")</f>
        <v>79773322079</v>
      </c>
      <c r="S72" s="13" t="str">
        <f>IFERROR(__xludf.DUMMYFUNCTION("""COMPUTED_VALUE"""),"Таджикистан")</f>
        <v>Таджикистан</v>
      </c>
      <c r="T72" s="16" t="str">
        <f>IFERROR(__xludf.DUMMYFUNCTION("""COMPUTED_VALUE"""),"https://disk.360.yandex.ru/d/uJMJo7-TaVj0aw")</f>
        <v>https://disk.360.yandex.ru/d/uJMJo7-TaVj0aw</v>
      </c>
      <c r="U72" s="13" t="str">
        <f>IFERROR(__xludf.DUMMYFUNCTION("""COMPUTED_VALUE"""),"Собран")</f>
        <v>Собран</v>
      </c>
      <c r="V72" s="15">
        <f>IFERROR(__xludf.DUMMYFUNCTION("""COMPUTED_VALUE"""),46181.0)</f>
        <v>46181</v>
      </c>
      <c r="W72" s="15"/>
      <c r="X72" s="15">
        <f>IFERROR(__xludf.DUMMYFUNCTION("""COMPUTED_VALUE"""),46009.0)</f>
        <v>46009</v>
      </c>
      <c r="Y72" s="16" t="str">
        <f>IFERROR(__xludf.DUMMYFUNCTION("""COMPUTED_VALUE"""),"https://disk.360.yandex.ru/d/VxsjIHfVR1w3Pg")</f>
        <v>https://disk.360.yandex.ru/d/VxsjIHfVR1w3Pg</v>
      </c>
      <c r="Z72" s="13"/>
      <c r="AA72" s="13"/>
    </row>
    <row r="73">
      <c r="A73" s="13" t="str">
        <f>IFERROR(__xludf.DUMMYFUNCTION("""COMPUTED_VALUE"""),"Оформлен")</f>
        <v>Оформлен</v>
      </c>
      <c r="B73" s="13" t="str">
        <f>IFERROR(__xludf.DUMMYFUNCTION("""COMPUTED_VALUE"""),"Чайхана")</f>
        <v>Чайхана</v>
      </c>
      <c r="C73" s="13" t="str">
        <f>IFERROR(__xludf.DUMMYFUNCTION("""COMPUTED_VALUE"""),"Москва")</f>
        <v>Москва</v>
      </c>
      <c r="D73" s="13" t="str">
        <f>IFERROR(__xludf.DUMMYFUNCTION("""COMPUTED_VALUE"""),"Повар")</f>
        <v>Повар</v>
      </c>
      <c r="E73" s="13" t="str">
        <f>IFERROR(__xludf.DUMMYFUNCTION("""COMPUTED_VALUE"""),"Проспект мира 95 стр 1")</f>
        <v>Проспект мира 95 стр 1</v>
      </c>
      <c r="F73" s="13" t="str">
        <f>IFERROR(__xludf.DUMMYFUNCTION("""COMPUTED_VALUE"""),"запросили")</f>
        <v>запросили</v>
      </c>
      <c r="G73" s="15">
        <f>IFERROR(__xludf.DUMMYFUNCTION("""COMPUTED_VALUE"""),46049.0)</f>
        <v>46049</v>
      </c>
      <c r="H73" s="13"/>
      <c r="I73" s="13">
        <f>IFERROR(__xludf.DUMMYFUNCTION("""COMPUTED_VALUE"""),7.71479794633E11)</f>
        <v>771479794633</v>
      </c>
      <c r="J73" s="13">
        <f>IFERROR(__xludf.DUMMYFUNCTION("""COMPUTED_VALUE"""),77.0)</f>
        <v>77</v>
      </c>
      <c r="K73" s="13">
        <f>IFERROR(__xludf.DUMMYFUNCTION("""COMPUTED_VALUE"""),2.500135384E9)</f>
        <v>2500135384</v>
      </c>
      <c r="L73" s="14" t="str">
        <f>IFERROR(__xludf.DUMMYFUNCTION("""COMPUTED_VALUE"""),"ПР")</f>
        <v>ПР</v>
      </c>
      <c r="M73" s="13">
        <f>IFERROR(__xludf.DUMMYFUNCTION("""COMPUTED_VALUE"""),5639779.0)</f>
        <v>5639779</v>
      </c>
      <c r="N73" s="15">
        <f>IFERROR(__xludf.DUMMYFUNCTION("""COMPUTED_VALUE"""),45629.0)</f>
        <v>45629</v>
      </c>
      <c r="O73" s="15">
        <f>IFERROR(__xludf.DUMMYFUNCTION("""COMPUTED_VALUE"""),29457.0)</f>
        <v>29457</v>
      </c>
      <c r="P73" s="13" t="str">
        <f>IFERROR(__xludf.DUMMYFUNCTION("""COMPUTED_VALUE"""),"405759004")</f>
        <v>405759004</v>
      </c>
      <c r="Q73" s="13" t="str">
        <f>IFERROR(__xludf.DUMMYFUNCTION("""COMPUTED_VALUE"""),"Мухамадиев Нуъмон Ахмадович")</f>
        <v>Мухамадиев Нуъмон Ахмадович</v>
      </c>
      <c r="R73" s="13" t="str">
        <f>IFERROR(__xludf.DUMMYFUNCTION("""COMPUTED_VALUE"""),"79775957136")</f>
        <v>79775957136</v>
      </c>
      <c r="S73" s="13" t="str">
        <f>IFERROR(__xludf.DUMMYFUNCTION("""COMPUTED_VALUE"""),"Таджикистан")</f>
        <v>Таджикистан</v>
      </c>
      <c r="T73" s="16" t="str">
        <f>IFERROR(__xludf.DUMMYFUNCTION("""COMPUTED_VALUE"""),"https://disk.360.yandex.ru/d/CnzYtF3YWsFTQg")</f>
        <v>https://disk.360.yandex.ru/d/CnzYtF3YWsFTQg</v>
      </c>
      <c r="U73" s="13" t="str">
        <f>IFERROR(__xludf.DUMMYFUNCTION("""COMPUTED_VALUE"""),"Последний чек об оплате патента")</f>
        <v>Последний чек об оплате патента</v>
      </c>
      <c r="V73" s="15">
        <f>IFERROR(__xludf.DUMMYFUNCTION("""COMPUTED_VALUE"""),46034.0)</f>
        <v>46034</v>
      </c>
      <c r="W73" s="15">
        <f>IFERROR(__xludf.DUMMYFUNCTION("""COMPUTED_VALUE"""),45728.0)</f>
        <v>45728</v>
      </c>
      <c r="X73" s="15">
        <f>IFERROR(__xludf.DUMMYFUNCTION("""COMPUTED_VALUE"""),46015.0)</f>
        <v>46015</v>
      </c>
      <c r="Y73" s="16" t="str">
        <f>IFERROR(__xludf.DUMMYFUNCTION("""COMPUTED_VALUE"""),"https://disk.yandex.ru/d/RBupZvTIjOCE-A")</f>
        <v>https://disk.yandex.ru/d/RBupZvTIjOCE-A</v>
      </c>
      <c r="Z73" s="13"/>
      <c r="AA73" s="13"/>
    </row>
    <row r="74">
      <c r="A74" s="13" t="str">
        <f>IFERROR(__xludf.DUMMYFUNCTION("""COMPUTED_VALUE"""),"Оформлен")</f>
        <v>Оформлен</v>
      </c>
      <c r="B74" s="13" t="str">
        <f>IFERROR(__xludf.DUMMYFUNCTION("""COMPUTED_VALUE"""),"Чайхана")</f>
        <v>Чайхана</v>
      </c>
      <c r="C74" s="13" t="str">
        <f>IFERROR(__xludf.DUMMYFUNCTION("""COMPUTED_VALUE"""),"Москва")</f>
        <v>Москва</v>
      </c>
      <c r="D74" s="13" t="str">
        <f>IFERROR(__xludf.DUMMYFUNCTION("""COMPUTED_VALUE"""),"Кассир")</f>
        <v>Кассир</v>
      </c>
      <c r="E74" s="13" t="str">
        <f>IFERROR(__xludf.DUMMYFUNCTION("""COMPUTED_VALUE"""),"Ходынский б-р 20А")</f>
        <v>Ходынский б-р 20А</v>
      </c>
      <c r="F74" s="13" t="str">
        <f>IFERROR(__xludf.DUMMYFUNCTION("""COMPUTED_VALUE"""),"запросили")</f>
        <v>запросили</v>
      </c>
      <c r="G74" s="15">
        <f>IFERROR(__xludf.DUMMYFUNCTION("""COMPUTED_VALUE"""),46049.0)</f>
        <v>46049</v>
      </c>
      <c r="H74" s="13"/>
      <c r="I74" s="13">
        <f>IFERROR(__xludf.DUMMYFUNCTION("""COMPUTED_VALUE"""),7.72281929709E11)</f>
        <v>772281929709</v>
      </c>
      <c r="J74" s="13">
        <f>IFERROR(__xludf.DUMMYFUNCTION("""COMPUTED_VALUE"""),77.0)</f>
        <v>77</v>
      </c>
      <c r="K74" s="13">
        <f>IFERROR(__xludf.DUMMYFUNCTION("""COMPUTED_VALUE"""),2.500526373E9)</f>
        <v>2500526373</v>
      </c>
      <c r="L74" s="14" t="str">
        <f>IFERROR(__xludf.DUMMYFUNCTION("""COMPUTED_VALUE"""),"ПР")</f>
        <v>ПР</v>
      </c>
      <c r="M74" s="13">
        <f>IFERROR(__xludf.DUMMYFUNCTION("""COMPUTED_VALUE"""),6128704.0)</f>
        <v>6128704</v>
      </c>
      <c r="N74" s="15">
        <f>IFERROR(__xludf.DUMMYFUNCTION("""COMPUTED_VALUE"""),44550.0)</f>
        <v>44550</v>
      </c>
      <c r="O74" s="15">
        <f>IFERROR(__xludf.DUMMYFUNCTION("""COMPUTED_VALUE"""),38160.0)</f>
        <v>38160</v>
      </c>
      <c r="P74" s="13" t="str">
        <f>IFERROR(__xludf.DUMMYFUNCTION("""COMPUTED_VALUE"""),"403715903")</f>
        <v>403715903</v>
      </c>
      <c r="Q74" s="13" t="str">
        <f>IFERROR(__xludf.DUMMYFUNCTION("""COMPUTED_VALUE"""),"Рахимов Некбахт Хусинович")</f>
        <v>Рахимов Некбахт Хусинович</v>
      </c>
      <c r="R74" s="13" t="str">
        <f>IFERROR(__xludf.DUMMYFUNCTION("""COMPUTED_VALUE"""),"79890499153")</f>
        <v>79890499153</v>
      </c>
      <c r="S74" s="13" t="str">
        <f>IFERROR(__xludf.DUMMYFUNCTION("""COMPUTED_VALUE"""),"Таджикистан")</f>
        <v>Таджикистан</v>
      </c>
      <c r="T74" s="16" t="str">
        <f>IFERROR(__xludf.DUMMYFUNCTION("""COMPUTED_VALUE"""),"https://disk.360.yandex.ru/d/P8__6N51EePbTw")</f>
        <v>https://disk.360.yandex.ru/d/P8__6N51EePbTw</v>
      </c>
      <c r="U74" s="13" t="str">
        <f>IFERROR(__xludf.DUMMYFUNCTION("""COMPUTED_VALUE"""),"Последний чек об оплате патента")</f>
        <v>Последний чек об оплате патента</v>
      </c>
      <c r="V74" s="15"/>
      <c r="W74" s="15">
        <f>IFERROR(__xludf.DUMMYFUNCTION("""COMPUTED_VALUE"""),45926.0)</f>
        <v>45926</v>
      </c>
      <c r="X74" s="15">
        <f>IFERROR(__xludf.DUMMYFUNCTION("""COMPUTED_VALUE"""),46020.0)</f>
        <v>46020</v>
      </c>
      <c r="Y74" s="16" t="str">
        <f>IFERROR(__xludf.DUMMYFUNCTION("""COMPUTED_VALUE"""),"https://disk.yandex.ru/d/plbiZJxRBv7FHA")</f>
        <v>https://disk.yandex.ru/d/plbiZJxRBv7FHA</v>
      </c>
      <c r="Z74" s="13"/>
      <c r="AA74" s="13"/>
    </row>
    <row r="75">
      <c r="A75" s="13" t="str">
        <f>IFERROR(__xludf.DUMMYFUNCTION("""COMPUTED_VALUE"""),"Оформлен")</f>
        <v>Оформлен</v>
      </c>
      <c r="B75" s="13" t="str">
        <f>IFERROR(__xludf.DUMMYFUNCTION("""COMPUTED_VALUE"""),"Чайхана")</f>
        <v>Чайхана</v>
      </c>
      <c r="C75" s="13" t="str">
        <f>IFERROR(__xludf.DUMMYFUNCTION("""COMPUTED_VALUE"""),"Москва")</f>
        <v>Москва</v>
      </c>
      <c r="D75" s="13" t="str">
        <f>IFERROR(__xludf.DUMMYFUNCTION("""COMPUTED_VALUE"""),"Повар")</f>
        <v>Повар</v>
      </c>
      <c r="E75" s="13" t="str">
        <f>IFERROR(__xludf.DUMMYFUNCTION("""COMPUTED_VALUE"""),"Бутырская 89 стр 2")</f>
        <v>Бутырская 89 стр 2</v>
      </c>
      <c r="F75" s="13" t="str">
        <f>IFERROR(__xludf.DUMMYFUNCTION("""COMPUTED_VALUE"""),"запросили")</f>
        <v>запросили</v>
      </c>
      <c r="G75" s="15">
        <f>IFERROR(__xludf.DUMMYFUNCTION("""COMPUTED_VALUE"""),46049.0)</f>
        <v>46049</v>
      </c>
      <c r="H75" s="13"/>
      <c r="I75" s="13">
        <f>IFERROR(__xludf.DUMMYFUNCTION("""COMPUTED_VALUE"""),5.0423296544E11)</f>
        <v>504232965440</v>
      </c>
      <c r="J75" s="13">
        <f>IFERROR(__xludf.DUMMYFUNCTION("""COMPUTED_VALUE"""),77.0)</f>
        <v>77</v>
      </c>
      <c r="K75" s="13">
        <f>IFERROR(__xludf.DUMMYFUNCTION("""COMPUTED_VALUE"""),2.500536814E9)</f>
        <v>2500536814</v>
      </c>
      <c r="L75" s="14" t="str">
        <f>IFERROR(__xludf.DUMMYFUNCTION("""COMPUTED_VALUE"""),"ПР")</f>
        <v>ПР</v>
      </c>
      <c r="M75" s="13">
        <f>IFERROR(__xludf.DUMMYFUNCTION("""COMPUTED_VALUE"""),6140303.0)</f>
        <v>6140303</v>
      </c>
      <c r="N75" s="15">
        <f>IFERROR(__xludf.DUMMYFUNCTION("""COMPUTED_VALUE"""),44396.0)</f>
        <v>44396</v>
      </c>
      <c r="O75" s="15">
        <f>IFERROR(__xludf.DUMMYFUNCTION("""COMPUTED_VALUE"""),32917.0)</f>
        <v>32917</v>
      </c>
      <c r="P75" s="13" t="str">
        <f>IFERROR(__xludf.DUMMYFUNCTION("""COMPUTED_VALUE"""),"FA3400884")</f>
        <v>FA3400884</v>
      </c>
      <c r="Q75" s="13" t="str">
        <f>IFERROR(__xludf.DUMMYFUNCTION("""COMPUTED_VALUE"""),"Акбарова Зилола Фозилжоновна")</f>
        <v>Акбарова Зилола Фозилжоновна</v>
      </c>
      <c r="R75" s="13" t="str">
        <f>IFERROR(__xludf.DUMMYFUNCTION("""COMPUTED_VALUE"""),"79912261183")</f>
        <v>79912261183</v>
      </c>
      <c r="S75" s="13" t="str">
        <f>IFERROR(__xludf.DUMMYFUNCTION("""COMPUTED_VALUE"""),"Узбекистан")</f>
        <v>Узбекистан</v>
      </c>
      <c r="T75" s="16" t="str">
        <f>IFERROR(__xludf.DUMMYFUNCTION("""COMPUTED_VALUE"""),"https://disk.360.yandex.ru/d/uYykJNC_ipQ4dA")</f>
        <v>https://disk.360.yandex.ru/d/uYykJNC_ipQ4dA</v>
      </c>
      <c r="U75" s="13" t="str">
        <f>IFERROR(__xludf.DUMMYFUNCTION("""COMPUTED_VALUE"""),"Собран")</f>
        <v>Собран</v>
      </c>
      <c r="V75" s="15">
        <f>IFERROR(__xludf.DUMMYFUNCTION("""COMPUTED_VALUE"""),46081.0)</f>
        <v>46081</v>
      </c>
      <c r="W75" s="15">
        <f>IFERROR(__xludf.DUMMYFUNCTION("""COMPUTED_VALUE"""),45932.0)</f>
        <v>45932</v>
      </c>
      <c r="X75" s="15">
        <f>IFERROR(__xludf.DUMMYFUNCTION("""COMPUTED_VALUE"""),46021.0)</f>
        <v>46021</v>
      </c>
      <c r="Y75" s="16" t="str">
        <f>IFERROR(__xludf.DUMMYFUNCTION("""COMPUTED_VALUE"""),"https://disk.yandex.ru/d/piJJdSlUKbgSLA")</f>
        <v>https://disk.yandex.ru/d/piJJdSlUKbgSLA</v>
      </c>
      <c r="Z75" s="13"/>
      <c r="AA75" s="13"/>
    </row>
    <row r="76">
      <c r="A76" s="13" t="str">
        <f>IFERROR(__xludf.DUMMYFUNCTION("""COMPUTED_VALUE"""),"Оформлен")</f>
        <v>Оформлен</v>
      </c>
      <c r="B76" s="13" t="str">
        <f>IFERROR(__xludf.DUMMYFUNCTION("""COMPUTED_VALUE"""),"Чайхана")</f>
        <v>Чайхана</v>
      </c>
      <c r="C76" s="13" t="str">
        <f>IFERROR(__xludf.DUMMYFUNCTION("""COMPUTED_VALUE"""),"Москва")</f>
        <v>Москва</v>
      </c>
      <c r="D76" s="13" t="str">
        <f>IFERROR(__xludf.DUMMYFUNCTION("""COMPUTED_VALUE"""),"Уборщица")</f>
        <v>Уборщица</v>
      </c>
      <c r="E76" s="13" t="str">
        <f>IFERROR(__xludf.DUMMYFUNCTION("""COMPUTED_VALUE"""),"Ходынский б-р 20А")</f>
        <v>Ходынский б-р 20А</v>
      </c>
      <c r="F76" s="13" t="str">
        <f>IFERROR(__xludf.DUMMYFUNCTION("""COMPUTED_VALUE"""),"запросили")</f>
        <v>запросили</v>
      </c>
      <c r="G76" s="15">
        <f>IFERROR(__xludf.DUMMYFUNCTION("""COMPUTED_VALUE"""),46049.0)</f>
        <v>46049</v>
      </c>
      <c r="H76" s="13"/>
      <c r="I76" s="13">
        <f>IFERROR(__xludf.DUMMYFUNCTION("""COMPUTED_VALUE"""),9.71521363276E11)</f>
        <v>971521363276</v>
      </c>
      <c r="J76" s="13"/>
      <c r="K76" s="13"/>
      <c r="L76" s="14"/>
      <c r="M76" s="13"/>
      <c r="N76" s="15">
        <f>IFERROR(__xludf.DUMMYFUNCTION("""COMPUTED_VALUE"""),45820.0)</f>
        <v>45820</v>
      </c>
      <c r="O76" s="15">
        <f>IFERROR(__xludf.DUMMYFUNCTION("""COMPUTED_VALUE"""),32168.0)</f>
        <v>32168</v>
      </c>
      <c r="P76" s="13" t="str">
        <f>IFERROR(__xludf.DUMMYFUNCTION("""COMPUTED_VALUE"""),"PE2402745")</f>
        <v>PE2402745</v>
      </c>
      <c r="Q76" s="13" t="str">
        <f>IFERROR(__xludf.DUMMYFUNCTION("""COMPUTED_VALUE"""),"Нурбаева Умидахон Кошакбаевна")</f>
        <v>Нурбаева Умидахон Кошакбаевна</v>
      </c>
      <c r="R76" s="13" t="str">
        <f>IFERROR(__xludf.DUMMYFUNCTION("""COMPUTED_VALUE"""),"79250388417")</f>
        <v>79250388417</v>
      </c>
      <c r="S76" s="13" t="str">
        <f>IFERROR(__xludf.DUMMYFUNCTION("""COMPUTED_VALUE"""),"Кыргызстан")</f>
        <v>Кыргызстан</v>
      </c>
      <c r="T76" s="16" t="str">
        <f>IFERROR(__xludf.DUMMYFUNCTION("""COMPUTED_VALUE"""),"https://disk.360.yandex.ru/d/CQbZO95o1251ng")</f>
        <v>https://disk.360.yandex.ru/d/CQbZO95o1251ng</v>
      </c>
      <c r="U76" s="13" t="str">
        <f>IFERROR(__xludf.DUMMYFUNCTION("""COMPUTED_VALUE"""),"Собран")</f>
        <v>Собран</v>
      </c>
      <c r="V76" s="15"/>
      <c r="W76" s="15"/>
      <c r="X76" s="15">
        <f>IFERROR(__xludf.DUMMYFUNCTION("""COMPUTED_VALUE"""),46024.0)</f>
        <v>46024</v>
      </c>
      <c r="Y76" s="16" t="str">
        <f>IFERROR(__xludf.DUMMYFUNCTION("""COMPUTED_VALUE"""),"https://disk.yandex.ru/d/zaQ2CNGmca9NzA")</f>
        <v>https://disk.yandex.ru/d/zaQ2CNGmca9NzA</v>
      </c>
      <c r="Z76" s="13"/>
      <c r="AA76" s="13"/>
    </row>
    <row r="77">
      <c r="A77" s="13" t="str">
        <f>IFERROR(__xludf.DUMMYFUNCTION("""COMPUTED_VALUE"""),"Оформлен")</f>
        <v>Оформлен</v>
      </c>
      <c r="B77" s="13" t="str">
        <f>IFERROR(__xludf.DUMMYFUNCTION("""COMPUTED_VALUE"""),"Чайхана")</f>
        <v>Чайхана</v>
      </c>
      <c r="C77" s="13" t="str">
        <f>IFERROR(__xludf.DUMMYFUNCTION("""COMPUTED_VALUE"""),"Москва")</f>
        <v>Москва</v>
      </c>
      <c r="D77" s="13" t="str">
        <f>IFERROR(__xludf.DUMMYFUNCTION("""COMPUTED_VALUE"""),"Повар")</f>
        <v>Повар</v>
      </c>
      <c r="E77" s="13" t="str">
        <f>IFERROR(__xludf.DUMMYFUNCTION("""COMPUTED_VALUE"""),"Ходынский б-р 20А")</f>
        <v>Ходынский б-р 20А</v>
      </c>
      <c r="F77" s="13" t="str">
        <f>IFERROR(__xludf.DUMMYFUNCTION("""COMPUTED_VALUE"""),"запросили")</f>
        <v>запросили</v>
      </c>
      <c r="G77" s="15">
        <f>IFERROR(__xludf.DUMMYFUNCTION("""COMPUTED_VALUE"""),46049.0)</f>
        <v>46049</v>
      </c>
      <c r="H77" s="13"/>
      <c r="I77" s="13">
        <f>IFERROR(__xludf.DUMMYFUNCTION("""COMPUTED_VALUE"""),7.75123675454E11)</f>
        <v>775123675454</v>
      </c>
      <c r="J77" s="13">
        <f>IFERROR(__xludf.DUMMYFUNCTION("""COMPUTED_VALUE"""),77.0)</f>
        <v>77</v>
      </c>
      <c r="K77" s="13">
        <f>IFERROR(__xludf.DUMMYFUNCTION("""COMPUTED_VALUE"""),2.500479667E9)</f>
        <v>2500479667</v>
      </c>
      <c r="L77" s="14" t="str">
        <f>IFERROR(__xludf.DUMMYFUNCTION("""COMPUTED_VALUE"""),"ПР")</f>
        <v>ПР</v>
      </c>
      <c r="M77" s="13">
        <f>IFERROR(__xludf.DUMMYFUNCTION("""COMPUTED_VALUE"""),6082533.0)</f>
        <v>6082533</v>
      </c>
      <c r="N77" s="15">
        <f>IFERROR(__xludf.DUMMYFUNCTION("""COMPUTED_VALUE"""),44480.0)</f>
        <v>44480</v>
      </c>
      <c r="O77" s="15">
        <f>IFERROR(__xludf.DUMMYFUNCTION("""COMPUTED_VALUE"""),28283.0)</f>
        <v>28283</v>
      </c>
      <c r="P77" s="13" t="str">
        <f>IFERROR(__xludf.DUMMYFUNCTION("""COMPUTED_VALUE"""),"FA4077394")</f>
        <v>FA4077394</v>
      </c>
      <c r="Q77" s="13" t="str">
        <f>IFERROR(__xludf.DUMMYFUNCTION("""COMPUTED_VALUE"""),"Сайдуллаев Музаффар Акмал Угли")</f>
        <v>Сайдуллаев Музаффар Акмал Угли</v>
      </c>
      <c r="R77" s="13" t="str">
        <f>IFERROR(__xludf.DUMMYFUNCTION("""COMPUTED_VALUE"""),"79997977857")</f>
        <v>79997977857</v>
      </c>
      <c r="S77" s="13" t="str">
        <f>IFERROR(__xludf.DUMMYFUNCTION("""COMPUTED_VALUE"""),"Узбекистан")</f>
        <v>Узбекистан</v>
      </c>
      <c r="T77" s="16" t="str">
        <f>IFERROR(__xludf.DUMMYFUNCTION("""COMPUTED_VALUE"""),"https://disk.360.yandex.ru/d/9aa_e94kVtLz3g")</f>
        <v>https://disk.360.yandex.ru/d/9aa_e94kVtLz3g</v>
      </c>
      <c r="U77" s="13" t="str">
        <f>IFERROR(__xludf.DUMMYFUNCTION("""COMPUTED_VALUE"""),"Последний чек об оплате патента")</f>
        <v>Последний чек об оплате патента</v>
      </c>
      <c r="V77" s="15">
        <f>IFERROR(__xludf.DUMMYFUNCTION("""COMPUTED_VALUE"""),46019.0)</f>
        <v>46019</v>
      </c>
      <c r="W77" s="15">
        <f>IFERROR(__xludf.DUMMYFUNCTION("""COMPUTED_VALUE"""),45898.0)</f>
        <v>45898</v>
      </c>
      <c r="X77" s="15">
        <f>IFERROR(__xludf.DUMMYFUNCTION("""COMPUTED_VALUE"""),46024.0)</f>
        <v>46024</v>
      </c>
      <c r="Y77" s="16" t="str">
        <f>IFERROR(__xludf.DUMMYFUNCTION("""COMPUTED_VALUE"""),"https://disk.yandex.ru/d/M9OvccV-Miw3Rw")</f>
        <v>https://disk.yandex.ru/d/M9OvccV-Miw3Rw</v>
      </c>
      <c r="Z77" s="13"/>
      <c r="AA77" s="13"/>
    </row>
    <row r="78">
      <c r="A78" s="13" t="str">
        <f>IFERROR(__xludf.DUMMYFUNCTION("""COMPUTED_VALUE"""),"Оформлен")</f>
        <v>Оформлен</v>
      </c>
      <c r="B78" s="13" t="str">
        <f>IFERROR(__xludf.DUMMYFUNCTION("""COMPUTED_VALUE"""),"Чайхана")</f>
        <v>Чайхана</v>
      </c>
      <c r="C78" s="13" t="str">
        <f>IFERROR(__xludf.DUMMYFUNCTION("""COMPUTED_VALUE"""),"Москва")</f>
        <v>Москва</v>
      </c>
      <c r="D78" s="13" t="str">
        <f>IFERROR(__xludf.DUMMYFUNCTION("""COMPUTED_VALUE"""),"Повар")</f>
        <v>Повар</v>
      </c>
      <c r="E78" s="13" t="str">
        <f>IFERROR(__xludf.DUMMYFUNCTION("""COMPUTED_VALUE"""),"Ул. Савеловская линия 9")</f>
        <v>Ул. Савеловская линия 9</v>
      </c>
      <c r="F78" s="13" t="str">
        <f>IFERROR(__xludf.DUMMYFUNCTION("""COMPUTED_VALUE"""),"Договор1")</f>
        <v>Договор1</v>
      </c>
      <c r="G78" s="15">
        <f>IFERROR(__xludf.DUMMYFUNCTION("""COMPUTED_VALUE"""),46049.0)</f>
        <v>46049</v>
      </c>
      <c r="H78" s="13"/>
      <c r="I78" s="13">
        <f>IFERROR(__xludf.DUMMYFUNCTION("""COMPUTED_VALUE"""),7.71689013702E11)</f>
        <v>771689013702</v>
      </c>
      <c r="J78" s="13">
        <f>IFERROR(__xludf.DUMMYFUNCTION("""COMPUTED_VALUE"""),77.0)</f>
        <v>77</v>
      </c>
      <c r="K78" s="13">
        <f>IFERROR(__xludf.DUMMYFUNCTION("""COMPUTED_VALUE"""),2.500642614E9)</f>
        <v>2500642614</v>
      </c>
      <c r="L78" s="14" t="str">
        <f>IFERROR(__xludf.DUMMYFUNCTION("""COMPUTED_VALUE"""),"ПР")</f>
        <v>ПР</v>
      </c>
      <c r="M78" s="13">
        <f>IFERROR(__xludf.DUMMYFUNCTION("""COMPUTED_VALUE"""),6731498.0)</f>
        <v>6731498</v>
      </c>
      <c r="N78" s="15">
        <f>IFERROR(__xludf.DUMMYFUNCTION("""COMPUTED_VALUE"""),44796.0)</f>
        <v>44796</v>
      </c>
      <c r="O78" s="15">
        <f>IFERROR(__xludf.DUMMYFUNCTION("""COMPUTED_VALUE"""),32565.0)</f>
        <v>32565</v>
      </c>
      <c r="P78" s="13" t="str">
        <f>IFERROR(__xludf.DUMMYFUNCTION("""COMPUTED_VALUE"""),"FA6228843")</f>
        <v>FA6228843</v>
      </c>
      <c r="Q78" s="13" t="str">
        <f>IFERROR(__xludf.DUMMYFUNCTION("""COMPUTED_VALUE"""),"Дусматов Равшан Алишерович")</f>
        <v>Дусматов Равшан Алишерович</v>
      </c>
      <c r="R78" s="13" t="str">
        <f>IFERROR(__xludf.DUMMYFUNCTION("""COMPUTED_VALUE"""),"79254088185")</f>
        <v>79254088185</v>
      </c>
      <c r="S78" s="13" t="str">
        <f>IFERROR(__xludf.DUMMYFUNCTION("""COMPUTED_VALUE"""),"Узбекистан")</f>
        <v>Узбекистан</v>
      </c>
      <c r="T78" s="16" t="str">
        <f>IFERROR(__xludf.DUMMYFUNCTION("""COMPUTED_VALUE"""),"https://disk.360.yandex.ru/d/g5wSGCjqxEbnmQ")</f>
        <v>https://disk.360.yandex.ru/d/g5wSGCjqxEbnmQ</v>
      </c>
      <c r="U78" s="13" t="str">
        <f>IFERROR(__xludf.DUMMYFUNCTION("""COMPUTED_VALUE"""),"Собран")</f>
        <v>Собран</v>
      </c>
      <c r="V78" s="15">
        <f>IFERROR(__xludf.DUMMYFUNCTION("""COMPUTED_VALUE"""),46067.0)</f>
        <v>46067</v>
      </c>
      <c r="W78" s="15">
        <f>IFERROR(__xludf.DUMMYFUNCTION("""COMPUTED_VALUE"""),46006.0)</f>
        <v>46006</v>
      </c>
      <c r="X78" s="15">
        <f>IFERROR(__xludf.DUMMYFUNCTION("""COMPUTED_VALUE"""),46036.0)</f>
        <v>46036</v>
      </c>
      <c r="Y78" s="16" t="str">
        <f>IFERROR(__xludf.DUMMYFUNCTION("""COMPUTED_VALUE"""),"https://disk.360.yandex.ru/d/ThajB-eWnIiZrA")</f>
        <v>https://disk.360.yandex.ru/d/ThajB-eWnIiZrA</v>
      </c>
      <c r="Z78" s="13"/>
      <c r="AA78" s="13"/>
    </row>
    <row r="79">
      <c r="A79" s="13" t="str">
        <f>IFERROR(__xludf.DUMMYFUNCTION("""COMPUTED_VALUE"""),"Оформлен")</f>
        <v>Оформлен</v>
      </c>
      <c r="B79" s="13" t="str">
        <f>IFERROR(__xludf.DUMMYFUNCTION("""COMPUTED_VALUE"""),"Чайхана")</f>
        <v>Чайхана</v>
      </c>
      <c r="C79" s="13" t="str">
        <f>IFERROR(__xludf.DUMMYFUNCTION("""COMPUTED_VALUE"""),"Москва")</f>
        <v>Москва</v>
      </c>
      <c r="D79" s="13" t="str">
        <f>IFERROR(__xludf.DUMMYFUNCTION("""COMPUTED_VALUE"""),"Менеджер")</f>
        <v>Менеджер</v>
      </c>
      <c r="E79" s="13" t="str">
        <f>IFERROR(__xludf.DUMMYFUNCTION("""COMPUTED_VALUE"""),"Часовая 11 стр 2")</f>
        <v>Часовая 11 стр 2</v>
      </c>
      <c r="F79" s="13" t="str">
        <f>IFERROR(__xludf.DUMMYFUNCTION("""COMPUTED_VALUE"""),"Договор1")</f>
        <v>Договор1</v>
      </c>
      <c r="G79" s="15">
        <f>IFERROR(__xludf.DUMMYFUNCTION("""COMPUTED_VALUE"""),46049.0)</f>
        <v>46049</v>
      </c>
      <c r="H79" s="13"/>
      <c r="I79" s="13">
        <f>IFERROR(__xludf.DUMMYFUNCTION("""COMPUTED_VALUE"""),7.75116699528E11)</f>
        <v>775116699528</v>
      </c>
      <c r="J79" s="13">
        <f>IFERROR(__xludf.DUMMYFUNCTION("""COMPUTED_VALUE"""),77.0)</f>
        <v>77</v>
      </c>
      <c r="K79" s="13">
        <f>IFERROR(__xludf.DUMMYFUNCTION("""COMPUTED_VALUE"""),2.500623833E9)</f>
        <v>2500623833</v>
      </c>
      <c r="L79" s="14" t="str">
        <f>IFERROR(__xludf.DUMMYFUNCTION("""COMPUTED_VALUE"""),"ПР")</f>
        <v>ПР</v>
      </c>
      <c r="M79" s="13">
        <f>IFERROR(__xludf.DUMMYFUNCTION("""COMPUTED_VALUE"""),6713045.0)</f>
        <v>6713045</v>
      </c>
      <c r="N79" s="15">
        <f>IFERROR(__xludf.DUMMYFUNCTION("""COMPUTED_VALUE"""),42858.0)</f>
        <v>42858</v>
      </c>
      <c r="O79" s="15">
        <f>IFERROR(__xludf.DUMMYFUNCTION("""COMPUTED_VALUE"""),29908.0)</f>
        <v>29908</v>
      </c>
      <c r="P79" s="13" t="str">
        <f>IFERROR(__xludf.DUMMYFUNCTION("""COMPUTED_VALUE"""),"401471542")</f>
        <v>401471542</v>
      </c>
      <c r="Q79" s="13" t="str">
        <f>IFERROR(__xludf.DUMMYFUNCTION("""COMPUTED_VALUE"""),"Раджабова Мавджуда")</f>
        <v>Раджабова Мавджуда</v>
      </c>
      <c r="R79" s="13" t="str">
        <f>IFERROR(__xludf.DUMMYFUNCTION("""COMPUTED_VALUE"""),"79915623943")</f>
        <v>79915623943</v>
      </c>
      <c r="S79" s="13" t="str">
        <f>IFERROR(__xludf.DUMMYFUNCTION("""COMPUTED_VALUE"""),"Таджикистан")</f>
        <v>Таджикистан</v>
      </c>
      <c r="T79" s="16" t="str">
        <f>IFERROR(__xludf.DUMMYFUNCTION("""COMPUTED_VALUE"""),"https://disk.360.yandex.ru/d/I2ORoot5bwRfMg")</f>
        <v>https://disk.360.yandex.ru/d/I2ORoot5bwRfMg</v>
      </c>
      <c r="U79" s="13" t="str">
        <f>IFERROR(__xludf.DUMMYFUNCTION("""COMPUTED_VALUE"""),"Последний чек об оплате патента")</f>
        <v>Последний чек об оплате патента</v>
      </c>
      <c r="V79" s="15">
        <f>IFERROR(__xludf.DUMMYFUNCTION("""COMPUTED_VALUE"""),46029.0)</f>
        <v>46029</v>
      </c>
      <c r="W79" s="15">
        <f>IFERROR(__xludf.DUMMYFUNCTION("""COMPUTED_VALUE"""),45993.0)</f>
        <v>45993</v>
      </c>
      <c r="X79" s="15">
        <f>IFERROR(__xludf.DUMMYFUNCTION("""COMPUTED_VALUE"""),46036.0)</f>
        <v>46036</v>
      </c>
      <c r="Y79" s="16" t="str">
        <f>IFERROR(__xludf.DUMMYFUNCTION("""COMPUTED_VALUE"""),"https://disk.360.yandex.ru/d/YccuxE7SDecjEQ")</f>
        <v>https://disk.360.yandex.ru/d/YccuxE7SDecjEQ</v>
      </c>
      <c r="Z79" s="13"/>
      <c r="AA79" s="13"/>
    </row>
    <row r="80">
      <c r="A80" s="13" t="str">
        <f>IFERROR(__xludf.DUMMYFUNCTION("""COMPUTED_VALUE"""),"Оформлен")</f>
        <v>Оформлен</v>
      </c>
      <c r="B80" s="13" t="str">
        <f>IFERROR(__xludf.DUMMYFUNCTION("""COMPUTED_VALUE"""),"Чайхана")</f>
        <v>Чайхана</v>
      </c>
      <c r="C80" s="13" t="str">
        <f>IFERROR(__xludf.DUMMYFUNCTION("""COMPUTED_VALUE"""),"Москва")</f>
        <v>Москва</v>
      </c>
      <c r="D80" s="13" t="str">
        <f>IFERROR(__xludf.DUMMYFUNCTION("""COMPUTED_VALUE"""),"Уборщица")</f>
        <v>Уборщица</v>
      </c>
      <c r="E80" s="13" t="str">
        <f>IFERROR(__xludf.DUMMYFUNCTION("""COMPUTED_VALUE"""),"Бутырская 89 стр 2")</f>
        <v>Бутырская 89 стр 2</v>
      </c>
      <c r="F80" s="13" t="str">
        <f>IFERROR(__xludf.DUMMYFUNCTION("""COMPUTED_VALUE"""),"Договор 1, новый номер")</f>
        <v>Договор 1, новый номер</v>
      </c>
      <c r="G80" s="15">
        <f>IFERROR(__xludf.DUMMYFUNCTION("""COMPUTED_VALUE"""),46049.0)</f>
        <v>46049</v>
      </c>
      <c r="H80" s="13"/>
      <c r="I80" s="13">
        <f>IFERROR(__xludf.DUMMYFUNCTION("""COMPUTED_VALUE"""),9.10319207378E11)</f>
        <v>910319207378</v>
      </c>
      <c r="J80" s="13"/>
      <c r="K80" s="13"/>
      <c r="L80" s="14"/>
      <c r="M80" s="13"/>
      <c r="N80" s="15">
        <f>IFERROR(__xludf.DUMMYFUNCTION("""COMPUTED_VALUE"""),44893.0)</f>
        <v>44893</v>
      </c>
      <c r="O80" s="15">
        <f>IFERROR(__xludf.DUMMYFUNCTION("""COMPUTED_VALUE"""),38565.0)</f>
        <v>38565</v>
      </c>
      <c r="P80" s="13" t="str">
        <f>IFERROR(__xludf.DUMMYFUNCTION("""COMPUTED_VALUE"""),"PE1046656")</f>
        <v>PE1046656</v>
      </c>
      <c r="Q80" s="13" t="str">
        <f>IFERROR(__xludf.DUMMYFUNCTION("""COMPUTED_VALUE"""),"Рашид кызы Айгул")</f>
        <v>Рашид кызы Айгул</v>
      </c>
      <c r="R80" s="13" t="str">
        <f>IFERROR(__xludf.DUMMYFUNCTION("""COMPUTED_VALUE"""),"79258747563")</f>
        <v>79258747563</v>
      </c>
      <c r="S80" s="13" t="str">
        <f>IFERROR(__xludf.DUMMYFUNCTION("""COMPUTED_VALUE"""),"Кыргызстан")</f>
        <v>Кыргызстан</v>
      </c>
      <c r="T80" s="16" t="str">
        <f>IFERROR(__xludf.DUMMYFUNCTION("""COMPUTED_VALUE"""),"https://disk.360.yandex.ru/d/lUedXwfi3mWcNg")</f>
        <v>https://disk.360.yandex.ru/d/lUedXwfi3mWcNg</v>
      </c>
      <c r="U80" s="13" t="str">
        <f>IFERROR(__xludf.DUMMYFUNCTION("""COMPUTED_VALUE"""),"Собран")</f>
        <v>Собран</v>
      </c>
      <c r="V80" s="15"/>
      <c r="W80" s="15"/>
      <c r="X80" s="15">
        <f>IFERROR(__xludf.DUMMYFUNCTION("""COMPUTED_VALUE"""),46036.0)</f>
        <v>46036</v>
      </c>
      <c r="Y80" s="16" t="str">
        <f>IFERROR(__xludf.DUMMYFUNCTION("""COMPUTED_VALUE"""),"https://disk.yandex.ru/d/vqkkmSjSgUcmyA")</f>
        <v>https://disk.yandex.ru/d/vqkkmSjSgUcmyA</v>
      </c>
      <c r="Z80" s="13"/>
      <c r="AA80" s="13"/>
    </row>
    <row r="81">
      <c r="A81" s="13" t="str">
        <f>IFERROR(__xludf.DUMMYFUNCTION("""COMPUTED_VALUE"""),"Оформлен")</f>
        <v>Оформлен</v>
      </c>
      <c r="B81" s="13" t="str">
        <f>IFERROR(__xludf.DUMMYFUNCTION("""COMPUTED_VALUE"""),"Чайхана")</f>
        <v>Чайхана</v>
      </c>
      <c r="C81" s="13" t="str">
        <f>IFERROR(__xludf.DUMMYFUNCTION("""COMPUTED_VALUE"""),"Москва")</f>
        <v>Москва</v>
      </c>
      <c r="D81" s="13" t="str">
        <f>IFERROR(__xludf.DUMMYFUNCTION("""COMPUTED_VALUE"""),"Уборщица")</f>
        <v>Уборщица</v>
      </c>
      <c r="E81" s="13" t="str">
        <f>IFERROR(__xludf.DUMMYFUNCTION("""COMPUTED_VALUE"""),"Бутырская 89 стр 2")</f>
        <v>Бутырская 89 стр 2</v>
      </c>
      <c r="F81" s="13" t="str">
        <f>IFERROR(__xludf.DUMMYFUNCTION("""COMPUTED_VALUE"""),"Договор1")</f>
        <v>Договор1</v>
      </c>
      <c r="G81" s="15">
        <f>IFERROR(__xludf.DUMMYFUNCTION("""COMPUTED_VALUE"""),46049.0)</f>
        <v>46049</v>
      </c>
      <c r="H81" s="13"/>
      <c r="I81" s="13">
        <f>IFERROR(__xludf.DUMMYFUNCTION("""COMPUTED_VALUE"""),7.75186849992E11)</f>
        <v>775186849992</v>
      </c>
      <c r="J81" s="13">
        <f>IFERROR(__xludf.DUMMYFUNCTION("""COMPUTED_VALUE"""),77.0)</f>
        <v>77</v>
      </c>
      <c r="K81" s="13">
        <f>IFERROR(__xludf.DUMMYFUNCTION("""COMPUTED_VALUE"""),2.500635436E9)</f>
        <v>2500635436</v>
      </c>
      <c r="L81" s="14" t="str">
        <f>IFERROR(__xludf.DUMMYFUNCTION("""COMPUTED_VALUE"""),"ПР")</f>
        <v>ПР</v>
      </c>
      <c r="M81" s="13">
        <f>IFERROR(__xludf.DUMMYFUNCTION("""COMPUTED_VALUE"""),6726322.0)</f>
        <v>6726322</v>
      </c>
      <c r="N81" s="15">
        <f>IFERROR(__xludf.DUMMYFUNCTION("""COMPUTED_VALUE"""),44579.0)</f>
        <v>44579</v>
      </c>
      <c r="O81" s="15">
        <f>IFERROR(__xludf.DUMMYFUNCTION("""COMPUTED_VALUE"""),30382.0)</f>
        <v>30382</v>
      </c>
      <c r="P81" s="13" t="str">
        <f>IFERROR(__xludf.DUMMYFUNCTION("""COMPUTED_VALUE"""),"FA4780928")</f>
        <v>FA4780928</v>
      </c>
      <c r="Q81" s="13" t="str">
        <f>IFERROR(__xludf.DUMMYFUNCTION("""COMPUTED_VALUE"""),"Ходжиматова Нафиса Махаммадаминовна")</f>
        <v>Ходжиматова Нафиса Махаммадаминовна</v>
      </c>
      <c r="R81" s="13" t="str">
        <f>IFERROR(__xludf.DUMMYFUNCTION("""COMPUTED_VALUE"""),"79775789034")</f>
        <v>79775789034</v>
      </c>
      <c r="S81" s="13" t="str">
        <f>IFERROR(__xludf.DUMMYFUNCTION("""COMPUTED_VALUE"""),"Узбекистан")</f>
        <v>Узбекистан</v>
      </c>
      <c r="T81" s="16" t="str">
        <f>IFERROR(__xludf.DUMMYFUNCTION("""COMPUTED_VALUE"""),"https://disk.360.yandex.ru/d/Ya4DmzH5C705CQ")</f>
        <v>https://disk.360.yandex.ru/d/Ya4DmzH5C705CQ</v>
      </c>
      <c r="U81" s="13" t="str">
        <f>IFERROR(__xludf.DUMMYFUNCTION("""COMPUTED_VALUE"""),"Собран")</f>
        <v>Собран</v>
      </c>
      <c r="V81" s="15">
        <f>IFERROR(__xludf.DUMMYFUNCTION("""COMPUTED_VALUE"""),46062.0)</f>
        <v>46062</v>
      </c>
      <c r="W81" s="15">
        <f>IFERROR(__xludf.DUMMYFUNCTION("""COMPUTED_VALUE"""),46002.0)</f>
        <v>46002</v>
      </c>
      <c r="X81" s="15">
        <f>IFERROR(__xludf.DUMMYFUNCTION("""COMPUTED_VALUE"""),46036.0)</f>
        <v>46036</v>
      </c>
      <c r="Y81" s="16" t="str">
        <f>IFERROR(__xludf.DUMMYFUNCTION("""COMPUTED_VALUE"""),"https://disk.360.yandex.ru/d/lx5Px3WHOIAiGQ")</f>
        <v>https://disk.360.yandex.ru/d/lx5Px3WHOIAiGQ</v>
      </c>
      <c r="Z81" s="13"/>
      <c r="AA81" s="13"/>
    </row>
    <row r="82">
      <c r="A82" s="13" t="str">
        <f>IFERROR(__xludf.DUMMYFUNCTION("""COMPUTED_VALUE"""),"Оформлен")</f>
        <v>Оформлен</v>
      </c>
      <c r="B82" s="13" t="str">
        <f>IFERROR(__xludf.DUMMYFUNCTION("""COMPUTED_VALUE"""),"Чайхана")</f>
        <v>Чайхана</v>
      </c>
      <c r="C82" s="13" t="str">
        <f>IFERROR(__xludf.DUMMYFUNCTION("""COMPUTED_VALUE"""),"Москва")</f>
        <v>Москва</v>
      </c>
      <c r="D82" s="13" t="str">
        <f>IFERROR(__xludf.DUMMYFUNCTION("""COMPUTED_VALUE"""),"Посудомойщица")</f>
        <v>Посудомойщица</v>
      </c>
      <c r="E82" s="13" t="str">
        <f>IFERROR(__xludf.DUMMYFUNCTION("""COMPUTED_VALUE"""),"Улица Сущёвский Вал, 3/5")</f>
        <v>Улица Сущёвский Вал, 3/5</v>
      </c>
      <c r="F82" s="13" t="str">
        <f>IFERROR(__xludf.DUMMYFUNCTION("""COMPUTED_VALUE"""),"Договор1")</f>
        <v>Договор1</v>
      </c>
      <c r="G82" s="15">
        <f>IFERROR(__xludf.DUMMYFUNCTION("""COMPUTED_VALUE"""),46049.0)</f>
        <v>46049</v>
      </c>
      <c r="H82" s="13"/>
      <c r="I82" s="13">
        <f>IFERROR(__xludf.DUMMYFUNCTION("""COMPUTED_VALUE"""),7.71552365101E11)</f>
        <v>771552365101</v>
      </c>
      <c r="J82" s="13">
        <f>IFERROR(__xludf.DUMMYFUNCTION("""COMPUTED_VALUE"""),77.0)</f>
        <v>77</v>
      </c>
      <c r="K82" s="13">
        <f>IFERROR(__xludf.DUMMYFUNCTION("""COMPUTED_VALUE"""),2.500668073E9)</f>
        <v>2500668073</v>
      </c>
      <c r="L82" s="14" t="str">
        <f>IFERROR(__xludf.DUMMYFUNCTION("""COMPUTED_VALUE"""),"ПР")</f>
        <v>ПР</v>
      </c>
      <c r="M82" s="13">
        <f>IFERROR(__xludf.DUMMYFUNCTION("""COMPUTED_VALUE"""),6756941.0)</f>
        <v>6756941</v>
      </c>
      <c r="N82" s="15">
        <f>IFERROR(__xludf.DUMMYFUNCTION("""COMPUTED_VALUE"""),44481.0)</f>
        <v>44481</v>
      </c>
      <c r="O82" s="15">
        <f>IFERROR(__xludf.DUMMYFUNCTION("""COMPUTED_VALUE"""),25964.0)</f>
        <v>25964</v>
      </c>
      <c r="P82" s="13" t="str">
        <f>IFERROR(__xludf.DUMMYFUNCTION("""COMPUTED_VALUE"""),"FA4089204")</f>
        <v>FA4089204</v>
      </c>
      <c r="Q82" s="13" t="str">
        <f>IFERROR(__xludf.DUMMYFUNCTION("""COMPUTED_VALUE"""),"Бобожонова Фарида Ахмедовна")</f>
        <v>Бобожонова Фарида Ахмедовна</v>
      </c>
      <c r="R82" s="13" t="str">
        <f>IFERROR(__xludf.DUMMYFUNCTION("""COMPUTED_VALUE"""),"79689414254")</f>
        <v>79689414254</v>
      </c>
      <c r="S82" s="13" t="str">
        <f>IFERROR(__xludf.DUMMYFUNCTION("""COMPUTED_VALUE"""),"Узбекистан")</f>
        <v>Узбекистан</v>
      </c>
      <c r="T82" s="16" t="str">
        <f>IFERROR(__xludf.DUMMYFUNCTION("""COMPUTED_VALUE"""),"https://disk.360.yandex.ru/d/7Wnp76-ezneafA")</f>
        <v>https://disk.360.yandex.ru/d/7Wnp76-ezneafA</v>
      </c>
      <c r="U82" s="13" t="str">
        <f>IFERROR(__xludf.DUMMYFUNCTION("""COMPUTED_VALUE"""),"собран")</f>
        <v>собран</v>
      </c>
      <c r="V82" s="15">
        <f>IFERROR(__xludf.DUMMYFUNCTION("""COMPUTED_VALUE"""),46064.0)</f>
        <v>46064</v>
      </c>
      <c r="W82" s="15">
        <f>IFERROR(__xludf.DUMMYFUNCTION("""COMPUTED_VALUE"""),46020.0)</f>
        <v>46020</v>
      </c>
      <c r="X82" s="15">
        <f>IFERROR(__xludf.DUMMYFUNCTION("""COMPUTED_VALUE"""),46041.0)</f>
        <v>46041</v>
      </c>
      <c r="Y82" s="16" t="str">
        <f>IFERROR(__xludf.DUMMYFUNCTION("""COMPUTED_VALUE"""),"https://disk.360.yandex.ru/d/pLvyqNcTCQiiew")</f>
        <v>https://disk.360.yandex.ru/d/pLvyqNcTCQiiew</v>
      </c>
      <c r="Z82" s="13"/>
      <c r="AA82" s="13"/>
    </row>
    <row r="83">
      <c r="A83" s="13" t="str">
        <f>IFERROR(__xludf.DUMMYFUNCTION("""COMPUTED_VALUE"""),"Оформлен")</f>
        <v>Оформлен</v>
      </c>
      <c r="B83" s="13" t="str">
        <f>IFERROR(__xludf.DUMMYFUNCTION("""COMPUTED_VALUE"""),"Чайхана")</f>
        <v>Чайхана</v>
      </c>
      <c r="C83" s="13" t="str">
        <f>IFERROR(__xludf.DUMMYFUNCTION("""COMPUTED_VALUE"""),"Москва")</f>
        <v>Москва</v>
      </c>
      <c r="D83" s="13" t="str">
        <f>IFERROR(__xludf.DUMMYFUNCTION("""COMPUTED_VALUE"""),"Кассир")</f>
        <v>Кассир</v>
      </c>
      <c r="E83" s="13" t="str">
        <f>IFERROR(__xludf.DUMMYFUNCTION("""COMPUTED_VALUE"""),"Ходынский б-р 20А")</f>
        <v>Ходынский б-р 20А</v>
      </c>
      <c r="F83" s="13" t="str">
        <f>IFERROR(__xludf.DUMMYFUNCTION("""COMPUTED_VALUE"""),"Договор1")</f>
        <v>Договор1</v>
      </c>
      <c r="G83" s="15">
        <f>IFERROR(__xludf.DUMMYFUNCTION("""COMPUTED_VALUE"""),46049.0)</f>
        <v>46049</v>
      </c>
      <c r="H83" s="13"/>
      <c r="I83" s="13">
        <f>IFERROR(__xludf.DUMMYFUNCTION("""COMPUTED_VALUE"""),5.04726268129E11)</f>
        <v>504726268129</v>
      </c>
      <c r="J83" s="13">
        <f>IFERROR(__xludf.DUMMYFUNCTION("""COMPUTED_VALUE"""),77.0)</f>
        <v>77</v>
      </c>
      <c r="K83" s="13">
        <f>IFERROR(__xludf.DUMMYFUNCTION("""COMPUTED_VALUE"""),2.500652886E9)</f>
        <v>2500652886</v>
      </c>
      <c r="L83" s="14" t="str">
        <f>IFERROR(__xludf.DUMMYFUNCTION("""COMPUTED_VALUE"""),"ПР")</f>
        <v>ПР</v>
      </c>
      <c r="M83" s="13">
        <f>IFERROR(__xludf.DUMMYFUNCTION("""COMPUTED_VALUE"""),6741578.0)</f>
        <v>6741578</v>
      </c>
      <c r="N83" s="15">
        <f>IFERROR(__xludf.DUMMYFUNCTION("""COMPUTED_VALUE"""),43829.0)</f>
        <v>43829</v>
      </c>
      <c r="O83" s="15">
        <f>IFERROR(__xludf.DUMMYFUNCTION("""COMPUTED_VALUE"""),37239.0)</f>
        <v>37239</v>
      </c>
      <c r="P83" s="13" t="str">
        <f>IFERROR(__xludf.DUMMYFUNCTION("""COMPUTED_VALUE"""),"402949873")</f>
        <v>402949873</v>
      </c>
      <c r="Q83" s="13" t="str">
        <f>IFERROR(__xludf.DUMMYFUNCTION("""COMPUTED_VALUE"""),"Дустназарзода Джавлонбек Джуракул")</f>
        <v>Дустназарзода Джавлонбек Джуракул</v>
      </c>
      <c r="R83" s="13" t="str">
        <f>IFERROR(__xludf.DUMMYFUNCTION("""COMPUTED_VALUE"""),"79774431553")</f>
        <v>79774431553</v>
      </c>
      <c r="S83" s="13" t="str">
        <f>IFERROR(__xludf.DUMMYFUNCTION("""COMPUTED_VALUE"""),"Таджикистан")</f>
        <v>Таджикистан</v>
      </c>
      <c r="T83" s="16" t="str">
        <f>IFERROR(__xludf.DUMMYFUNCTION("""COMPUTED_VALUE"""),"https://disk.360.yandex.ru/d/yS9z9aFD8OZWtA")</f>
        <v>https://disk.360.yandex.ru/d/yS9z9aFD8OZWtA</v>
      </c>
      <c r="U83" s="13" t="str">
        <f>IFERROR(__xludf.DUMMYFUNCTION("""COMPUTED_VALUE"""),"Последний чек об оплате патента")</f>
        <v>Последний чек об оплате патента</v>
      </c>
      <c r="V83" s="15">
        <f>IFERROR(__xludf.DUMMYFUNCTION("""COMPUTED_VALUE"""),46047.0)</f>
        <v>46047</v>
      </c>
      <c r="W83" s="15">
        <f>IFERROR(__xludf.DUMMYFUNCTION("""COMPUTED_VALUE"""),46010.0)</f>
        <v>46010</v>
      </c>
      <c r="X83" s="15">
        <f>IFERROR(__xludf.DUMMYFUNCTION("""COMPUTED_VALUE"""),46043.0)</f>
        <v>46043</v>
      </c>
      <c r="Y83" s="16" t="str">
        <f>IFERROR(__xludf.DUMMYFUNCTION("""COMPUTED_VALUE"""),"https://disk.yandex.ru/d/6oFoKt0JsYBuHA")</f>
        <v>https://disk.yandex.ru/d/6oFoKt0JsYBuHA</v>
      </c>
      <c r="Z83" s="13"/>
      <c r="AA83" s="13"/>
    </row>
    <row r="84">
      <c r="A84" s="13" t="str">
        <f>IFERROR(__xludf.DUMMYFUNCTION("""COMPUTED_VALUE"""),"Оформлен")</f>
        <v>Оформлен</v>
      </c>
      <c r="B84" s="13" t="str">
        <f>IFERROR(__xludf.DUMMYFUNCTION("""COMPUTED_VALUE"""),"Чайхана")</f>
        <v>Чайхана</v>
      </c>
      <c r="C84" s="13" t="str">
        <f>IFERROR(__xludf.DUMMYFUNCTION("""COMPUTED_VALUE"""),"Москва")</f>
        <v>Москва</v>
      </c>
      <c r="D84" s="13" t="str">
        <f>IFERROR(__xludf.DUMMYFUNCTION("""COMPUTED_VALUE"""),"Тех.персонал")</f>
        <v>Тех.персонал</v>
      </c>
      <c r="E84" s="13" t="str">
        <f>IFERROR(__xludf.DUMMYFUNCTION("""COMPUTED_VALUE"""),"Часовая 11 стр 2")</f>
        <v>Часовая 11 стр 2</v>
      </c>
      <c r="F84" s="13" t="str">
        <f>IFERROR(__xludf.DUMMYFUNCTION("""COMPUTED_VALUE"""),"Договор1")</f>
        <v>Договор1</v>
      </c>
      <c r="G84" s="15"/>
      <c r="H84" s="13"/>
      <c r="I84" s="13">
        <f>IFERROR(__xludf.DUMMYFUNCTION("""COMPUTED_VALUE"""),5.02780207956E11)</f>
        <v>502780207956</v>
      </c>
      <c r="J84" s="13">
        <f>IFERROR(__xludf.DUMMYFUNCTION("""COMPUTED_VALUE"""),77.0)</f>
        <v>77</v>
      </c>
      <c r="K84" s="13">
        <f>IFERROR(__xludf.DUMMYFUNCTION("""COMPUTED_VALUE"""),2.500586447E9)</f>
        <v>2500586447</v>
      </c>
      <c r="L84" s="14" t="str">
        <f>IFERROR(__xludf.DUMMYFUNCTION("""COMPUTED_VALUE"""),"ПР")</f>
        <v>ПР</v>
      </c>
      <c r="M84" s="13">
        <f>IFERROR(__xludf.DUMMYFUNCTION("""COMPUTED_VALUE"""),6186340.0)</f>
        <v>6186340</v>
      </c>
      <c r="N84" s="15">
        <f>IFERROR(__xludf.DUMMYFUNCTION("""COMPUTED_VALUE"""),45936.0)</f>
        <v>45936</v>
      </c>
      <c r="O84" s="15">
        <f>IFERROR(__xludf.DUMMYFUNCTION("""COMPUTED_VALUE"""),32530.0)</f>
        <v>32530</v>
      </c>
      <c r="P84" s="13" t="str">
        <f>IFERROR(__xludf.DUMMYFUNCTION("""COMPUTED_VALUE"""),"FA1698214")</f>
        <v>FA1698214</v>
      </c>
      <c r="Q84" s="13" t="str">
        <f>IFERROR(__xludf.DUMMYFUNCTION("""COMPUTED_VALUE"""),"Мовлонова Феруза Бурхоновна")</f>
        <v>Мовлонова Феруза Бурхоновна</v>
      </c>
      <c r="R84" s="13" t="str">
        <f>IFERROR(__xludf.DUMMYFUNCTION("""COMPUTED_VALUE"""),"79035410190")</f>
        <v>79035410190</v>
      </c>
      <c r="S84" s="13" t="str">
        <f>IFERROR(__xludf.DUMMYFUNCTION("""COMPUTED_VALUE"""),"Узбекистан")</f>
        <v>Узбекистан</v>
      </c>
      <c r="T84" s="16" t="str">
        <f>IFERROR(__xludf.DUMMYFUNCTION("""COMPUTED_VALUE"""),"https://disk.360.yandex.ru/d/PviJoAv4XZewrQ")</f>
        <v>https://disk.360.yandex.ru/d/PviJoAv4XZewrQ</v>
      </c>
      <c r="U84" s="13" t="str">
        <f>IFERROR(__xludf.DUMMYFUNCTION("""COMPUTED_VALUE"""),"карта иностранного гражданина, Последний чек об оплате патента")</f>
        <v>карта иностранного гражданина, Последний чек об оплате патента</v>
      </c>
      <c r="V84" s="15">
        <f>IFERROR(__xludf.DUMMYFUNCTION("""COMPUTED_VALUE"""),46051.0)</f>
        <v>46051</v>
      </c>
      <c r="W84" s="15">
        <f>IFERROR(__xludf.DUMMYFUNCTION("""COMPUTED_VALUE"""),45967.0)</f>
        <v>45967</v>
      </c>
      <c r="X84" s="15">
        <f>IFERROR(__xludf.DUMMYFUNCTION("""COMPUTED_VALUE"""),46043.0)</f>
        <v>46043</v>
      </c>
      <c r="Y84" s="16" t="str">
        <f>IFERROR(__xludf.DUMMYFUNCTION("""COMPUTED_VALUE"""),"https://disk.yandex.ru/d/-N5D8DAyXO0ufw")</f>
        <v>https://disk.yandex.ru/d/-N5D8DAyXO0ufw</v>
      </c>
      <c r="Z84" s="13"/>
      <c r="AA84" s="13"/>
    </row>
    <row r="85">
      <c r="A85" s="13" t="str">
        <f>IFERROR(__xludf.DUMMYFUNCTION("""COMPUTED_VALUE"""),"Оформлен")</f>
        <v>Оформлен</v>
      </c>
      <c r="B85" s="13" t="str">
        <f>IFERROR(__xludf.DUMMYFUNCTION("""COMPUTED_VALUE"""),"Чайхана")</f>
        <v>Чайхана</v>
      </c>
      <c r="C85" s="13" t="str">
        <f>IFERROR(__xludf.DUMMYFUNCTION("""COMPUTED_VALUE"""),"Москва")</f>
        <v>Москва</v>
      </c>
      <c r="D85" s="13" t="str">
        <f>IFERROR(__xludf.DUMMYFUNCTION("""COMPUTED_VALUE"""),"Повар")</f>
        <v>Повар</v>
      </c>
      <c r="E85" s="13" t="str">
        <f>IFERROR(__xludf.DUMMYFUNCTION("""COMPUTED_VALUE"""),"Смольная улица 24Гс6")</f>
        <v>Смольная улица 24Гс6</v>
      </c>
      <c r="F85" s="13" t="str">
        <f>IFERROR(__xludf.DUMMYFUNCTION("""COMPUTED_VALUE"""),"Договор1")</f>
        <v>Договор1</v>
      </c>
      <c r="G85" s="15">
        <f>IFERROR(__xludf.DUMMYFUNCTION("""COMPUTED_VALUE"""),46049.0)</f>
        <v>46049</v>
      </c>
      <c r="H85" s="13"/>
      <c r="I85" s="13">
        <f>IFERROR(__xludf.DUMMYFUNCTION("""COMPUTED_VALUE"""),7.7518750507E11)</f>
        <v>775187505070</v>
      </c>
      <c r="J85" s="13">
        <f>IFERROR(__xludf.DUMMYFUNCTION("""COMPUTED_VALUE"""),77.0)</f>
        <v>77</v>
      </c>
      <c r="K85" s="13">
        <f>IFERROR(__xludf.DUMMYFUNCTION("""COMPUTED_VALUE"""),2.500659429E9)</f>
        <v>2500659429</v>
      </c>
      <c r="L85" s="14" t="str">
        <f>IFERROR(__xludf.DUMMYFUNCTION("""COMPUTED_VALUE"""),"ПР")</f>
        <v>ПР</v>
      </c>
      <c r="M85" s="13">
        <f>IFERROR(__xludf.DUMMYFUNCTION("""COMPUTED_VALUE"""),6747464.0)</f>
        <v>6747464</v>
      </c>
      <c r="N85" s="15">
        <f>IFERROR(__xludf.DUMMYFUNCTION("""COMPUTED_VALUE"""),45704.0)</f>
        <v>45704</v>
      </c>
      <c r="O85" s="15">
        <f>IFERROR(__xludf.DUMMYFUNCTION("""COMPUTED_VALUE"""),38993.0)</f>
        <v>38993</v>
      </c>
      <c r="P85" s="13" t="str">
        <f>IFERROR(__xludf.DUMMYFUNCTION("""COMPUTED_VALUE"""),"FB0803203")</f>
        <v>FB0803203</v>
      </c>
      <c r="Q85" s="13" t="str">
        <f>IFERROR(__xludf.DUMMYFUNCTION("""COMPUTED_VALUE"""),"Нуруллаев Нодирбек Нумонжон Угли")</f>
        <v>Нуруллаев Нодирбек Нумонжон Угли</v>
      </c>
      <c r="R85" s="13" t="str">
        <f>IFERROR(__xludf.DUMMYFUNCTION("""COMPUTED_VALUE"""),"79801360139")</f>
        <v>79801360139</v>
      </c>
      <c r="S85" s="13" t="str">
        <f>IFERROR(__xludf.DUMMYFUNCTION("""COMPUTED_VALUE"""),"Узбекистан")</f>
        <v>Узбекистан</v>
      </c>
      <c r="T85" s="16" t="str">
        <f>IFERROR(__xludf.DUMMYFUNCTION("""COMPUTED_VALUE"""),"https://disk.360.yandex.ru/d/rSjb52qDZmUo-Q")</f>
        <v>https://disk.360.yandex.ru/d/rSjb52qDZmUo-Q</v>
      </c>
      <c r="U85" s="13" t="str">
        <f>IFERROR(__xludf.DUMMYFUNCTION("""COMPUTED_VALUE"""),"Последний чек об оплате патента")</f>
        <v>Последний чек об оплате патента</v>
      </c>
      <c r="V85" s="15">
        <f>IFERROR(__xludf.DUMMYFUNCTION("""COMPUTED_VALUE"""),46049.0)</f>
        <v>46049</v>
      </c>
      <c r="W85" s="15">
        <f>IFERROR(__xludf.DUMMYFUNCTION("""COMPUTED_VALUE"""),46015.0)</f>
        <v>46015</v>
      </c>
      <c r="X85" s="15">
        <f>IFERROR(__xludf.DUMMYFUNCTION("""COMPUTED_VALUE"""),46043.0)</f>
        <v>46043</v>
      </c>
      <c r="Y85" s="16" t="str">
        <f>IFERROR(__xludf.DUMMYFUNCTION("""COMPUTED_VALUE"""),"https://disk.yandex.ru/d/PBHiJEbJNgqi7A")</f>
        <v>https://disk.yandex.ru/d/PBHiJEbJNgqi7A</v>
      </c>
      <c r="Z85" s="13"/>
      <c r="AA85" s="13"/>
    </row>
    <row r="86">
      <c r="A86" s="13" t="str">
        <f>IFERROR(__xludf.DUMMYFUNCTION("""COMPUTED_VALUE"""),"Оформлен")</f>
        <v>Оформлен</v>
      </c>
      <c r="B86" s="13" t="str">
        <f>IFERROR(__xludf.DUMMYFUNCTION("""COMPUTED_VALUE"""),"Пекарня")</f>
        <v>Пекарня</v>
      </c>
      <c r="C86" s="13" t="str">
        <f>IFERROR(__xludf.DUMMYFUNCTION("""COMPUTED_VALUE"""),"Москва")</f>
        <v>Москва</v>
      </c>
      <c r="D86" s="13" t="str">
        <f>IFERROR(__xludf.DUMMYFUNCTION("""COMPUTED_VALUE"""),"Повар")</f>
        <v>Повар</v>
      </c>
      <c r="E86" s="13" t="str">
        <f>IFERROR(__xludf.DUMMYFUNCTION("""COMPUTED_VALUE"""),"Бескудниковский бульвар д.12")</f>
        <v>Бескудниковский бульвар д.12</v>
      </c>
      <c r="F86" s="13" t="str">
        <f>IFERROR(__xludf.DUMMYFUNCTION("""COMPUTED_VALUE"""),"Договор1")</f>
        <v>Договор1</v>
      </c>
      <c r="G86" s="15">
        <f>IFERROR(__xludf.DUMMYFUNCTION("""COMPUTED_VALUE"""),46049.0)</f>
        <v>46049</v>
      </c>
      <c r="H86" s="13"/>
      <c r="I86" s="13"/>
      <c r="J86" s="13">
        <f>IFERROR(__xludf.DUMMYFUNCTION("""COMPUTED_VALUE"""),50.0)</f>
        <v>50</v>
      </c>
      <c r="K86" s="13">
        <f>IFERROR(__xludf.DUMMYFUNCTION("""COMPUTED_VALUE"""),2.500363544E9)</f>
        <v>2500363544</v>
      </c>
      <c r="L86" s="14" t="str">
        <f>IFERROR(__xludf.DUMMYFUNCTION("""COMPUTED_VALUE"""),"ПР")</f>
        <v>ПР</v>
      </c>
      <c r="M86" s="13">
        <f>IFERROR(__xludf.DUMMYFUNCTION("""COMPUTED_VALUE"""),6673618.0)</f>
        <v>6673618</v>
      </c>
      <c r="N86" s="15">
        <f>IFERROR(__xludf.DUMMYFUNCTION("""COMPUTED_VALUE"""),43252.0)</f>
        <v>43252</v>
      </c>
      <c r="O86" s="15">
        <f>IFERROR(__xludf.DUMMYFUNCTION("""COMPUTED_VALUE"""),33319.0)</f>
        <v>33319</v>
      </c>
      <c r="P86" s="13" t="str">
        <f>IFERROR(__xludf.DUMMYFUNCTION("""COMPUTED_VALUE"""),"402041501")</f>
        <v>402041501</v>
      </c>
      <c r="Q86" s="13" t="str">
        <f>IFERROR(__xludf.DUMMYFUNCTION("""COMPUTED_VALUE"""),"Каржабова Хуршеда Пардаевна")</f>
        <v>Каржабова Хуршеда Пардаевна</v>
      </c>
      <c r="R86" s="13" t="str">
        <f>IFERROR(__xludf.DUMMYFUNCTION("""COMPUTED_VALUE"""),"79384633617")</f>
        <v>79384633617</v>
      </c>
      <c r="S86" s="13" t="str">
        <f>IFERROR(__xludf.DUMMYFUNCTION("""COMPUTED_VALUE"""),"Таджикистан")</f>
        <v>Таджикистан</v>
      </c>
      <c r="T86" s="16" t="str">
        <f>IFERROR(__xludf.DUMMYFUNCTION("""COMPUTED_VALUE"""),"https://disk.360.yandex.ru/d/hQn6ICeu7UZz-g")</f>
        <v>https://disk.360.yandex.ru/d/hQn6ICeu7UZz-g</v>
      </c>
      <c r="U86" s="13" t="str">
        <f>IFERROR(__xludf.DUMMYFUNCTION("""COMPUTED_VALUE"""),"Собран")</f>
        <v>Собран</v>
      </c>
      <c r="V86" s="15">
        <f>IFERROR(__xludf.DUMMYFUNCTION("""COMPUTED_VALUE"""),46073.0)</f>
        <v>46073</v>
      </c>
      <c r="W86" s="15">
        <f>IFERROR(__xludf.DUMMYFUNCTION("""COMPUTED_VALUE"""),45923.0)</f>
        <v>45923</v>
      </c>
      <c r="X86" s="15">
        <f>IFERROR(__xludf.DUMMYFUNCTION("""COMPUTED_VALUE"""),46044.0)</f>
        <v>46044</v>
      </c>
      <c r="Y86" s="16" t="str">
        <f>IFERROR(__xludf.DUMMYFUNCTION("""COMPUTED_VALUE"""),"https://disk.yandex.ru/d/SWGcWH9sxoxOaw")</f>
        <v>https://disk.yandex.ru/d/SWGcWH9sxoxOaw</v>
      </c>
      <c r="Z86" s="13"/>
      <c r="AA86" s="13"/>
    </row>
    <row r="87">
      <c r="A87" s="13" t="str">
        <f>IFERROR(__xludf.DUMMYFUNCTION("""COMPUTED_VALUE"""),"Оформлен")</f>
        <v>Оформлен</v>
      </c>
      <c r="B87" s="13" t="str">
        <f>IFERROR(__xludf.DUMMYFUNCTION("""COMPUTED_VALUE"""),"Чайхана")</f>
        <v>Чайхана</v>
      </c>
      <c r="C87" s="13" t="str">
        <f>IFERROR(__xludf.DUMMYFUNCTION("""COMPUTED_VALUE"""),"Москва")</f>
        <v>Москва</v>
      </c>
      <c r="D87" s="13" t="str">
        <f>IFERROR(__xludf.DUMMYFUNCTION("""COMPUTED_VALUE"""),"Менеджер")</f>
        <v>Менеджер</v>
      </c>
      <c r="E87" s="13" t="str">
        <f>IFERROR(__xludf.DUMMYFUNCTION("""COMPUTED_VALUE"""),"Смольная улица 24Гс6")</f>
        <v>Смольная улица 24Гс6</v>
      </c>
      <c r="F87" s="13" t="str">
        <f>IFERROR(__xludf.DUMMYFUNCTION("""COMPUTED_VALUE"""),"Договор1")</f>
        <v>Договор1</v>
      </c>
      <c r="G87" s="15">
        <f>IFERROR(__xludf.DUMMYFUNCTION("""COMPUTED_VALUE"""),46049.0)</f>
        <v>46049</v>
      </c>
      <c r="H87" s="13"/>
      <c r="I87" s="13"/>
      <c r="J87" s="13">
        <f>IFERROR(__xludf.DUMMYFUNCTION("""COMPUTED_VALUE"""),77.0)</f>
        <v>77</v>
      </c>
      <c r="K87" s="13">
        <f>IFERROR(__xludf.DUMMYFUNCTION("""COMPUTED_VALUE"""),2.500654895E9)</f>
        <v>2500654895</v>
      </c>
      <c r="L87" s="14" t="str">
        <f>IFERROR(__xludf.DUMMYFUNCTION("""COMPUTED_VALUE"""),"ПР")</f>
        <v>ПР</v>
      </c>
      <c r="M87" s="13">
        <f>IFERROR(__xludf.DUMMYFUNCTION("""COMPUTED_VALUE"""),6742697.0)</f>
        <v>6742697</v>
      </c>
      <c r="N87" s="15">
        <f>IFERROR(__xludf.DUMMYFUNCTION("""COMPUTED_VALUE"""),45960.0)</f>
        <v>45960</v>
      </c>
      <c r="O87" s="15">
        <f>IFERROR(__xludf.DUMMYFUNCTION("""COMPUTED_VALUE"""),32353.0)</f>
        <v>32353</v>
      </c>
      <c r="P87" s="13" t="str">
        <f>IFERROR(__xludf.DUMMYFUNCTION("""COMPUTED_VALUE"""),"406310752")</f>
        <v>406310752</v>
      </c>
      <c r="Q87" s="13" t="str">
        <f>IFERROR(__xludf.DUMMYFUNCTION("""COMPUTED_VALUE"""),"Муфтохов Илхом Имомидинович")</f>
        <v>Муфтохов Илхом Имомидинович</v>
      </c>
      <c r="R87" s="13" t="str">
        <f>IFERROR(__xludf.DUMMYFUNCTION("""COMPUTED_VALUE"""),"79165595254")</f>
        <v>79165595254</v>
      </c>
      <c r="S87" s="13" t="str">
        <f>IFERROR(__xludf.DUMMYFUNCTION("""COMPUTED_VALUE"""),"Таджикистан")</f>
        <v>Таджикистан</v>
      </c>
      <c r="T87" s="16" t="str">
        <f>IFERROR(__xludf.DUMMYFUNCTION("""COMPUTED_VALUE"""),"https://disk.360.yandex.ru/d/Yh0m_P6pwOVEBg")</f>
        <v>https://disk.360.yandex.ru/d/Yh0m_P6pwOVEBg</v>
      </c>
      <c r="U87" s="13" t="str">
        <f>IFERROR(__xludf.DUMMYFUNCTION("""COMPUTED_VALUE"""),"Последний чек об оплате патента")</f>
        <v>Последний чек об оплате патента</v>
      </c>
      <c r="V87" s="15">
        <f>IFERROR(__xludf.DUMMYFUNCTION("""COMPUTED_VALUE"""),46046.0)</f>
        <v>46046</v>
      </c>
      <c r="W87" s="15">
        <f>IFERROR(__xludf.DUMMYFUNCTION("""COMPUTED_VALUE"""),46013.0)</f>
        <v>46013</v>
      </c>
      <c r="X87" s="15">
        <f>IFERROR(__xludf.DUMMYFUNCTION("""COMPUTED_VALUE"""),46044.0)</f>
        <v>46044</v>
      </c>
      <c r="Y87" s="16" t="str">
        <f>IFERROR(__xludf.DUMMYFUNCTION("""COMPUTED_VALUE"""),"https://disk.yandex.ru/d/4Xi-8UzM9qhZNA")</f>
        <v>https://disk.yandex.ru/d/4Xi-8UzM9qhZNA</v>
      </c>
      <c r="Z87" s="13"/>
      <c r="AA87" s="13"/>
    </row>
    <row r="88">
      <c r="A88" s="13" t="str">
        <f>IFERROR(__xludf.DUMMYFUNCTION("""COMPUTED_VALUE"""),"Оформлен")</f>
        <v>Оформлен</v>
      </c>
      <c r="B88" s="13" t="str">
        <f>IFERROR(__xludf.DUMMYFUNCTION("""COMPUTED_VALUE"""),"Чайхана")</f>
        <v>Чайхана</v>
      </c>
      <c r="C88" s="13" t="str">
        <f>IFERROR(__xludf.DUMMYFUNCTION("""COMPUTED_VALUE"""),"Москва")</f>
        <v>Москва</v>
      </c>
      <c r="D88" s="13" t="str">
        <f>IFERROR(__xludf.DUMMYFUNCTION("""COMPUTED_VALUE"""),"Уборщица")</f>
        <v>Уборщица</v>
      </c>
      <c r="E88" s="13" t="str">
        <f>IFERROR(__xludf.DUMMYFUNCTION("""COMPUTED_VALUE"""),"Улица Сущёвский Вал, 3/5")</f>
        <v>Улица Сущёвский Вал, 3/5</v>
      </c>
      <c r="F88" s="13" t="str">
        <f>IFERROR(__xludf.DUMMYFUNCTION("""COMPUTED_VALUE"""),"Договор1")</f>
        <v>Договор1</v>
      </c>
      <c r="G88" s="15"/>
      <c r="H88" s="13"/>
      <c r="I88" s="13"/>
      <c r="J88" s="13">
        <f>IFERROR(__xludf.DUMMYFUNCTION("""COMPUTED_VALUE"""),77.0)</f>
        <v>77</v>
      </c>
      <c r="K88" s="13">
        <f>IFERROR(__xludf.DUMMYFUNCTION("""COMPUTED_VALUE"""),2.50061425E9)</f>
        <v>2500614250</v>
      </c>
      <c r="L88" s="14" t="str">
        <f>IFERROR(__xludf.DUMMYFUNCTION("""COMPUTED_VALUE"""),"ПР")</f>
        <v>ПР</v>
      </c>
      <c r="M88" s="13">
        <f>IFERROR(__xludf.DUMMYFUNCTION("""COMPUTED_VALUE"""),6704113.0)</f>
        <v>6704113</v>
      </c>
      <c r="N88" s="15">
        <f>IFERROR(__xludf.DUMMYFUNCTION("""COMPUTED_VALUE"""),45567.0)</f>
        <v>45567</v>
      </c>
      <c r="O88" s="15">
        <f>IFERROR(__xludf.DUMMYFUNCTION("""COMPUTED_VALUE"""),29673.0)</f>
        <v>29673</v>
      </c>
      <c r="P88" s="13" t="str">
        <f>IFERROR(__xludf.DUMMYFUNCTION("""COMPUTED_VALUE"""),"405631736")</f>
        <v>405631736</v>
      </c>
      <c r="Q88" s="13" t="str">
        <f>IFERROR(__xludf.DUMMYFUNCTION("""COMPUTED_VALUE"""),"Гафурова Нозимахон Абдусаторовна")</f>
        <v>Гафурова Нозимахон Абдусаторовна</v>
      </c>
      <c r="R88" s="13" t="str">
        <f>IFERROR(__xludf.DUMMYFUNCTION("""COMPUTED_VALUE"""),"79999653709")</f>
        <v>79999653709</v>
      </c>
      <c r="S88" s="13" t="str">
        <f>IFERROR(__xludf.DUMMYFUNCTION("""COMPUTED_VALUE"""),"Таджикистан")</f>
        <v>Таджикистан</v>
      </c>
      <c r="T88" s="16" t="str">
        <f>IFERROR(__xludf.DUMMYFUNCTION("""COMPUTED_VALUE"""),"https://disk.360.yandex.ru/d/8K1GuNT0lZJt0w")</f>
        <v>https://disk.360.yandex.ru/d/8K1GuNT0lZJt0w</v>
      </c>
      <c r="U88" s="13" t="str">
        <f>IFERROR(__xludf.DUMMYFUNCTION("""COMPUTED_VALUE"""),"Собран")</f>
        <v>Собран</v>
      </c>
      <c r="V88" s="15">
        <f>IFERROR(__xludf.DUMMYFUNCTION("""COMPUTED_VALUE"""),46045.0)</f>
        <v>46045</v>
      </c>
      <c r="W88" s="15">
        <f>IFERROR(__xludf.DUMMYFUNCTION("""COMPUTED_VALUE"""),45987.0)</f>
        <v>45987</v>
      </c>
      <c r="X88" s="15">
        <f>IFERROR(__xludf.DUMMYFUNCTION("""COMPUTED_VALUE"""),46045.0)</f>
        <v>46045</v>
      </c>
      <c r="Y88" s="16" t="str">
        <f>IFERROR(__xludf.DUMMYFUNCTION("""COMPUTED_VALUE"""),"https://disk.yandex.ru/d/zBV_CvH4eeTP4g")</f>
        <v>https://disk.yandex.ru/d/zBV_CvH4eeTP4g</v>
      </c>
      <c r="Z88" s="13"/>
      <c r="AA88" s="13"/>
    </row>
    <row r="89">
      <c r="A89" s="13" t="str">
        <f>IFERROR(__xludf.DUMMYFUNCTION("""COMPUTED_VALUE"""),"Оформлен")</f>
        <v>Оформлен</v>
      </c>
      <c r="B89" s="13" t="str">
        <f>IFERROR(__xludf.DUMMYFUNCTION("""COMPUTED_VALUE"""),"Чайхана")</f>
        <v>Чайхана</v>
      </c>
      <c r="C89" s="13" t="str">
        <f>IFERROR(__xludf.DUMMYFUNCTION("""COMPUTED_VALUE"""),"Москва")</f>
        <v>Москва</v>
      </c>
      <c r="D89" s="13" t="str">
        <f>IFERROR(__xludf.DUMMYFUNCTION("""COMPUTED_VALUE"""),"Повар")</f>
        <v>Повар</v>
      </c>
      <c r="E89" s="13" t="str">
        <f>IFERROR(__xludf.DUMMYFUNCTION("""COMPUTED_VALUE"""),"Ходынский б-р 20А")</f>
        <v>Ходынский б-р 20А</v>
      </c>
      <c r="F89" s="13" t="str">
        <f>IFERROR(__xludf.DUMMYFUNCTION("""COMPUTED_VALUE"""),"Договор1")</f>
        <v>Договор1</v>
      </c>
      <c r="G89" s="15">
        <f>IFERROR(__xludf.DUMMYFUNCTION("""COMPUTED_VALUE"""),46049.0)</f>
        <v>46049</v>
      </c>
      <c r="H89" s="13"/>
      <c r="I89" s="13">
        <f>IFERROR(__xludf.DUMMYFUNCTION("""COMPUTED_VALUE"""),7.000117523E10)</f>
        <v>70001175230</v>
      </c>
      <c r="J89" s="13">
        <f>IFERROR(__xludf.DUMMYFUNCTION("""COMPUTED_VALUE"""),50.0)</f>
        <v>50</v>
      </c>
      <c r="K89" s="13">
        <f>IFERROR(__xludf.DUMMYFUNCTION("""COMPUTED_VALUE"""),2.50044431E9)</f>
        <v>2500444310</v>
      </c>
      <c r="L89" s="14" t="str">
        <f>IFERROR(__xludf.DUMMYFUNCTION("""COMPUTED_VALUE"""),"ПР")</f>
        <v>ПР</v>
      </c>
      <c r="M89" s="13">
        <f>IFERROR(__xludf.DUMMYFUNCTION("""COMPUTED_VALUE"""),6903095.0)</f>
        <v>6903095</v>
      </c>
      <c r="N89" s="15">
        <f>IFERROR(__xludf.DUMMYFUNCTION("""COMPUTED_VALUE"""),43872.0)</f>
        <v>43872</v>
      </c>
      <c r="O89" s="15">
        <f>IFERROR(__xludf.DUMMYFUNCTION("""COMPUTED_VALUE"""),28460.0)</f>
        <v>28460</v>
      </c>
      <c r="P89" s="13" t="str">
        <f>IFERROR(__xludf.DUMMYFUNCTION("""COMPUTED_VALUE"""),"FA1144541")</f>
        <v>FA1144541</v>
      </c>
      <c r="Q89" s="13" t="str">
        <f>IFERROR(__xludf.DUMMYFUNCTION("""COMPUTED_VALUE"""),"Узоков Рустам Рахматуллаевич")</f>
        <v>Узоков Рустам Рахматуллаевич</v>
      </c>
      <c r="R89" s="13" t="str">
        <f>IFERROR(__xludf.DUMMYFUNCTION("""COMPUTED_VALUE"""),"79997197785")</f>
        <v>79997197785</v>
      </c>
      <c r="S89" s="13" t="str">
        <f>IFERROR(__xludf.DUMMYFUNCTION("""COMPUTED_VALUE"""),"Узбекистан")</f>
        <v>Узбекистан</v>
      </c>
      <c r="T89" s="16" t="str">
        <f>IFERROR(__xludf.DUMMYFUNCTION("""COMPUTED_VALUE"""),"https://disk.360.yandex.ru/d/yE8lkZk6y1-_rA")</f>
        <v>https://disk.360.yandex.ru/d/yE8lkZk6y1-_rA</v>
      </c>
      <c r="U89" s="13" t="str">
        <f>IFERROR(__xludf.DUMMYFUNCTION("""COMPUTED_VALUE"""),"Собран")</f>
        <v>Собран</v>
      </c>
      <c r="V89" s="15">
        <f>IFERROR(__xludf.DUMMYFUNCTION("""COMPUTED_VALUE"""),46068.0)</f>
        <v>46068</v>
      </c>
      <c r="W89" s="15">
        <f>IFERROR(__xludf.DUMMYFUNCTION("""COMPUTED_VALUE"""),46009.0)</f>
        <v>46009</v>
      </c>
      <c r="X89" s="15">
        <f>IFERROR(__xludf.DUMMYFUNCTION("""COMPUTED_VALUE"""),46045.0)</f>
        <v>46045</v>
      </c>
      <c r="Y89" s="16" t="str">
        <f>IFERROR(__xludf.DUMMYFUNCTION("""COMPUTED_VALUE"""),"https://disk.yandex.ru/d/vzYyPBZ69ERKng")</f>
        <v>https://disk.yandex.ru/d/vzYyPBZ69ERKng</v>
      </c>
      <c r="Z89" s="13"/>
      <c r="AA89" s="13"/>
    </row>
    <row r="90">
      <c r="A90" s="13" t="str">
        <f>IFERROR(__xludf.DUMMYFUNCTION("""COMPUTED_VALUE"""),"Оформлен")</f>
        <v>Оформлен</v>
      </c>
      <c r="B90" s="13" t="str">
        <f>IFERROR(__xludf.DUMMYFUNCTION("""COMPUTED_VALUE"""),"Чайхана")</f>
        <v>Чайхана</v>
      </c>
      <c r="C90" s="13" t="str">
        <f>IFERROR(__xludf.DUMMYFUNCTION("""COMPUTED_VALUE"""),"Москва")</f>
        <v>Москва</v>
      </c>
      <c r="D90" s="13" t="str">
        <f>IFERROR(__xludf.DUMMYFUNCTION("""COMPUTED_VALUE"""),"Повар")</f>
        <v>Повар</v>
      </c>
      <c r="E90" s="13" t="str">
        <f>IFERROR(__xludf.DUMMYFUNCTION("""COMPUTED_VALUE"""),"Часовая 11 стр 2")</f>
        <v>Часовая 11 стр 2</v>
      </c>
      <c r="F90" s="13" t="str">
        <f>IFERROR(__xludf.DUMMYFUNCTION("""COMPUTED_VALUE"""),"Договор1")</f>
        <v>Договор1</v>
      </c>
      <c r="G90" s="15"/>
      <c r="H90" s="13"/>
      <c r="I90" s="13">
        <f>IFERROR(__xludf.DUMMYFUNCTION("""COMPUTED_VALUE"""),1.65070409534E11)</f>
        <v>165070409534</v>
      </c>
      <c r="J90" s="13">
        <f>IFERROR(__xludf.DUMMYFUNCTION("""COMPUTED_VALUE"""),77.0)</f>
        <v>77</v>
      </c>
      <c r="K90" s="13">
        <f>IFERROR(__xludf.DUMMYFUNCTION("""COMPUTED_VALUE"""),2.600000785E9)</f>
        <v>2600000785</v>
      </c>
      <c r="L90" s="14" t="str">
        <f>IFERROR(__xludf.DUMMYFUNCTION("""COMPUTED_VALUE"""),"ПР")</f>
        <v>ПР</v>
      </c>
      <c r="M90" s="13">
        <f>IFERROR(__xludf.DUMMYFUNCTION("""COMPUTED_VALUE"""),6759491.0)</f>
        <v>6759491</v>
      </c>
      <c r="N90" s="15">
        <f>IFERROR(__xludf.DUMMYFUNCTION("""COMPUTED_VALUE"""),44280.0)</f>
        <v>44280</v>
      </c>
      <c r="O90" s="15">
        <f>IFERROR(__xludf.DUMMYFUNCTION("""COMPUTED_VALUE"""),28715.0)</f>
        <v>28715</v>
      </c>
      <c r="P90" s="13" t="str">
        <f>IFERROR(__xludf.DUMMYFUNCTION("""COMPUTED_VALUE"""),"FA2463113")</f>
        <v>FA2463113</v>
      </c>
      <c r="Q90" s="13" t="str">
        <f>IFERROR(__xludf.DUMMYFUNCTION("""COMPUTED_VALUE"""),"Косимова Фарида Жазиловна")</f>
        <v>Косимова Фарида Жазиловна</v>
      </c>
      <c r="R90" s="13" t="str">
        <f>IFERROR(__xludf.DUMMYFUNCTION("""COMPUTED_VALUE"""),"79274990078")</f>
        <v>79274990078</v>
      </c>
      <c r="S90" s="13" t="str">
        <f>IFERROR(__xludf.DUMMYFUNCTION("""COMPUTED_VALUE"""),"Узбекистан")</f>
        <v>Узбекистан</v>
      </c>
      <c r="T90" s="16" t="str">
        <f>IFERROR(__xludf.DUMMYFUNCTION("""COMPUTED_VALUE"""),"https://disk.yandex.ru/d/Ep51HSs9DYwOGw")</f>
        <v>https://disk.yandex.ru/d/Ep51HSs9DYwOGw</v>
      </c>
      <c r="U90" s="13" t="str">
        <f>IFERROR(__xludf.DUMMYFUNCTION("""COMPUTED_VALUE"""),"Собран")</f>
        <v>Собран</v>
      </c>
      <c r="V90" s="15">
        <f>IFERROR(__xludf.DUMMYFUNCTION("""COMPUTED_VALUE"""),46073.0)</f>
        <v>46073</v>
      </c>
      <c r="W90" s="15">
        <f>IFERROR(__xludf.DUMMYFUNCTION("""COMPUTED_VALUE"""),46034.0)</f>
        <v>46034</v>
      </c>
      <c r="X90" s="15">
        <f>IFERROR(__xludf.DUMMYFUNCTION("""COMPUTED_VALUE"""),46048.0)</f>
        <v>46048</v>
      </c>
      <c r="Y90" s="16" t="str">
        <f>IFERROR(__xludf.DUMMYFUNCTION("""COMPUTED_VALUE"""),"https://disk.yandex.ru/d/MqSNPDJY8Y6ppQ")</f>
        <v>https://disk.yandex.ru/d/MqSNPDJY8Y6ppQ</v>
      </c>
      <c r="Z90" s="13"/>
      <c r="AA90" s="13"/>
    </row>
    <row r="91">
      <c r="A91" s="13" t="str">
        <f>IFERROR(__xludf.DUMMYFUNCTION("""COMPUTED_VALUE"""),"Оформлен")</f>
        <v>Оформлен</v>
      </c>
      <c r="B91" s="13" t="str">
        <f>IFERROR(__xludf.DUMMYFUNCTION("""COMPUTED_VALUE"""),"Пекарня")</f>
        <v>Пекарня</v>
      </c>
      <c r="C91" s="13" t="str">
        <f>IFERROR(__xludf.DUMMYFUNCTION("""COMPUTED_VALUE"""),"Москва")</f>
        <v>Москва</v>
      </c>
      <c r="D91" s="13" t="str">
        <f>IFERROR(__xludf.DUMMYFUNCTION("""COMPUTED_VALUE"""),"Повар")</f>
        <v>Повар</v>
      </c>
      <c r="E91" s="13" t="str">
        <f>IFERROR(__xludf.DUMMYFUNCTION("""COMPUTED_VALUE"""),"Бескудниковский бульвар д.12")</f>
        <v>Бескудниковский бульвар д.12</v>
      </c>
      <c r="F91" s="13" t="str">
        <f>IFERROR(__xludf.DUMMYFUNCTION("""COMPUTED_VALUE"""),"Договор1")</f>
        <v>Договор1</v>
      </c>
      <c r="G91" s="15"/>
      <c r="H91" s="13"/>
      <c r="I91" s="13"/>
      <c r="J91" s="13">
        <f>IFERROR(__xludf.DUMMYFUNCTION("""COMPUTED_VALUE"""),77.0)</f>
        <v>77</v>
      </c>
      <c r="K91" s="13">
        <f>IFERROR(__xludf.DUMMYFUNCTION("""COMPUTED_VALUE"""),2.500637395E9)</f>
        <v>2500637395</v>
      </c>
      <c r="L91" s="14" t="str">
        <f>IFERROR(__xludf.DUMMYFUNCTION("""COMPUTED_VALUE"""),"ПР")</f>
        <v>ПР</v>
      </c>
      <c r="M91" s="13">
        <f>IFERROR(__xludf.DUMMYFUNCTION("""COMPUTED_VALUE"""),6727592.0)</f>
        <v>6727592</v>
      </c>
      <c r="N91" s="15">
        <f>IFERROR(__xludf.DUMMYFUNCTION("""COMPUTED_VALUE"""),45001.0)</f>
        <v>45001</v>
      </c>
      <c r="O91" s="15">
        <f>IFERROR(__xludf.DUMMYFUNCTION("""COMPUTED_VALUE"""),34516.0)</f>
        <v>34516</v>
      </c>
      <c r="P91" s="13" t="str">
        <f>IFERROR(__xludf.DUMMYFUNCTION("""COMPUTED_VALUE"""),"FA7436460")</f>
        <v>FA7436460</v>
      </c>
      <c r="Q91" s="13" t="str">
        <f>IFERROR(__xludf.DUMMYFUNCTION("""COMPUTED_VALUE"""),"Исомиддинов Мухаммадризо Илхомжон Угли")</f>
        <v>Исомиддинов Мухаммадризо Илхомжон Угли</v>
      </c>
      <c r="R91" s="13" t="str">
        <f>IFERROR(__xludf.DUMMYFUNCTION("""COMPUTED_VALUE"""),"79017181662")</f>
        <v>79017181662</v>
      </c>
      <c r="S91" s="13" t="str">
        <f>IFERROR(__xludf.DUMMYFUNCTION("""COMPUTED_VALUE"""),"Узбекистан")</f>
        <v>Узбекистан</v>
      </c>
      <c r="T91" s="16" t="str">
        <f>IFERROR(__xludf.DUMMYFUNCTION("""COMPUTED_VALUE"""),"https://disk.360.yandex.ru/d/N6tX0StSa9HdTw")</f>
        <v>https://disk.360.yandex.ru/d/N6tX0StSa9HdTw</v>
      </c>
      <c r="U91" s="13" t="str">
        <f>IFERROR(__xludf.DUMMYFUNCTION("""COMPUTED_VALUE"""),"Собран")</f>
        <v>Собран</v>
      </c>
      <c r="V91" s="15">
        <f>IFERROR(__xludf.DUMMYFUNCTION("""COMPUTED_VALUE"""),46037.0)</f>
        <v>46037</v>
      </c>
      <c r="W91" s="15">
        <f>IFERROR(__xludf.DUMMYFUNCTION("""COMPUTED_VALUE"""),46002.0)</f>
        <v>46002</v>
      </c>
      <c r="X91" s="15">
        <f>IFERROR(__xludf.DUMMYFUNCTION("""COMPUTED_VALUE"""),46050.0)</f>
        <v>46050</v>
      </c>
      <c r="Y91" s="16" t="str">
        <f>IFERROR(__xludf.DUMMYFUNCTION("""COMPUTED_VALUE"""),"https://disk.yandex.ru/d/9fH8hdGqAIPc5w")</f>
        <v>https://disk.yandex.ru/d/9fH8hdGqAIPc5w</v>
      </c>
      <c r="Z91" s="13"/>
      <c r="AA91" s="13"/>
    </row>
    <row r="92">
      <c r="A92" s="13" t="str">
        <f>IFERROR(__xludf.DUMMYFUNCTION("""COMPUTED_VALUE"""),"Оформлен")</f>
        <v>Оформлен</v>
      </c>
      <c r="B92" s="13" t="str">
        <f>IFERROR(__xludf.DUMMYFUNCTION("""COMPUTED_VALUE"""),"Чайхана")</f>
        <v>Чайхана</v>
      </c>
      <c r="C92" s="13" t="str">
        <f>IFERROR(__xludf.DUMMYFUNCTION("""COMPUTED_VALUE"""),"Москва")</f>
        <v>Москва</v>
      </c>
      <c r="D92" s="13" t="str">
        <f>IFERROR(__xludf.DUMMYFUNCTION("""COMPUTED_VALUE"""),"Уборщик")</f>
        <v>Уборщик</v>
      </c>
      <c r="E92" s="13" t="str">
        <f>IFERROR(__xludf.DUMMYFUNCTION("""COMPUTED_VALUE"""),"Складочная 20А, стр. 16")</f>
        <v>Складочная 20А, стр. 16</v>
      </c>
      <c r="F92" s="13" t="str">
        <f>IFERROR(__xludf.DUMMYFUNCTION("""COMPUTED_VALUE"""),"Договор2")</f>
        <v>Договор2</v>
      </c>
      <c r="G92" s="15"/>
      <c r="H92" s="13"/>
      <c r="I92" s="13"/>
      <c r="J92" s="13"/>
      <c r="K92" s="13"/>
      <c r="L92" s="14"/>
      <c r="M92" s="13"/>
      <c r="N92" s="15">
        <f>IFERROR(__xludf.DUMMYFUNCTION("""COMPUTED_VALUE"""),43361.0)</f>
        <v>43361</v>
      </c>
      <c r="O92" s="15">
        <f>IFERROR(__xludf.DUMMYFUNCTION("""COMPUTED_VALUE"""),24171.0)</f>
        <v>24171</v>
      </c>
      <c r="P92" s="13" t="str">
        <f>IFERROR(__xludf.DUMMYFUNCTION("""COMPUTED_VALUE"""),"AC3417614")</f>
        <v>AC3417614</v>
      </c>
      <c r="Q92" s="13" t="str">
        <f>IFERROR(__xludf.DUMMYFUNCTION("""COMPUTED_VALUE"""),"Осоров Равшанбек")</f>
        <v>Осоров Равшанбек</v>
      </c>
      <c r="R92" s="13" t="str">
        <f>IFERROR(__xludf.DUMMYFUNCTION("""COMPUTED_VALUE"""),"79966659566")</f>
        <v>79966659566</v>
      </c>
      <c r="S92" s="13" t="str">
        <f>IFERROR(__xludf.DUMMYFUNCTION("""COMPUTED_VALUE"""),"Кыргызстан")</f>
        <v>Кыргызстан</v>
      </c>
      <c r="T92" s="16" t="str">
        <f>IFERROR(__xludf.DUMMYFUNCTION("""COMPUTED_VALUE"""),"https://disk.yandex.ru/d/QQmw3nOrn0JTtA")</f>
        <v>https://disk.yandex.ru/d/QQmw3nOrn0JTtA</v>
      </c>
      <c r="U92" s="13" t="str">
        <f>IFERROR(__xludf.DUMMYFUNCTION("""COMPUTED_VALUE"""),"Собран")</f>
        <v>Собран</v>
      </c>
      <c r="V92" s="15">
        <f>IFERROR(__xludf.DUMMYFUNCTION("""COMPUTED_VALUE"""),46096.0)</f>
        <v>46096</v>
      </c>
      <c r="W92" s="15"/>
      <c r="X92" s="15">
        <f>IFERROR(__xludf.DUMMYFUNCTION("""COMPUTED_VALUE"""),46052.0)</f>
        <v>46052</v>
      </c>
      <c r="Y92" s="16" t="str">
        <f>IFERROR(__xludf.DUMMYFUNCTION("""COMPUTED_VALUE"""),"https://disk.yandex.ru/d/1tjAONTzBY7byA")</f>
        <v>https://disk.yandex.ru/d/1tjAONTzBY7byA</v>
      </c>
      <c r="Z92" s="13"/>
      <c r="AA92" s="13"/>
    </row>
    <row r="93">
      <c r="A93" s="13" t="str">
        <f>IFERROR(__xludf.DUMMYFUNCTION("""COMPUTED_VALUE"""),"Оформлен")</f>
        <v>Оформлен</v>
      </c>
      <c r="B93" s="13" t="str">
        <f>IFERROR(__xludf.DUMMYFUNCTION("""COMPUTED_VALUE"""),"Чайхана")</f>
        <v>Чайхана</v>
      </c>
      <c r="C93" s="13" t="str">
        <f>IFERROR(__xludf.DUMMYFUNCTION("""COMPUTED_VALUE"""),"Москва")</f>
        <v>Москва</v>
      </c>
      <c r="D93" s="13" t="str">
        <f>IFERROR(__xludf.DUMMYFUNCTION("""COMPUTED_VALUE"""),"Повар")</f>
        <v>Повар</v>
      </c>
      <c r="E93" s="13" t="str">
        <f>IFERROR(__xludf.DUMMYFUNCTION("""COMPUTED_VALUE"""),"Часовая 11 стр 2")</f>
        <v>Часовая 11 стр 2</v>
      </c>
      <c r="F93" s="13" t="str">
        <f>IFERROR(__xludf.DUMMYFUNCTION("""COMPUTED_VALUE"""),"Договор2")</f>
        <v>Договор2</v>
      </c>
      <c r="G93" s="15"/>
      <c r="H93" s="13"/>
      <c r="I93" s="13">
        <f>IFERROR(__xludf.DUMMYFUNCTION("""COMPUTED_VALUE"""),5.0092336627E11)</f>
        <v>500923366270</v>
      </c>
      <c r="J93" s="13">
        <f>IFERROR(__xludf.DUMMYFUNCTION("""COMPUTED_VALUE"""),77.0)</f>
        <v>77</v>
      </c>
      <c r="K93" s="13">
        <f>IFERROR(__xludf.DUMMYFUNCTION("""COMPUTED_VALUE"""),2.600008018E9)</f>
        <v>2600008018</v>
      </c>
      <c r="L93" s="14" t="str">
        <f>IFERROR(__xludf.DUMMYFUNCTION("""COMPUTED_VALUE"""),"ПР")</f>
        <v>ПР</v>
      </c>
      <c r="M93" s="13">
        <f>IFERROR(__xludf.DUMMYFUNCTION("""COMPUTED_VALUE"""),6768070.0)</f>
        <v>6768070</v>
      </c>
      <c r="N93" s="15">
        <f>IFERROR(__xludf.DUMMYFUNCTION("""COMPUTED_VALUE"""),44820.0)</f>
        <v>44820</v>
      </c>
      <c r="O93" s="15">
        <f>IFERROR(__xludf.DUMMYFUNCTION("""COMPUTED_VALUE"""),33166.0)</f>
        <v>33166</v>
      </c>
      <c r="P93" s="13" t="str">
        <f>IFERROR(__xludf.DUMMYFUNCTION("""COMPUTED_VALUE"""),"FA6365620")</f>
        <v>FA6365620</v>
      </c>
      <c r="Q93" s="13" t="str">
        <f>IFERROR(__xludf.DUMMYFUNCTION("""COMPUTED_VALUE"""),"Саксанова Курсия Анваровна")</f>
        <v>Саксанова Курсия Анваровна</v>
      </c>
      <c r="R93" s="13" t="str">
        <f>IFERROR(__xludf.DUMMYFUNCTION("""COMPUTED_VALUE"""),"79309216600")</f>
        <v>79309216600</v>
      </c>
      <c r="S93" s="13" t="str">
        <f>IFERROR(__xludf.DUMMYFUNCTION("""COMPUTED_VALUE"""),"Узбекистан")</f>
        <v>Узбекистан</v>
      </c>
      <c r="T93" s="16" t="str">
        <f>IFERROR(__xludf.DUMMYFUNCTION("""COMPUTED_VALUE"""),"https://disk.360.yandex.ru/d/mZvXdEDhVsmk5Q")</f>
        <v>https://disk.360.yandex.ru/d/mZvXdEDhVsmk5Q</v>
      </c>
      <c r="U93" s="13" t="str">
        <f>IFERROR(__xludf.DUMMYFUNCTION("""COMPUTED_VALUE"""),"Собран")</f>
        <v>Собран</v>
      </c>
      <c r="V93" s="15">
        <f>IFERROR(__xludf.DUMMYFUNCTION("""COMPUTED_VALUE"""),46070.0)</f>
        <v>46070</v>
      </c>
      <c r="W93" s="15">
        <f>IFERROR(__xludf.DUMMYFUNCTION("""COMPUTED_VALUE"""),46038.0)</f>
        <v>46038</v>
      </c>
      <c r="X93" s="15">
        <f>IFERROR(__xludf.DUMMYFUNCTION("""COMPUTED_VALUE"""),46054.0)</f>
        <v>46054</v>
      </c>
      <c r="Y93" s="16" t="str">
        <f>IFERROR(__xludf.DUMMYFUNCTION("""COMPUTED_VALUE"""),"https://disk.360.yandex.ru/d/Q959pdbbXkh2dA")</f>
        <v>https://disk.360.yandex.ru/d/Q959pdbbXkh2dA</v>
      </c>
      <c r="Z93" s="13"/>
      <c r="AA93" s="13"/>
    </row>
    <row r="94">
      <c r="A94" s="13" t="str">
        <f>IFERROR(__xludf.DUMMYFUNCTION("""COMPUTED_VALUE"""),"Оформлен")</f>
        <v>Оформлен</v>
      </c>
      <c r="B94" s="13" t="str">
        <f>IFERROR(__xludf.DUMMYFUNCTION("""COMPUTED_VALUE"""),"Чайхана")</f>
        <v>Чайхана</v>
      </c>
      <c r="C94" s="13" t="str">
        <f>IFERROR(__xludf.DUMMYFUNCTION("""COMPUTED_VALUE"""),"Москва")</f>
        <v>Москва</v>
      </c>
      <c r="D94" s="13" t="str">
        <f>IFERROR(__xludf.DUMMYFUNCTION("""COMPUTED_VALUE"""),"Кассир")</f>
        <v>Кассир</v>
      </c>
      <c r="E94" s="13" t="str">
        <f>IFERROR(__xludf.DUMMYFUNCTION("""COMPUTED_VALUE"""),"Часовая 11 стр 2")</f>
        <v>Часовая 11 стр 2</v>
      </c>
      <c r="F94" s="13" t="str">
        <f>IFERROR(__xludf.DUMMYFUNCTION("""COMPUTED_VALUE"""),"Договор2")</f>
        <v>Договор2</v>
      </c>
      <c r="G94" s="15"/>
      <c r="H94" s="13"/>
      <c r="I94" s="13">
        <f>IFERROR(__xludf.DUMMYFUNCTION("""COMPUTED_VALUE"""),7.71487989675E11)</f>
        <v>771487989675</v>
      </c>
      <c r="J94" s="13"/>
      <c r="K94" s="13"/>
      <c r="L94" s="14"/>
      <c r="M94" s="13"/>
      <c r="N94" s="15">
        <f>IFERROR(__xludf.DUMMYFUNCTION("""COMPUTED_VALUE"""),45273.0)</f>
        <v>45273</v>
      </c>
      <c r="O94" s="15">
        <f>IFERROR(__xludf.DUMMYFUNCTION("""COMPUTED_VALUE"""),38888.0)</f>
        <v>38888</v>
      </c>
      <c r="P94" s="13" t="str">
        <f>IFERROR(__xludf.DUMMYFUNCTION("""COMPUTED_VALUE"""),"405116904")</f>
        <v>405116904</v>
      </c>
      <c r="Q94" s="13" t="str">
        <f>IFERROR(__xludf.DUMMYFUNCTION("""COMPUTED_VALUE"""),"Дониёрзода Сурайё Муфтохиддин")</f>
        <v>Дониёрзода Сурайё Муфтохиддин</v>
      </c>
      <c r="R94" s="13" t="str">
        <f>IFERROR(__xludf.DUMMYFUNCTION("""COMPUTED_VALUE"""),"79377648587")</f>
        <v>79377648587</v>
      </c>
      <c r="S94" s="13" t="str">
        <f>IFERROR(__xludf.DUMMYFUNCTION("""COMPUTED_VALUE"""),"Таджикистан")</f>
        <v>Таджикистан</v>
      </c>
      <c r="T94" s="16" t="str">
        <f>IFERROR(__xludf.DUMMYFUNCTION("""COMPUTED_VALUE"""),"https://disk.yandex.ru/d/7M9x6GXLKDP1iw")</f>
        <v>https://disk.yandex.ru/d/7M9x6GXLKDP1iw</v>
      </c>
      <c r="U94" s="13" t="str">
        <f>IFERROR(__xludf.DUMMYFUNCTION("""COMPUTED_VALUE"""),"собран")</f>
        <v>собран</v>
      </c>
      <c r="V94" s="15">
        <f>IFERROR(__xludf.DUMMYFUNCTION("""COMPUTED_VALUE"""),46113.0)</f>
        <v>46113</v>
      </c>
      <c r="W94" s="15"/>
      <c r="X94" s="15">
        <f>IFERROR(__xludf.DUMMYFUNCTION("""COMPUTED_VALUE"""),46056.0)</f>
        <v>46056</v>
      </c>
      <c r="Y94" s="16" t="str">
        <f>IFERROR(__xludf.DUMMYFUNCTION("""COMPUTED_VALUE"""),"https://disk.360.yandex.ru/d/odBHMz80xptZsQ")</f>
        <v>https://disk.360.yandex.ru/d/odBHMz80xptZsQ</v>
      </c>
      <c r="Z94" s="13"/>
      <c r="AA94" s="13"/>
    </row>
    <row r="95">
      <c r="A95" s="13" t="str">
        <f>IFERROR(__xludf.DUMMYFUNCTION("""COMPUTED_VALUE"""),"Оформлен")</f>
        <v>Оформлен</v>
      </c>
      <c r="B95" s="13" t="str">
        <f>IFERROR(__xludf.DUMMYFUNCTION("""COMPUTED_VALUE"""),"Чайхана")</f>
        <v>Чайхана</v>
      </c>
      <c r="C95" s="13" t="str">
        <f>IFERROR(__xludf.DUMMYFUNCTION("""COMPUTED_VALUE"""),"Москва")</f>
        <v>Москва</v>
      </c>
      <c r="D95" s="13" t="str">
        <f>IFERROR(__xludf.DUMMYFUNCTION("""COMPUTED_VALUE"""),"Повар")</f>
        <v>Повар</v>
      </c>
      <c r="E95" s="13" t="str">
        <f>IFERROR(__xludf.DUMMYFUNCTION("""COMPUTED_VALUE"""),"Бутырская 89 стр 2")</f>
        <v>Бутырская 89 стр 2</v>
      </c>
      <c r="F95" s="13" t="str">
        <f>IFERROR(__xludf.DUMMYFUNCTION("""COMPUTED_VALUE"""),"Договор2")</f>
        <v>Договор2</v>
      </c>
      <c r="G95" s="15"/>
      <c r="H95" s="13"/>
      <c r="I95" s="13">
        <f>IFERROR(__xludf.DUMMYFUNCTION("""COMPUTED_VALUE"""),4.02513629575E11)</f>
        <v>402513629575</v>
      </c>
      <c r="J95" s="13">
        <f>IFERROR(__xludf.DUMMYFUNCTION("""COMPUTED_VALUE"""),77.0)</f>
        <v>77</v>
      </c>
      <c r="K95" s="13">
        <f>IFERROR(__xludf.DUMMYFUNCTION("""COMPUTED_VALUE"""),2.500010087E9)</f>
        <v>2500010087</v>
      </c>
      <c r="L95" s="14" t="str">
        <f>IFERROR(__xludf.DUMMYFUNCTION("""COMPUTED_VALUE"""),"ПР")</f>
        <v>ПР</v>
      </c>
      <c r="M95" s="13">
        <f>IFERROR(__xludf.DUMMYFUNCTION("""COMPUTED_VALUE"""),6748700.0)</f>
        <v>6748700</v>
      </c>
      <c r="N95" s="15">
        <f>IFERROR(__xludf.DUMMYFUNCTION("""COMPUTED_VALUE"""),44224.0)</f>
        <v>44224</v>
      </c>
      <c r="O95" s="15">
        <f>IFERROR(__xludf.DUMMYFUNCTION("""COMPUTED_VALUE"""),37572.0)</f>
        <v>37572</v>
      </c>
      <c r="P95" s="13" t="str">
        <f>IFERROR(__xludf.DUMMYFUNCTION("""COMPUTED_VALUE"""),"FA1877927")</f>
        <v>FA1877927</v>
      </c>
      <c r="Q95" s="13" t="str">
        <f>IFERROR(__xludf.DUMMYFUNCTION("""COMPUTED_VALUE"""),"Абдурахмонов Улугбек Камбарали Угли")</f>
        <v>Абдурахмонов Улугбек Камбарали Угли</v>
      </c>
      <c r="R95" s="13" t="str">
        <f>IFERROR(__xludf.DUMMYFUNCTION("""COMPUTED_VALUE"""),"79691382161")</f>
        <v>79691382161</v>
      </c>
      <c r="S95" s="13" t="str">
        <f>IFERROR(__xludf.DUMMYFUNCTION("""COMPUTED_VALUE"""),"Узбекистан")</f>
        <v>Узбекистан</v>
      </c>
      <c r="T95" s="16" t="str">
        <f>IFERROR(__xludf.DUMMYFUNCTION("""COMPUTED_VALUE"""),"https://disk.360.yandex.ru/d/Dld0mmI922JpOA")</f>
        <v>https://disk.360.yandex.ru/d/Dld0mmI922JpOA</v>
      </c>
      <c r="U95" s="13" t="str">
        <f>IFERROR(__xludf.DUMMYFUNCTION("""COMPUTED_VALUE"""),"Собран")</f>
        <v>Собран</v>
      </c>
      <c r="V95" s="15">
        <f>IFERROR(__xludf.DUMMYFUNCTION("""COMPUTED_VALUE"""),46063.0)</f>
        <v>46063</v>
      </c>
      <c r="W95" s="15">
        <f>IFERROR(__xludf.DUMMYFUNCTION("""COMPUTED_VALUE"""),46036.0)</f>
        <v>46036</v>
      </c>
      <c r="X95" s="15">
        <f>IFERROR(__xludf.DUMMYFUNCTION("""COMPUTED_VALUE"""),46056.0)</f>
        <v>46056</v>
      </c>
      <c r="Y95" s="16" t="str">
        <f>IFERROR(__xludf.DUMMYFUNCTION("""COMPUTED_VALUE"""),"https://disk.yandex.ru/d/AUcaGxCQEW3ngw")</f>
        <v>https://disk.yandex.ru/d/AUcaGxCQEW3ngw</v>
      </c>
      <c r="Z95" s="13"/>
      <c r="AA95" s="13"/>
    </row>
    <row r="96">
      <c r="A96" s="13" t="str">
        <f>IFERROR(__xludf.DUMMYFUNCTION("""COMPUTED_VALUE"""),"Оформлен")</f>
        <v>Оформлен</v>
      </c>
      <c r="B96" s="13" t="str">
        <f>IFERROR(__xludf.DUMMYFUNCTION("""COMPUTED_VALUE"""),"Чайхана")</f>
        <v>Чайхана</v>
      </c>
      <c r="C96" s="13" t="str">
        <f>IFERROR(__xludf.DUMMYFUNCTION("""COMPUTED_VALUE"""),"Москва")</f>
        <v>Москва</v>
      </c>
      <c r="D96" s="13" t="str">
        <f>IFERROR(__xludf.DUMMYFUNCTION("""COMPUTED_VALUE"""),"Повар")</f>
        <v>Повар</v>
      </c>
      <c r="E96" s="13" t="str">
        <f>IFERROR(__xludf.DUMMYFUNCTION("""COMPUTED_VALUE"""),"Ул. Савеловская линия 9")</f>
        <v>Ул. Савеловская линия 9</v>
      </c>
      <c r="F96" s="13" t="str">
        <f>IFERROR(__xludf.DUMMYFUNCTION("""COMPUTED_VALUE"""),"Договор2")</f>
        <v>Договор2</v>
      </c>
      <c r="G96" s="15"/>
      <c r="H96" s="13"/>
      <c r="I96" s="13">
        <f>IFERROR(__xludf.DUMMYFUNCTION("""COMPUTED_VALUE"""),7.75160172385E11)</f>
        <v>775160172385</v>
      </c>
      <c r="J96" s="13">
        <f>IFERROR(__xludf.DUMMYFUNCTION("""COMPUTED_VALUE"""),77.0)</f>
        <v>77</v>
      </c>
      <c r="K96" s="13">
        <f>IFERROR(__xludf.DUMMYFUNCTION("""COMPUTED_VALUE"""),2.500648365E9)</f>
        <v>2500648365</v>
      </c>
      <c r="L96" s="14" t="str">
        <f>IFERROR(__xludf.DUMMYFUNCTION("""COMPUTED_VALUE"""),"ПР")</f>
        <v>ПР</v>
      </c>
      <c r="M96" s="13">
        <f>IFERROR(__xludf.DUMMYFUNCTION("""COMPUTED_VALUE"""),6736434.0)</f>
        <v>6736434</v>
      </c>
      <c r="N96" s="15">
        <f>IFERROR(__xludf.DUMMYFUNCTION("""COMPUTED_VALUE"""),45554.0)</f>
        <v>45554</v>
      </c>
      <c r="O96" s="15">
        <f>IFERROR(__xludf.DUMMYFUNCTION("""COMPUTED_VALUE"""),35915.0)</f>
        <v>35915</v>
      </c>
      <c r="P96" s="13" t="str">
        <f>IFERROR(__xludf.DUMMYFUNCTION("""COMPUTED_VALUE"""),"FB0002712")</f>
        <v>FB0002712</v>
      </c>
      <c r="Q96" s="13" t="str">
        <f>IFERROR(__xludf.DUMMYFUNCTION("""COMPUTED_VALUE"""),"Анорбоев Учкун Сафарали угли")</f>
        <v>Анорбоев Учкун Сафарали угли</v>
      </c>
      <c r="R96" s="13" t="str">
        <f>IFERROR(__xludf.DUMMYFUNCTION("""COMPUTED_VALUE"""),"79035193511")</f>
        <v>79035193511</v>
      </c>
      <c r="S96" s="13" t="str">
        <f>IFERROR(__xludf.DUMMYFUNCTION("""COMPUTED_VALUE"""),"Узбекистан")</f>
        <v>Узбекистан</v>
      </c>
      <c r="T96" s="16" t="str">
        <f>IFERROR(__xludf.DUMMYFUNCTION("""COMPUTED_VALUE"""),"https://disk.360.yandex.ru/d/SYZIUPCkxPj1qQ")</f>
        <v>https://disk.360.yandex.ru/d/SYZIUPCkxPj1qQ</v>
      </c>
      <c r="U96" s="13" t="str">
        <f>IFERROR(__xludf.DUMMYFUNCTION("""COMPUTED_VALUE"""),"Собран")</f>
        <v>Собран</v>
      </c>
      <c r="V96" s="15">
        <f>IFERROR(__xludf.DUMMYFUNCTION("""COMPUTED_VALUE"""),46048.0)</f>
        <v>46048</v>
      </c>
      <c r="W96" s="15">
        <f>IFERROR(__xludf.DUMMYFUNCTION("""COMPUTED_VALUE"""),46008.0)</f>
        <v>46008</v>
      </c>
      <c r="X96" s="15">
        <f>IFERROR(__xludf.DUMMYFUNCTION("""COMPUTED_VALUE"""),46056.0)</f>
        <v>46056</v>
      </c>
      <c r="Y96" s="16" t="str">
        <f>IFERROR(__xludf.DUMMYFUNCTION("""COMPUTED_VALUE"""),"https://disk.yandex.ru/d/k2XGNc6eqaigtg")</f>
        <v>https://disk.yandex.ru/d/k2XGNc6eqaigtg</v>
      </c>
      <c r="Z96" s="13"/>
      <c r="AA96" s="13"/>
    </row>
    <row r="97">
      <c r="A97" s="13" t="str">
        <f>IFERROR(__xludf.DUMMYFUNCTION("""COMPUTED_VALUE"""),"Оформлен")</f>
        <v>Оформлен</v>
      </c>
      <c r="B97" s="13" t="str">
        <f>IFERROR(__xludf.DUMMYFUNCTION("""COMPUTED_VALUE"""),"Чайхана")</f>
        <v>Чайхана</v>
      </c>
      <c r="C97" s="13" t="str">
        <f>IFERROR(__xludf.DUMMYFUNCTION("""COMPUTED_VALUE"""),"Москва")</f>
        <v>Москва</v>
      </c>
      <c r="D97" s="13" t="str">
        <f>IFERROR(__xludf.DUMMYFUNCTION("""COMPUTED_VALUE"""),"Уборщица")</f>
        <v>Уборщица</v>
      </c>
      <c r="E97" s="13" t="str">
        <f>IFERROR(__xludf.DUMMYFUNCTION("""COMPUTED_VALUE"""),"Чайхана Красная Пресня 29")</f>
        <v>Чайхана Красная Пресня 29</v>
      </c>
      <c r="F97" s="13" t="str">
        <f>IFERROR(__xludf.DUMMYFUNCTION("""COMPUTED_VALUE"""),"Договор2")</f>
        <v>Договор2</v>
      </c>
      <c r="G97" s="15"/>
      <c r="H97" s="13"/>
      <c r="I97" s="13">
        <f>IFERROR(__xludf.DUMMYFUNCTION("""COMPUTED_VALUE"""),9.7130559086E11)</f>
        <v>971305590860</v>
      </c>
      <c r="J97" s="13">
        <f>IFERROR(__xludf.DUMMYFUNCTION("""COMPUTED_VALUE"""),77.0)</f>
        <v>77</v>
      </c>
      <c r="K97" s="13">
        <f>IFERROR(__xludf.DUMMYFUNCTION("""COMPUTED_VALUE"""),2.500644531E9)</f>
        <v>2500644531</v>
      </c>
      <c r="L97" s="14" t="str">
        <f>IFERROR(__xludf.DUMMYFUNCTION("""COMPUTED_VALUE"""),"ПР")</f>
        <v>ПР</v>
      </c>
      <c r="M97" s="13">
        <f>IFERROR(__xludf.DUMMYFUNCTION("""COMPUTED_VALUE"""),6733869.0)</f>
        <v>6733869</v>
      </c>
      <c r="N97" s="15">
        <f>IFERROR(__xludf.DUMMYFUNCTION("""COMPUTED_VALUE"""),45715.0)</f>
        <v>45715</v>
      </c>
      <c r="O97" s="15">
        <f>IFERROR(__xludf.DUMMYFUNCTION("""COMPUTED_VALUE"""),35783.0)</f>
        <v>35783</v>
      </c>
      <c r="P97" s="13" t="str">
        <f>IFERROR(__xludf.DUMMYFUNCTION("""COMPUTED_VALUE"""),"FK0642743")</f>
        <v>FK0642743</v>
      </c>
      <c r="Q97" s="13" t="str">
        <f>IFERROR(__xludf.DUMMYFUNCTION("""COMPUTED_VALUE"""),"Адилбаева Умида Айбек кизи")</f>
        <v>Адилбаева Умида Айбек кизи</v>
      </c>
      <c r="R97" s="13" t="str">
        <f>IFERROR(__xludf.DUMMYFUNCTION("""COMPUTED_VALUE"""),"79890950860")</f>
        <v>79890950860</v>
      </c>
      <c r="S97" s="13" t="str">
        <f>IFERROR(__xludf.DUMMYFUNCTION("""COMPUTED_VALUE"""),"Узбекистан")</f>
        <v>Узбекистан</v>
      </c>
      <c r="T97" s="16" t="str">
        <f>IFERROR(__xludf.DUMMYFUNCTION("""COMPUTED_VALUE"""),"https://disk.yandex.ru/d/EjkwAVx5vSYCmw")</f>
        <v>https://disk.yandex.ru/d/EjkwAVx5vSYCmw</v>
      </c>
      <c r="U97" s="13" t="str">
        <f>IFERROR(__xludf.DUMMYFUNCTION("""COMPUTED_VALUE"""),"Собран")</f>
        <v>Собран</v>
      </c>
      <c r="V97" s="15">
        <f>IFERROR(__xludf.DUMMYFUNCTION("""COMPUTED_VALUE"""),46073.0)</f>
        <v>46073</v>
      </c>
      <c r="W97" s="15">
        <f>IFERROR(__xludf.DUMMYFUNCTION("""COMPUTED_VALUE"""),46007.0)</f>
        <v>46007</v>
      </c>
      <c r="X97" s="15">
        <f>IFERROR(__xludf.DUMMYFUNCTION("""COMPUTED_VALUE"""),46057.0)</f>
        <v>46057</v>
      </c>
      <c r="Y97" s="16" t="str">
        <f>IFERROR(__xludf.DUMMYFUNCTION("""COMPUTED_VALUE"""),"https://disk.360.yandex.ru/d/AzlTHhb5Q4Th6w")</f>
        <v>https://disk.360.yandex.ru/d/AzlTHhb5Q4Th6w</v>
      </c>
      <c r="Z97" s="13"/>
      <c r="AA97" s="13"/>
    </row>
    <row r="98">
      <c r="A98" s="13" t="str">
        <f>IFERROR(__xludf.DUMMYFUNCTION("""COMPUTED_VALUE"""),"Оформлен")</f>
        <v>Оформлен</v>
      </c>
      <c r="B98" s="13" t="str">
        <f>IFERROR(__xludf.DUMMYFUNCTION("""COMPUTED_VALUE"""),"Чайхана")</f>
        <v>Чайхана</v>
      </c>
      <c r="C98" s="13" t="str">
        <f>IFERROR(__xludf.DUMMYFUNCTION("""COMPUTED_VALUE"""),"Москва")</f>
        <v>Москва</v>
      </c>
      <c r="D98" s="13" t="str">
        <f>IFERROR(__xludf.DUMMYFUNCTION("""COMPUTED_VALUE"""),"Уборщица")</f>
        <v>Уборщица</v>
      </c>
      <c r="E98" s="13" t="str">
        <f>IFERROR(__xludf.DUMMYFUNCTION("""COMPUTED_VALUE"""),"Смольная улица 24Гс6")</f>
        <v>Смольная улица 24Гс6</v>
      </c>
      <c r="F98" s="13" t="str">
        <f>IFERROR(__xludf.DUMMYFUNCTION("""COMPUTED_VALUE"""),"подан")</f>
        <v>подан</v>
      </c>
      <c r="G98" s="15"/>
      <c r="H98" s="13"/>
      <c r="I98" s="13">
        <f>IFERROR(__xludf.DUMMYFUNCTION("""COMPUTED_VALUE"""),2.3122678899E11)</f>
        <v>231226788990</v>
      </c>
      <c r="J98" s="13">
        <f>IFERROR(__xludf.DUMMYFUNCTION("""COMPUTED_VALUE"""),77.0)</f>
        <v>77</v>
      </c>
      <c r="K98" s="13">
        <f>IFERROR(__xludf.DUMMYFUNCTION("""COMPUTED_VALUE"""),2.500547678E9)</f>
        <v>2500547678</v>
      </c>
      <c r="L98" s="14" t="str">
        <f>IFERROR(__xludf.DUMMYFUNCTION("""COMPUTED_VALUE"""),"ПР")</f>
        <v>ПР</v>
      </c>
      <c r="M98" s="13">
        <f>IFERROR(__xludf.DUMMYFUNCTION("""COMPUTED_VALUE"""),6149215.0)</f>
        <v>6149215</v>
      </c>
      <c r="N98" s="15">
        <f>IFERROR(__xludf.DUMMYFUNCTION("""COMPUTED_VALUE"""),44284.0)</f>
        <v>44284</v>
      </c>
      <c r="O98" s="15">
        <f>IFERROR(__xludf.DUMMYFUNCTION("""COMPUTED_VALUE"""),28470.0)</f>
        <v>28470</v>
      </c>
      <c r="P98" s="13" t="str">
        <f>IFERROR(__xludf.DUMMYFUNCTION("""COMPUTED_VALUE"""),"403227044")</f>
        <v>403227044</v>
      </c>
      <c r="Q98" s="13" t="str">
        <f>IFERROR(__xludf.DUMMYFUNCTION("""COMPUTED_VALUE"""),"Маджидова Амонгул Абдулмуродовна")</f>
        <v>Маджидова Амонгул Абдулмуродовна</v>
      </c>
      <c r="R98" s="13" t="str">
        <f>IFERROR(__xludf.DUMMYFUNCTION("""COMPUTED_VALUE"""),"79180245751")</f>
        <v>79180245751</v>
      </c>
      <c r="S98" s="13" t="str">
        <f>IFERROR(__xludf.DUMMYFUNCTION("""COMPUTED_VALUE"""),"Таджикистан")</f>
        <v>Таджикистан</v>
      </c>
      <c r="T98" s="16" t="str">
        <f>IFERROR(__xludf.DUMMYFUNCTION("""COMPUTED_VALUE"""),"https://disk.yandex.ru/d/QJpUU0vbpJI7eA")</f>
        <v>https://disk.yandex.ru/d/QJpUU0vbpJI7eA</v>
      </c>
      <c r="U98" s="13" t="str">
        <f>IFERROR(__xludf.DUMMYFUNCTION("""COMPUTED_VALUE"""),"Собран")</f>
        <v>Собран</v>
      </c>
      <c r="V98" s="15"/>
      <c r="W98" s="15">
        <f>IFERROR(__xludf.DUMMYFUNCTION("""COMPUTED_VALUE"""),45939.0)</f>
        <v>45939</v>
      </c>
      <c r="X98" s="15">
        <f>IFERROR(__xludf.DUMMYFUNCTION("""COMPUTED_VALUE"""),46059.0)</f>
        <v>46059</v>
      </c>
      <c r="Y98" s="16" t="str">
        <f>IFERROR(__xludf.DUMMYFUNCTION("""COMPUTED_VALUE"""),"https://disk.yandex.ru/d/lkN2sM8qaUUu9w")</f>
        <v>https://disk.yandex.ru/d/lkN2sM8qaUUu9w</v>
      </c>
      <c r="Z98" s="13"/>
      <c r="AA98" s="13"/>
    </row>
    <row r="99">
      <c r="A99" s="13" t="str">
        <f>IFERROR(__xludf.DUMMYFUNCTION("""COMPUTED_VALUE"""),"Оформлен")</f>
        <v>Оформлен</v>
      </c>
      <c r="B99" s="13" t="str">
        <f>IFERROR(__xludf.DUMMYFUNCTION("""COMPUTED_VALUE"""),"Чайхана")</f>
        <v>Чайхана</v>
      </c>
      <c r="C99" s="13" t="str">
        <f>IFERROR(__xludf.DUMMYFUNCTION("""COMPUTED_VALUE"""),"Москва")</f>
        <v>Москва</v>
      </c>
      <c r="D99" s="13" t="str">
        <f>IFERROR(__xludf.DUMMYFUNCTION("""COMPUTED_VALUE"""),"Повар")</f>
        <v>Повар</v>
      </c>
      <c r="E99" s="13" t="str">
        <f>IFERROR(__xludf.DUMMYFUNCTION("""COMPUTED_VALUE"""),"Бутырская 89 стр 2")</f>
        <v>Бутырская 89 стр 2</v>
      </c>
      <c r="F99" s="13" t="str">
        <f>IFERROR(__xludf.DUMMYFUNCTION("""COMPUTED_VALUE"""),"+ чек")</f>
        <v>+ чек</v>
      </c>
      <c r="G99" s="15"/>
      <c r="H99" s="13"/>
      <c r="I99" s="13">
        <f>IFERROR(__xludf.DUMMYFUNCTION("""COMPUTED_VALUE"""),7.81724641498E11)</f>
        <v>781724641498</v>
      </c>
      <c r="J99" s="13">
        <f>IFERROR(__xludf.DUMMYFUNCTION("""COMPUTED_VALUE"""),77.0)</f>
        <v>77</v>
      </c>
      <c r="K99" s="13">
        <f>IFERROR(__xludf.DUMMYFUNCTION("""COMPUTED_VALUE"""),2.500522602E9)</f>
        <v>2500522602</v>
      </c>
      <c r="L99" s="14" t="str">
        <f>IFERROR(__xludf.DUMMYFUNCTION("""COMPUTED_VALUE"""),"ПР")</f>
        <v>ПР</v>
      </c>
      <c r="M99" s="13">
        <f>IFERROR(__xludf.DUMMYFUNCTION("""COMPUTED_VALUE"""),6124981.0)</f>
        <v>6124981</v>
      </c>
      <c r="N99" s="15">
        <f>IFERROR(__xludf.DUMMYFUNCTION("""COMPUTED_VALUE"""),45803.0)</f>
        <v>45803</v>
      </c>
      <c r="O99" s="15">
        <f>IFERROR(__xludf.DUMMYFUNCTION("""COMPUTED_VALUE"""),26840.0)</f>
        <v>26840</v>
      </c>
      <c r="P99" s="13" t="str">
        <f>IFERROR(__xludf.DUMMYFUNCTION("""COMPUTED_VALUE"""),"FB1156153")</f>
        <v>FB1156153</v>
      </c>
      <c r="Q99" s="13" t="str">
        <f>IFERROR(__xludf.DUMMYFUNCTION("""COMPUTED_VALUE"""),"Холбаева Феруза")</f>
        <v>Холбаева Феруза</v>
      </c>
      <c r="R99" s="13" t="str">
        <f>IFERROR(__xludf.DUMMYFUNCTION("""COMPUTED_VALUE"""),"79694901782")</f>
        <v>79694901782</v>
      </c>
      <c r="S99" s="13" t="str">
        <f>IFERROR(__xludf.DUMMYFUNCTION("""COMPUTED_VALUE"""),"Узбекистан")</f>
        <v>Узбекистан</v>
      </c>
      <c r="T99" s="16" t="str">
        <f>IFERROR(__xludf.DUMMYFUNCTION("""COMPUTED_VALUE"""),"https://disk.360.yandex.ru/d/6htF2D8eSBVHxw")</f>
        <v>https://disk.360.yandex.ru/d/6htF2D8eSBVHxw</v>
      </c>
      <c r="U99" s="13" t="str">
        <f>IFERROR(__xludf.DUMMYFUNCTION("""COMPUTED_VALUE"""),"Собран")</f>
        <v>Собран</v>
      </c>
      <c r="V99" s="15">
        <f>IFERROR(__xludf.DUMMYFUNCTION("""COMPUTED_VALUE"""),46076.0)</f>
        <v>46076</v>
      </c>
      <c r="W99" s="15">
        <f>IFERROR(__xludf.DUMMYFUNCTION("""COMPUTED_VALUE"""),45925.0)</f>
        <v>45925</v>
      </c>
      <c r="X99" s="15">
        <f>IFERROR(__xludf.DUMMYFUNCTION("""COMPUTED_VALUE"""),46059.0)</f>
        <v>46059</v>
      </c>
      <c r="Y99" s="16" t="str">
        <f>IFERROR(__xludf.DUMMYFUNCTION("""COMPUTED_VALUE"""),"https://disk.yandex.ru/d/zxb3R_iKzWZbGg")</f>
        <v>https://disk.yandex.ru/d/zxb3R_iKzWZbGg</v>
      </c>
      <c r="Z99" s="13"/>
      <c r="AA99" s="13"/>
    </row>
    <row r="100">
      <c r="A100" s="13" t="str">
        <f>IFERROR(__xludf.DUMMYFUNCTION("""COMPUTED_VALUE"""),"Оформлен")</f>
        <v>Оформлен</v>
      </c>
      <c r="B100" s="13" t="str">
        <f>IFERROR(__xludf.DUMMYFUNCTION("""COMPUTED_VALUE"""),"Пекарня")</f>
        <v>Пекарня</v>
      </c>
      <c r="C100" s="13" t="str">
        <f>IFERROR(__xludf.DUMMYFUNCTION("""COMPUTED_VALUE"""),"Москва")</f>
        <v>Москва</v>
      </c>
      <c r="D100" s="13" t="str">
        <f>IFERROR(__xludf.DUMMYFUNCTION("""COMPUTED_VALUE"""),"Повар")</f>
        <v>Повар</v>
      </c>
      <c r="E100" s="13"/>
      <c r="F100" s="13"/>
      <c r="G100" s="15"/>
      <c r="H100" s="13"/>
      <c r="I100" s="13">
        <f>IFERROR(__xludf.DUMMYFUNCTION("""COMPUTED_VALUE"""),7.75145656303E11)</f>
        <v>775145656303</v>
      </c>
      <c r="J100" s="13">
        <f>IFERROR(__xludf.DUMMYFUNCTION("""COMPUTED_VALUE"""),77.0)</f>
        <v>77</v>
      </c>
      <c r="K100" s="13">
        <f>IFERROR(__xludf.DUMMYFUNCTION("""COMPUTED_VALUE"""),2.500638155E9)</f>
        <v>2500638155</v>
      </c>
      <c r="L100" s="14" t="str">
        <f>IFERROR(__xludf.DUMMYFUNCTION("""COMPUTED_VALUE"""),"ПР")</f>
        <v>ПР</v>
      </c>
      <c r="M100" s="13">
        <f>IFERROR(__xludf.DUMMYFUNCTION("""COMPUTED_VALUE"""),6726816.0)</f>
        <v>6726816</v>
      </c>
      <c r="N100" s="15">
        <f>IFERROR(__xludf.DUMMYFUNCTION("""COMPUTED_VALUE"""),44604.0)</f>
        <v>44604</v>
      </c>
      <c r="O100" s="15">
        <f>IFERROR(__xludf.DUMMYFUNCTION("""COMPUTED_VALUE"""),35964.0)</f>
        <v>35964</v>
      </c>
      <c r="P100" s="13" t="str">
        <f>IFERROR(__xludf.DUMMYFUNCTION("""COMPUTED_VALUE"""),"FA4997549")</f>
        <v>FA4997549</v>
      </c>
      <c r="Q100" s="13" t="str">
        <f>IFERROR(__xludf.DUMMYFUNCTION("""COMPUTED_VALUE"""),"Абдуллаев Оятулло")</f>
        <v>Абдуллаев Оятулло</v>
      </c>
      <c r="R100" s="13" t="str">
        <f>IFERROR(__xludf.DUMMYFUNCTION("""COMPUTED_VALUE"""),"79055632470")</f>
        <v>79055632470</v>
      </c>
      <c r="S100" s="13" t="str">
        <f>IFERROR(__xludf.DUMMYFUNCTION("""COMPUTED_VALUE"""),"Узбекистан")</f>
        <v>Узбекистан</v>
      </c>
      <c r="T100" s="16" t="str">
        <f>IFERROR(__xludf.DUMMYFUNCTION("""COMPUTED_VALUE"""),"https://disk.yandex.ru/d/lfnc3-tRdukFkw")</f>
        <v>https://disk.yandex.ru/d/lfnc3-tRdukFkw</v>
      </c>
      <c r="U100" s="13" t="str">
        <f>IFERROR(__xludf.DUMMYFUNCTION("""COMPUTED_VALUE"""),"Собран")</f>
        <v>Собран</v>
      </c>
      <c r="V100" s="15"/>
      <c r="W100" s="15">
        <f>IFERROR(__xludf.DUMMYFUNCTION("""COMPUTED_VALUE"""),46002.0)</f>
        <v>46002</v>
      </c>
      <c r="X100" s="15">
        <f>IFERROR(__xludf.DUMMYFUNCTION("""COMPUTED_VALUE"""),46063.0)</f>
        <v>46063</v>
      </c>
      <c r="Y100" s="16" t="str">
        <f>IFERROR(__xludf.DUMMYFUNCTION("""COMPUTED_VALUE"""),"https://disk.360.yandex.ru/d/wPHX42t0F6xPiQ")</f>
        <v>https://disk.360.yandex.ru/d/wPHX42t0F6xPiQ</v>
      </c>
      <c r="Z100" s="13"/>
      <c r="AA100" s="13"/>
    </row>
    <row r="101">
      <c r="A101" s="13" t="str">
        <f>IFERROR(__xludf.DUMMYFUNCTION("""COMPUTED_VALUE"""),"Оформлен")</f>
        <v>Оформлен</v>
      </c>
      <c r="B101" s="13" t="str">
        <f>IFERROR(__xludf.DUMMYFUNCTION("""COMPUTED_VALUE"""),"Чайхана")</f>
        <v>Чайхана</v>
      </c>
      <c r="C101" s="13" t="str">
        <f>IFERROR(__xludf.DUMMYFUNCTION("""COMPUTED_VALUE"""),"Москва")</f>
        <v>Москва</v>
      </c>
      <c r="D101" s="13" t="str">
        <f>IFERROR(__xludf.DUMMYFUNCTION("""COMPUTED_VALUE"""),"Повар")</f>
        <v>Повар</v>
      </c>
      <c r="E101" s="13" t="str">
        <f>IFERROR(__xludf.DUMMYFUNCTION("""COMPUTED_VALUE"""),"Часовая 11 стр 2")</f>
        <v>Часовая 11 стр 2</v>
      </c>
      <c r="F101" s="13"/>
      <c r="G101" s="15"/>
      <c r="H101" s="13"/>
      <c r="I101" s="13">
        <f>IFERROR(__xludf.DUMMYFUNCTION("""COMPUTED_VALUE"""),7.73426635055E11)</f>
        <v>773426635055</v>
      </c>
      <c r="J101" s="13">
        <f>IFERROR(__xludf.DUMMYFUNCTION("""COMPUTED_VALUE"""),77.0)</f>
        <v>77</v>
      </c>
      <c r="K101" s="13">
        <f>IFERROR(__xludf.DUMMYFUNCTION("""COMPUTED_VALUE"""),2.500650403E9)</f>
        <v>2500650403</v>
      </c>
      <c r="L101" s="14" t="str">
        <f>IFERROR(__xludf.DUMMYFUNCTION("""COMPUTED_VALUE"""),"ПР")</f>
        <v>ПР</v>
      </c>
      <c r="M101" s="13">
        <f>IFERROR(__xludf.DUMMYFUNCTION("""COMPUTED_VALUE"""),6737835.0)</f>
        <v>6737835</v>
      </c>
      <c r="N101" s="15">
        <f>IFERROR(__xludf.DUMMYFUNCTION("""COMPUTED_VALUE"""),44705.0)</f>
        <v>44705</v>
      </c>
      <c r="O101" s="15">
        <f>IFERROR(__xludf.DUMMYFUNCTION("""COMPUTED_VALUE"""),27786.0)</f>
        <v>27786</v>
      </c>
      <c r="P101" s="13" t="str">
        <f>IFERROR(__xludf.DUMMYFUNCTION("""COMPUTED_VALUE"""),"FA5571020")</f>
        <v>FA5571020</v>
      </c>
      <c r="Q101" s="13" t="str">
        <f>IFERROR(__xludf.DUMMYFUNCTION("""COMPUTED_VALUE"""),"Баратова Хадича")</f>
        <v>Баратова Хадича</v>
      </c>
      <c r="R101" s="13" t="str">
        <f>IFERROR(__xludf.DUMMYFUNCTION("""COMPUTED_VALUE"""),"79991129048")</f>
        <v>79991129048</v>
      </c>
      <c r="S101" s="13" t="str">
        <f>IFERROR(__xludf.DUMMYFUNCTION("""COMPUTED_VALUE"""),"Узбекистан")</f>
        <v>Узбекистан</v>
      </c>
      <c r="T101" s="16" t="str">
        <f>IFERROR(__xludf.DUMMYFUNCTION("""COMPUTED_VALUE"""),"https://disk.360.yandex.ru/d/p-Odj_ssNpWNsw")</f>
        <v>https://disk.360.yandex.ru/d/p-Odj_ssNpWNsw</v>
      </c>
      <c r="U101" s="13" t="str">
        <f>IFERROR(__xludf.DUMMYFUNCTION("""COMPUTED_VALUE"""),"Собран")</f>
        <v>Собран</v>
      </c>
      <c r="V101" s="15">
        <f>IFERROR(__xludf.DUMMYFUNCTION("""COMPUTED_VALUE"""),46048.0)</f>
        <v>46048</v>
      </c>
      <c r="W101" s="15">
        <f>IFERROR(__xludf.DUMMYFUNCTION("""COMPUTED_VALUE"""),46009.0)</f>
        <v>46009</v>
      </c>
      <c r="X101" s="15">
        <f>IFERROR(__xludf.DUMMYFUNCTION("""COMPUTED_VALUE"""),46066.0)</f>
        <v>46066</v>
      </c>
      <c r="Y101" s="16" t="str">
        <f>IFERROR(__xludf.DUMMYFUNCTION("""COMPUTED_VALUE"""),"https://disk.yandex.ru/d/fxqbkM8LlGYYzw")</f>
        <v>https://disk.yandex.ru/d/fxqbkM8LlGYYzw</v>
      </c>
      <c r="Z101" s="13"/>
      <c r="AA101" s="13"/>
    </row>
    <row r="102">
      <c r="A102" s="13" t="str">
        <f>IFERROR(__xludf.DUMMYFUNCTION("""COMPUTED_VALUE"""),"Оформлен")</f>
        <v>Оформлен</v>
      </c>
      <c r="B102" s="13" t="str">
        <f>IFERROR(__xludf.DUMMYFUNCTION("""COMPUTED_VALUE"""),"Чайхана")</f>
        <v>Чайхана</v>
      </c>
      <c r="C102" s="13" t="str">
        <f>IFERROR(__xludf.DUMMYFUNCTION("""COMPUTED_VALUE"""),"Москва")</f>
        <v>Москва</v>
      </c>
      <c r="D102" s="13" t="str">
        <f>IFERROR(__xludf.DUMMYFUNCTION("""COMPUTED_VALUE"""),"Повар")</f>
        <v>Повар</v>
      </c>
      <c r="E102" s="13" t="str">
        <f>IFERROR(__xludf.DUMMYFUNCTION("""COMPUTED_VALUE"""),"Часовая 11 стр 2")</f>
        <v>Часовая 11 стр 2</v>
      </c>
      <c r="F102" s="13"/>
      <c r="G102" s="15"/>
      <c r="H102" s="13"/>
      <c r="I102" s="13">
        <f>IFERROR(__xludf.DUMMYFUNCTION("""COMPUTED_VALUE"""),5.02774872739E11)</f>
        <v>502774872739</v>
      </c>
      <c r="J102" s="13">
        <f>IFERROR(__xludf.DUMMYFUNCTION("""COMPUTED_VALUE"""),77.0)</f>
        <v>77</v>
      </c>
      <c r="K102" s="13">
        <f>IFERROR(__xludf.DUMMYFUNCTION("""COMPUTED_VALUE"""),2.500650821E9)</f>
        <v>2500650821</v>
      </c>
      <c r="L102" s="14" t="str">
        <f>IFERROR(__xludf.DUMMYFUNCTION("""COMPUTED_VALUE"""),"ПР")</f>
        <v>ПР</v>
      </c>
      <c r="M102" s="13">
        <f>IFERROR(__xludf.DUMMYFUNCTION("""COMPUTED_VALUE"""),6739874.0)</f>
        <v>6739874</v>
      </c>
      <c r="N102" s="15">
        <f>IFERROR(__xludf.DUMMYFUNCTION("""COMPUTED_VALUE"""),45093.0)</f>
        <v>45093</v>
      </c>
      <c r="O102" s="15">
        <f>IFERROR(__xludf.DUMMYFUNCTION("""COMPUTED_VALUE"""),35862.0)</f>
        <v>35862</v>
      </c>
      <c r="P102" s="13" t="str">
        <f>IFERROR(__xludf.DUMMYFUNCTION("""COMPUTED_VALUE"""),"FA7936577")</f>
        <v>FA7936577</v>
      </c>
      <c r="Q102" s="13" t="str">
        <f>IFERROR(__xludf.DUMMYFUNCTION("""COMPUTED_VALUE"""),"Нажимова Умида Юсуф Кизи")</f>
        <v>Нажимова Умида Юсуф Кизи</v>
      </c>
      <c r="R102" s="13" t="str">
        <f>IFERROR(__xludf.DUMMYFUNCTION("""COMPUTED_VALUE"""),"79337063282")</f>
        <v>79337063282</v>
      </c>
      <c r="S102" s="13" t="str">
        <f>IFERROR(__xludf.DUMMYFUNCTION("""COMPUTED_VALUE"""),"Узбекистан")</f>
        <v>Узбекистан</v>
      </c>
      <c r="T102" s="16" t="str">
        <f>IFERROR(__xludf.DUMMYFUNCTION("""COMPUTED_VALUE"""),"https://disk.360.yandex.ru/d/TOkBZtQjzJ-51g")</f>
        <v>https://disk.360.yandex.ru/d/TOkBZtQjzJ-51g</v>
      </c>
      <c r="U102" s="13" t="str">
        <f>IFERROR(__xludf.DUMMYFUNCTION("""COMPUTED_VALUE"""),"Собран")</f>
        <v>Собран</v>
      </c>
      <c r="V102" s="15">
        <f>IFERROR(__xludf.DUMMYFUNCTION("""COMPUTED_VALUE"""),46080.0)</f>
        <v>46080</v>
      </c>
      <c r="W102" s="15">
        <f>IFERROR(__xludf.DUMMYFUNCTION("""COMPUTED_VALUE"""),46009.0)</f>
        <v>46009</v>
      </c>
      <c r="X102" s="15">
        <f>IFERROR(__xludf.DUMMYFUNCTION("""COMPUTED_VALUE"""),46066.0)</f>
        <v>46066</v>
      </c>
      <c r="Y102" s="16" t="str">
        <f>IFERROR(__xludf.DUMMYFUNCTION("""COMPUTED_VALUE"""),"https://disk.yandex.ru/d/ex16XuswSlxZnQ")</f>
        <v>https://disk.yandex.ru/d/ex16XuswSlxZnQ</v>
      </c>
      <c r="Z102" s="13"/>
      <c r="AA102" s="13"/>
    </row>
    <row r="103">
      <c r="A103" s="13" t="str">
        <f>IFERROR(__xludf.DUMMYFUNCTION("""COMPUTED_VALUE"""),"Уволен без оформления")</f>
        <v>Уволен без оформления</v>
      </c>
      <c r="B103" s="13" t="str">
        <f>IFERROR(__xludf.DUMMYFUNCTION("""COMPUTED_VALUE"""),"Чайхана")</f>
        <v>Чайхана</v>
      </c>
      <c r="C103" s="13" t="str">
        <f>IFERROR(__xludf.DUMMYFUNCTION("""COMPUTED_VALUE"""),"Москва")</f>
        <v>Москва</v>
      </c>
      <c r="D103" s="13" t="str">
        <f>IFERROR(__xludf.DUMMYFUNCTION("""COMPUTED_VALUE"""),"Кассир")</f>
        <v>Кассир</v>
      </c>
      <c r="E103" s="13" t="str">
        <f>IFERROR(__xludf.DUMMYFUNCTION("""COMPUTED_VALUE"""),"Чайхана Красная Пресня 29")</f>
        <v>Чайхана Красная Пресня 29</v>
      </c>
      <c r="F103" s="13"/>
      <c r="G103" s="15"/>
      <c r="H103" s="13"/>
      <c r="I103" s="13"/>
      <c r="J103" s="13"/>
      <c r="K103" s="13"/>
      <c r="L103" s="14"/>
      <c r="M103" s="13"/>
      <c r="N103" s="15">
        <f>IFERROR(__xludf.DUMMYFUNCTION("""COMPUTED_VALUE"""),45125.0)</f>
        <v>45125</v>
      </c>
      <c r="O103" s="15">
        <f>IFERROR(__xludf.DUMMYFUNCTION("""COMPUTED_VALUE"""),39072.0)</f>
        <v>39072</v>
      </c>
      <c r="P103" s="13" t="str">
        <f>IFERROR(__xludf.DUMMYFUNCTION("""COMPUTED_VALUE"""),"404841109")</f>
        <v>404841109</v>
      </c>
      <c r="Q103" s="13" t="str">
        <f>IFERROR(__xludf.DUMMYFUNCTION("""COMPUTED_VALUE"""),"Тогаев Обиджон")</f>
        <v>Тогаев Обиджон</v>
      </c>
      <c r="R103" s="13" t="str">
        <f>IFERROR(__xludf.DUMMYFUNCTION("""COMPUTED_VALUE"""),"79966718734")</f>
        <v>79966718734</v>
      </c>
      <c r="S103" s="13" t="str">
        <f>IFERROR(__xludf.DUMMYFUNCTION("""COMPUTED_VALUE"""),"Таджикистан")</f>
        <v>Таджикистан</v>
      </c>
      <c r="T103" s="16" t="str">
        <f>IFERROR(__xludf.DUMMYFUNCTION("""COMPUTED_VALUE"""),"https://disk.360.yandex.ru/d/A8o6fEGsXZsxKA")</f>
        <v>https://disk.360.yandex.ru/d/A8o6fEGsXZsxKA</v>
      </c>
      <c r="U103" s="13" t="str">
        <f>IFERROR(__xludf.DUMMYFUNCTION("""COMPUTED_VALUE"""),"мигр карта, амина,согласие,бот,реквизиты,чеки")</f>
        <v>мигр карта, амина,согласие,бот,реквизиты,чеки</v>
      </c>
      <c r="V103" s="15"/>
      <c r="W103" s="15">
        <f>IFERROR(__xludf.DUMMYFUNCTION("""COMPUTED_VALUE"""),45905.0)</f>
        <v>45905</v>
      </c>
      <c r="X103" s="15"/>
      <c r="Y103" s="13"/>
      <c r="Z103" s="13"/>
      <c r="AA103" s="13"/>
    </row>
    <row r="104">
      <c r="A104" s="13" t="str">
        <f>IFERROR(__xludf.DUMMYFUNCTION("""COMPUTED_VALUE"""),"Уволен без оформления")</f>
        <v>Уволен без оформления</v>
      </c>
      <c r="B104" s="13" t="str">
        <f>IFERROR(__xludf.DUMMYFUNCTION("""COMPUTED_VALUE"""),"Чайхана")</f>
        <v>Чайхана</v>
      </c>
      <c r="C104" s="13" t="str">
        <f>IFERROR(__xludf.DUMMYFUNCTION("""COMPUTED_VALUE"""),"Московская Область")</f>
        <v>Московская Область</v>
      </c>
      <c r="D104" s="13" t="str">
        <f>IFERROR(__xludf.DUMMYFUNCTION("""COMPUTED_VALUE"""),"Повар")</f>
        <v>Повар</v>
      </c>
      <c r="E104" s="13" t="str">
        <f>IFERROR(__xludf.DUMMYFUNCTION("""COMPUTED_VALUE"""),"Химки Пролетарская дом 18 ст. 7")</f>
        <v>Химки Пролетарская дом 18 ст. 7</v>
      </c>
      <c r="F104" s="13"/>
      <c r="G104" s="15"/>
      <c r="H104" s="13"/>
      <c r="I104" s="13"/>
      <c r="J104" s="13"/>
      <c r="K104" s="13"/>
      <c r="L104" s="14"/>
      <c r="M104" s="13"/>
      <c r="N104" s="15">
        <f>IFERROR(__xludf.DUMMYFUNCTION("""COMPUTED_VALUE"""),45693.0)</f>
        <v>45693</v>
      </c>
      <c r="O104" s="15">
        <f>IFERROR(__xludf.DUMMYFUNCTION("""COMPUTED_VALUE"""),32849.0)</f>
        <v>32849</v>
      </c>
      <c r="P104" s="13" t="str">
        <f>IFERROR(__xludf.DUMMYFUNCTION("""COMPUTED_VALUE"""),"FB0750857")</f>
        <v>FB0750857</v>
      </c>
      <c r="Q104" s="13" t="str">
        <f>IFERROR(__xludf.DUMMYFUNCTION("""COMPUTED_VALUE"""),"Авазова Гузал Турсуновна")</f>
        <v>Авазова Гузал Турсуновна</v>
      </c>
      <c r="R104" s="13" t="str">
        <f>IFERROR(__xludf.DUMMYFUNCTION("""COMPUTED_VALUE"""),"79801995312")</f>
        <v>79801995312</v>
      </c>
      <c r="S104" s="13" t="str">
        <f>IFERROR(__xludf.DUMMYFUNCTION("""COMPUTED_VALUE"""),"Узбекистан")</f>
        <v>Узбекистан</v>
      </c>
      <c r="T104" s="16" t="str">
        <f>IFERROR(__xludf.DUMMYFUNCTION("""COMPUTED_VALUE"""),"https://disk.yandex.ru/d/8FI7gGcQrPgcbA")</f>
        <v>https://disk.yandex.ru/d/8FI7gGcQrPgcbA</v>
      </c>
      <c r="U104" s="13" t="str">
        <f>IFERROR(__xludf.DUMMYFUNCTION("""COMPUTED_VALUE"""),"скрин с Бота")</f>
        <v>скрин с Бота</v>
      </c>
      <c r="V104" s="15">
        <f>IFERROR(__xludf.DUMMYFUNCTION("""COMPUTED_VALUE"""),46081.0)</f>
        <v>46081</v>
      </c>
      <c r="W104" s="15">
        <f>IFERROR(__xludf.DUMMYFUNCTION("""COMPUTED_VALUE"""),45994.0)</f>
        <v>45994</v>
      </c>
      <c r="X104" s="15"/>
      <c r="Y104" s="13"/>
      <c r="Z104" s="13"/>
      <c r="AA104" s="13"/>
    </row>
    <row r="105">
      <c r="A105" s="13" t="str">
        <f>IFERROR(__xludf.DUMMYFUNCTION("""COMPUTED_VALUE"""),"Уволен без оформления")</f>
        <v>Уволен без оформления</v>
      </c>
      <c r="B105" s="13" t="str">
        <f>IFERROR(__xludf.DUMMYFUNCTION("""COMPUTED_VALUE"""),"Пекарня")</f>
        <v>Пекарня</v>
      </c>
      <c r="C105" s="13" t="str">
        <f>IFERROR(__xludf.DUMMYFUNCTION("""COMPUTED_VALUE"""),"Москва")</f>
        <v>Москва</v>
      </c>
      <c r="D105" s="13" t="str">
        <f>IFERROR(__xludf.DUMMYFUNCTION("""COMPUTED_VALUE"""),"Повар")</f>
        <v>Повар</v>
      </c>
      <c r="E105" s="13" t="str">
        <f>IFERROR(__xludf.DUMMYFUNCTION("""COMPUTED_VALUE"""),"Бескудниковский бульвар д.12")</f>
        <v>Бескудниковский бульвар д.12</v>
      </c>
      <c r="F105" s="13"/>
      <c r="G105" s="15"/>
      <c r="H105" s="13"/>
      <c r="I105" s="13"/>
      <c r="J105" s="13"/>
      <c r="K105" s="13"/>
      <c r="L105" s="14"/>
      <c r="M105" s="13"/>
      <c r="N105" s="15">
        <f>IFERROR(__xludf.DUMMYFUNCTION("""COMPUTED_VALUE"""),45001.0)</f>
        <v>45001</v>
      </c>
      <c r="O105" s="15">
        <f>IFERROR(__xludf.DUMMYFUNCTION("""COMPUTED_VALUE"""),34516.0)</f>
        <v>34516</v>
      </c>
      <c r="P105" s="13" t="str">
        <f>IFERROR(__xludf.DUMMYFUNCTION("""COMPUTED_VALUE"""),"FA7436460")</f>
        <v>FA7436460</v>
      </c>
      <c r="Q105" s="13" t="str">
        <f>IFERROR(__xludf.DUMMYFUNCTION("""COMPUTED_VALUE"""),"Кенжаев Улугбек Самадович ")</f>
        <v>Кенжаев Улугбек Самадович </v>
      </c>
      <c r="R105" s="13" t="str">
        <f>IFERROR(__xludf.DUMMYFUNCTION("""COMPUTED_VALUE"""),"79258711994")</f>
        <v>79258711994</v>
      </c>
      <c r="S105" s="13" t="str">
        <f>IFERROR(__xludf.DUMMYFUNCTION("""COMPUTED_VALUE"""),"Узбекистан")</f>
        <v>Узбекистан</v>
      </c>
      <c r="T105" s="16" t="str">
        <f>IFERROR(__xludf.DUMMYFUNCTION("""COMPUTED_VALUE"""),"https://disk.360.yandex.ru/d/4dZ_dmY8huil9Q")</f>
        <v>https://disk.360.yandex.ru/d/4dZ_dmY8huil9Q</v>
      </c>
      <c r="U105" s="13" t="str">
        <f>IFERROR(__xludf.DUMMYFUNCTION("""COMPUTED_VALUE"""),"Собран")</f>
        <v>Собран</v>
      </c>
      <c r="V105" s="15">
        <f>IFERROR(__xludf.DUMMYFUNCTION("""COMPUTED_VALUE"""),46044.0)</f>
        <v>46044</v>
      </c>
      <c r="W105" s="15">
        <f>IFERROR(__xludf.DUMMYFUNCTION("""COMPUTED_VALUE"""),45926.0)</f>
        <v>45926</v>
      </c>
      <c r="X105" s="15"/>
      <c r="Y105" s="13"/>
      <c r="Z105" s="13"/>
      <c r="AA105" s="13"/>
    </row>
    <row r="106">
      <c r="A106" s="13" t="str">
        <f>IFERROR(__xludf.DUMMYFUNCTION("""COMPUTED_VALUE"""),"Уволен без оформления")</f>
        <v>Уволен без оформления</v>
      </c>
      <c r="B106" s="13" t="str">
        <f>IFERROR(__xludf.DUMMYFUNCTION("""COMPUTED_VALUE"""),"Чайхана")</f>
        <v>Чайхана</v>
      </c>
      <c r="C106" s="13" t="str">
        <f>IFERROR(__xludf.DUMMYFUNCTION("""COMPUTED_VALUE"""),"Москва")</f>
        <v>Москва</v>
      </c>
      <c r="D106" s="13" t="str">
        <f>IFERROR(__xludf.DUMMYFUNCTION("""COMPUTED_VALUE"""),"Кассир")</f>
        <v>Кассир</v>
      </c>
      <c r="E106" s="13" t="str">
        <f>IFERROR(__xludf.DUMMYFUNCTION("""COMPUTED_VALUE"""),"Часовая 11 стр 2")</f>
        <v>Часовая 11 стр 2</v>
      </c>
      <c r="F106" s="13" t="str">
        <f>IFERROR(__xludf.DUMMYFUNCTION("""COMPUTED_VALUE"""),"В РКЛ")</f>
        <v>В РКЛ</v>
      </c>
      <c r="G106" s="15"/>
      <c r="H106" s="13"/>
      <c r="I106" s="13"/>
      <c r="J106" s="13"/>
      <c r="K106" s="13"/>
      <c r="L106" s="14"/>
      <c r="M106" s="13"/>
      <c r="N106" s="15">
        <f>IFERROR(__xludf.DUMMYFUNCTION("""COMPUTED_VALUE"""),45383.0)</f>
        <v>45383</v>
      </c>
      <c r="O106" s="15">
        <f>IFERROR(__xludf.DUMMYFUNCTION("""COMPUTED_VALUE"""),38914.0)</f>
        <v>38914</v>
      </c>
      <c r="P106" s="13" t="str">
        <f>IFERROR(__xludf.DUMMYFUNCTION("""COMPUTED_VALUE"""),"PE1336294")</f>
        <v>PE1336294</v>
      </c>
      <c r="Q106" s="13" t="str">
        <f>IFERROR(__xludf.DUMMYFUNCTION("""COMPUTED_VALUE"""),"Нурланбеков Омурлан Нурланбекович")</f>
        <v>Нурланбеков Омурлан Нурланбекович</v>
      </c>
      <c r="R106" s="13" t="str">
        <f>IFERROR(__xludf.DUMMYFUNCTION("""COMPUTED_VALUE"""),"79299185427")</f>
        <v>79299185427</v>
      </c>
      <c r="S106" s="13" t="str">
        <f>IFERROR(__xludf.DUMMYFUNCTION("""COMPUTED_VALUE"""),"Кыргызстан")</f>
        <v>Кыргызстан</v>
      </c>
      <c r="T106" s="16" t="str">
        <f>IFERROR(__xludf.DUMMYFUNCTION("""COMPUTED_VALUE"""),"https://disk.360.yandex.ru/d/vWiknjiB_II1Dw")</f>
        <v>https://disk.360.yandex.ru/d/vWiknjiB_II1Dw</v>
      </c>
      <c r="U106" s="13"/>
      <c r="V106" s="15"/>
      <c r="W106" s="15"/>
      <c r="X106" s="15"/>
      <c r="Y106" s="13"/>
      <c r="Z106" s="13"/>
      <c r="AA106" s="13"/>
    </row>
    <row r="107">
      <c r="A107" s="13" t="str">
        <f>IFERROR(__xludf.DUMMYFUNCTION("""COMPUTED_VALUE"""),"Уволен без оформления")</f>
        <v>Уволен без оформления</v>
      </c>
      <c r="B107" s="13" t="str">
        <f>IFERROR(__xludf.DUMMYFUNCTION("""COMPUTED_VALUE"""),"Чайхана")</f>
        <v>Чайхана</v>
      </c>
      <c r="C107" s="13" t="str">
        <f>IFERROR(__xludf.DUMMYFUNCTION("""COMPUTED_VALUE"""),"Москва")</f>
        <v>Москва</v>
      </c>
      <c r="D107" s="13" t="str">
        <f>IFERROR(__xludf.DUMMYFUNCTION("""COMPUTED_VALUE"""),"Уборщица")</f>
        <v>Уборщица</v>
      </c>
      <c r="E107" s="13" t="str">
        <f>IFERROR(__xludf.DUMMYFUNCTION("""COMPUTED_VALUE"""),"Бутырская 89 стр 2")</f>
        <v>Бутырская 89 стр 2</v>
      </c>
      <c r="F107" s="13"/>
      <c r="G107" s="15"/>
      <c r="H107" s="13"/>
      <c r="I107" s="13"/>
      <c r="J107" s="13"/>
      <c r="K107" s="13"/>
      <c r="L107" s="14"/>
      <c r="M107" s="13"/>
      <c r="N107" s="15">
        <f>IFERROR(__xludf.DUMMYFUNCTION("""COMPUTED_VALUE"""),45127.0)</f>
        <v>45127</v>
      </c>
      <c r="O107" s="15">
        <f>IFERROR(__xludf.DUMMYFUNCTION("""COMPUTED_VALUE"""),35780.0)</f>
        <v>35780</v>
      </c>
      <c r="P107" s="13" t="str">
        <f>IFERROR(__xludf.DUMMYFUNCTION("""COMPUTED_VALUE"""),"404814473")</f>
        <v>404814473</v>
      </c>
      <c r="Q107" s="13" t="str">
        <f>IFERROR(__xludf.DUMMYFUNCTION("""COMPUTED_VALUE"""),"Муратова Саида")</f>
        <v>Муратова Саида</v>
      </c>
      <c r="R107" s="13" t="str">
        <f>IFERROR(__xludf.DUMMYFUNCTION("""COMPUTED_VALUE"""),"79940963498")</f>
        <v>79940963498</v>
      </c>
      <c r="S107" s="13" t="str">
        <f>IFERROR(__xludf.DUMMYFUNCTION("""COMPUTED_VALUE"""),"Таджикистан")</f>
        <v>Таджикистан</v>
      </c>
      <c r="T107" s="16" t="str">
        <f>IFERROR(__xludf.DUMMYFUNCTION("""COMPUTED_VALUE"""),"https://disk.360.yandex.ru/d/jixIxKxBd51c1Q")</f>
        <v>https://disk.360.yandex.ru/d/jixIxKxBd51c1Q</v>
      </c>
      <c r="U107" s="13" t="str">
        <f>IFERROR(__xludf.DUMMYFUNCTION("""COMPUTED_VALUE"""),"бот и реквизиты")</f>
        <v>бот и реквизиты</v>
      </c>
      <c r="V107" s="15">
        <f>IFERROR(__xludf.DUMMYFUNCTION("""COMPUTED_VALUE"""),46010.0)</f>
        <v>46010</v>
      </c>
      <c r="W107" s="15">
        <f>IFERROR(__xludf.DUMMYFUNCTION("""COMPUTED_VALUE"""),45978.0)</f>
        <v>45978</v>
      </c>
      <c r="X107" s="15"/>
      <c r="Y107" s="13"/>
      <c r="Z107" s="13"/>
      <c r="AA107" s="13"/>
    </row>
    <row r="108">
      <c r="A108" s="13" t="str">
        <f>IFERROR(__xludf.DUMMYFUNCTION("""COMPUTED_VALUE"""),"Уволен без оформления")</f>
        <v>Уволен без оформления</v>
      </c>
      <c r="B108" s="13" t="str">
        <f>IFERROR(__xludf.DUMMYFUNCTION("""COMPUTED_VALUE"""),"Чайхана")</f>
        <v>Чайхана</v>
      </c>
      <c r="C108" s="13" t="str">
        <f>IFERROR(__xludf.DUMMYFUNCTION("""COMPUTED_VALUE"""),"Москва")</f>
        <v>Москва</v>
      </c>
      <c r="D108" s="13" t="str">
        <f>IFERROR(__xludf.DUMMYFUNCTION("""COMPUTED_VALUE"""),"Повар")</f>
        <v>Повар</v>
      </c>
      <c r="E108" s="13" t="str">
        <f>IFERROR(__xludf.DUMMYFUNCTION("""COMPUTED_VALUE"""),"Бутырская 89 стр 2")</f>
        <v>Бутырская 89 стр 2</v>
      </c>
      <c r="F108" s="13" t="str">
        <f>IFERROR(__xludf.DUMMYFUNCTION("""COMPUTED_VALUE"""),"ОТКАЗ. В РКЛ")</f>
        <v>ОТКАЗ. В РКЛ</v>
      </c>
      <c r="G108" s="15"/>
      <c r="H108" s="13"/>
      <c r="I108" s="13"/>
      <c r="J108" s="13"/>
      <c r="K108" s="13"/>
      <c r="L108" s="14"/>
      <c r="M108" s="13"/>
      <c r="N108" s="15">
        <f>IFERROR(__xludf.DUMMYFUNCTION("""COMPUTED_VALUE"""),42576.0)</f>
        <v>42576</v>
      </c>
      <c r="O108" s="15">
        <f>IFERROR(__xludf.DUMMYFUNCTION("""COMPUTED_VALUE"""),36595.0)</f>
        <v>36595</v>
      </c>
      <c r="P108" s="13" t="str">
        <f>IFERROR(__xludf.DUMMYFUNCTION("""COMPUTED_VALUE"""),"AB4545326")</f>
        <v>AB4545326</v>
      </c>
      <c r="Q108" s="13" t="str">
        <f>IFERROR(__xludf.DUMMYFUNCTION("""COMPUTED_VALUE"""),"Исмоилов Хусанбой")</f>
        <v>Исмоилов Хусанбой</v>
      </c>
      <c r="R108" s="13" t="str">
        <f>IFERROR(__xludf.DUMMYFUNCTION("""COMPUTED_VALUE"""),"79969888664")</f>
        <v>79969888664</v>
      </c>
      <c r="S108" s="13" t="str">
        <f>IFERROR(__xludf.DUMMYFUNCTION("""COMPUTED_VALUE"""),"Узбекистан")</f>
        <v>Узбекистан</v>
      </c>
      <c r="T108" s="16" t="str">
        <f>IFERROR(__xludf.DUMMYFUNCTION("""COMPUTED_VALUE"""),"https://disk.360.yandex.ru/d/ahY_hszmYfG_pw")</f>
        <v>https://disk.360.yandex.ru/d/ahY_hszmYfG_pw</v>
      </c>
      <c r="U108" s="13" t="str">
        <f>IFERROR(__xludf.DUMMYFUNCTION("""COMPUTED_VALUE"""),"Собран")</f>
        <v>Собран</v>
      </c>
      <c r="V108" s="15"/>
      <c r="W108" s="15">
        <f>IFERROR(__xludf.DUMMYFUNCTION("""COMPUTED_VALUE"""),45642.0)</f>
        <v>45642</v>
      </c>
      <c r="X108" s="15"/>
      <c r="Y108" s="13" t="str">
        <f>IFERROR(__xludf.DUMMYFUNCTION("""COMPUTED_VALUE"""),"в работе")</f>
        <v>в работе</v>
      </c>
      <c r="Z108" s="13"/>
      <c r="AA108" s="13"/>
    </row>
    <row r="109">
      <c r="A109" s="13" t="str">
        <f>IFERROR(__xludf.DUMMYFUNCTION("""COMPUTED_VALUE"""),"Уволен без оформления")</f>
        <v>Уволен без оформления</v>
      </c>
      <c r="B109" s="13" t="str">
        <f>IFERROR(__xludf.DUMMYFUNCTION("""COMPUTED_VALUE"""),"Чайхана")</f>
        <v>Чайхана</v>
      </c>
      <c r="C109" s="13" t="str">
        <f>IFERROR(__xludf.DUMMYFUNCTION("""COMPUTED_VALUE"""),"Москва")</f>
        <v>Москва</v>
      </c>
      <c r="D109" s="13" t="str">
        <f>IFERROR(__xludf.DUMMYFUNCTION("""COMPUTED_VALUE"""),"Повар")</f>
        <v>Повар</v>
      </c>
      <c r="E109" s="13" t="str">
        <f>IFERROR(__xludf.DUMMYFUNCTION("""COMPUTED_VALUE"""),"Ходынский б-р 20А")</f>
        <v>Ходынский б-р 20А</v>
      </c>
      <c r="F109" s="13"/>
      <c r="G109" s="15"/>
      <c r="H109" s="13"/>
      <c r="I109" s="13"/>
      <c r="J109" s="13"/>
      <c r="K109" s="13"/>
      <c r="L109" s="14"/>
      <c r="M109" s="13"/>
      <c r="N109" s="15">
        <f>IFERROR(__xludf.DUMMYFUNCTION("""COMPUTED_VALUE"""),45695.0)</f>
        <v>45695</v>
      </c>
      <c r="O109" s="15">
        <f>IFERROR(__xludf.DUMMYFUNCTION("""COMPUTED_VALUE"""),35526.0)</f>
        <v>35526</v>
      </c>
      <c r="P109" s="13" t="str">
        <f>IFERROR(__xludf.DUMMYFUNCTION("""COMPUTED_VALUE"""),"FB0758642")</f>
        <v>FB0758642</v>
      </c>
      <c r="Q109" s="13" t="str">
        <f>IFERROR(__xludf.DUMMYFUNCTION("""COMPUTED_VALUE"""),"Махматов Бекзод")</f>
        <v>Махматов Бекзод</v>
      </c>
      <c r="R109" s="13" t="str">
        <f>IFERROR(__xludf.DUMMYFUNCTION("""COMPUTED_VALUE"""),"79998290697")</f>
        <v>79998290697</v>
      </c>
      <c r="S109" s="13" t="str">
        <f>IFERROR(__xludf.DUMMYFUNCTION("""COMPUTED_VALUE"""),"Узбекистан")</f>
        <v>Узбекистан</v>
      </c>
      <c r="T109" s="16" t="str">
        <f>IFERROR(__xludf.DUMMYFUNCTION("""COMPUTED_VALUE"""),"https://disk.360.yandex.ru/d/NwyZIrMuFAdEtQ")</f>
        <v>https://disk.360.yandex.ru/d/NwyZIrMuFAdEtQ</v>
      </c>
      <c r="U109" s="13" t="str">
        <f>IFERROR(__xludf.DUMMYFUNCTION("""COMPUTED_VALUE"""),"снилс документом, основная страница перевода,зеленая карта")</f>
        <v>снилс документом, основная страница перевода,зеленая карта</v>
      </c>
      <c r="V109" s="15"/>
      <c r="W109" s="15"/>
      <c r="X109" s="15"/>
      <c r="Y109" s="13"/>
      <c r="Z109" s="13"/>
      <c r="AA109" s="13"/>
    </row>
    <row r="110">
      <c r="A110" s="13" t="str">
        <f>IFERROR(__xludf.DUMMYFUNCTION("""COMPUTED_VALUE"""),"Уволен без оформления")</f>
        <v>Уволен без оформления</v>
      </c>
      <c r="B110" s="13" t="str">
        <f>IFERROR(__xludf.DUMMYFUNCTION("""COMPUTED_VALUE"""),"Чайхана")</f>
        <v>Чайхана</v>
      </c>
      <c r="C110" s="13" t="str">
        <f>IFERROR(__xludf.DUMMYFUNCTION("""COMPUTED_VALUE"""),"Московская Область")</f>
        <v>Московская Область</v>
      </c>
      <c r="D110" s="13" t="str">
        <f>IFERROR(__xludf.DUMMYFUNCTION("""COMPUTED_VALUE"""),"Повар")</f>
        <v>Повар</v>
      </c>
      <c r="E110" s="13" t="str">
        <f>IFERROR(__xludf.DUMMYFUNCTION("""COMPUTED_VALUE"""),"Химки Пролетарская дом 18 ст. 7")</f>
        <v>Химки Пролетарская дом 18 ст. 7</v>
      </c>
      <c r="F110" s="13" t="str">
        <f>IFERROR(__xludf.DUMMYFUNCTION("""COMPUTED_VALUE"""),"Уволить 29.11.2025")</f>
        <v>Уволить 29.11.2025</v>
      </c>
      <c r="G110" s="15"/>
      <c r="H110" s="13"/>
      <c r="I110" s="13"/>
      <c r="J110" s="13"/>
      <c r="K110" s="13"/>
      <c r="L110" s="14"/>
      <c r="M110" s="13"/>
      <c r="N110" s="15">
        <f>IFERROR(__xludf.DUMMYFUNCTION("""COMPUTED_VALUE"""),44598.0)</f>
        <v>44598</v>
      </c>
      <c r="O110" s="15">
        <f>IFERROR(__xludf.DUMMYFUNCTION("""COMPUTED_VALUE"""),34728.0)</f>
        <v>34728</v>
      </c>
      <c r="P110" s="13" t="str">
        <f>IFERROR(__xludf.DUMMYFUNCTION("""COMPUTED_VALUE"""),"FA4933771")</f>
        <v>FA4933771</v>
      </c>
      <c r="Q110" s="13" t="str">
        <f>IFERROR(__xludf.DUMMYFUNCTION("""COMPUTED_VALUE"""),"Совиров Отажон Азимжон")</f>
        <v>Совиров Отажон Азимжон</v>
      </c>
      <c r="R110" s="13" t="str">
        <f>IFERROR(__xludf.DUMMYFUNCTION("""COMPUTED_VALUE"""),"79067312124")</f>
        <v>79067312124</v>
      </c>
      <c r="S110" s="13" t="str">
        <f>IFERROR(__xludf.DUMMYFUNCTION("""COMPUTED_VALUE"""),"Узбекистан")</f>
        <v>Узбекистан</v>
      </c>
      <c r="T110" s="16" t="str">
        <f>IFERROR(__xludf.DUMMYFUNCTION("""COMPUTED_VALUE"""),"https://disk.360.yandex.ru/d/zynEEMQWYcPKiQ")</f>
        <v>https://disk.360.yandex.ru/d/zynEEMQWYcPKiQ</v>
      </c>
      <c r="U110" s="13" t="str">
        <f>IFERROR(__xludf.DUMMYFUNCTION("""COMPUTED_VALUE"""),"согласие, реквизиты, чек последний на патент")</f>
        <v>согласие, реквизиты, чек последний на патент</v>
      </c>
      <c r="V110" s="15"/>
      <c r="W110" s="15">
        <f>IFERROR(__xludf.DUMMYFUNCTION("""COMPUTED_VALUE"""),45750.0)</f>
        <v>45750</v>
      </c>
      <c r="X110" s="15"/>
      <c r="Y110" s="13"/>
      <c r="Z110" s="13"/>
      <c r="AA110" s="13"/>
    </row>
    <row r="111">
      <c r="A111" s="13" t="str">
        <f>IFERROR(__xludf.DUMMYFUNCTION("""COMPUTED_VALUE"""),"Уволен без оформления")</f>
        <v>Уволен без оформления</v>
      </c>
      <c r="B111" s="13" t="str">
        <f>IFERROR(__xludf.DUMMYFUNCTION("""COMPUTED_VALUE"""),"Чайхана")</f>
        <v>Чайхана</v>
      </c>
      <c r="C111" s="13" t="str">
        <f>IFERROR(__xludf.DUMMYFUNCTION("""COMPUTED_VALUE"""),"Москва")</f>
        <v>Москва</v>
      </c>
      <c r="D111" s="13" t="str">
        <f>IFERROR(__xludf.DUMMYFUNCTION("""COMPUTED_VALUE"""),"Уборщица")</f>
        <v>Уборщица</v>
      </c>
      <c r="E111" s="13" t="str">
        <f>IFERROR(__xludf.DUMMYFUNCTION("""COMPUTED_VALUE"""),"Бутырская 89 стр 2")</f>
        <v>Бутырская 89 стр 2</v>
      </c>
      <c r="F111" s="13" t="str">
        <f>IFERROR(__xludf.DUMMYFUNCTION("""COMPUTED_VALUE"""),"В Реестре Контролируемых Лиц")</f>
        <v>В Реестре Контролируемых Лиц</v>
      </c>
      <c r="G111" s="15"/>
      <c r="H111" s="13"/>
      <c r="I111" s="13"/>
      <c r="J111" s="13"/>
      <c r="K111" s="13"/>
      <c r="L111" s="14"/>
      <c r="M111" s="13"/>
      <c r="N111" s="15">
        <f>IFERROR(__xludf.DUMMYFUNCTION("""COMPUTED_VALUE"""),43032.0)</f>
        <v>43032</v>
      </c>
      <c r="O111" s="15">
        <f>IFERROR(__xludf.DUMMYFUNCTION("""COMPUTED_VALUE"""),32776.0)</f>
        <v>32776</v>
      </c>
      <c r="P111" s="13" t="str">
        <f>IFERROR(__xludf.DUMMYFUNCTION("""COMPUTED_VALUE"""),"ID0371613")</f>
        <v>ID0371613</v>
      </c>
      <c r="Q111" s="13" t="str">
        <f>IFERROR(__xludf.DUMMYFUNCTION("""COMPUTED_VALUE"""),"Камилова Юлдузхан")</f>
        <v>Камилова Юлдузхан</v>
      </c>
      <c r="R111" s="13" t="str">
        <f>IFERROR(__xludf.DUMMYFUNCTION("""COMPUTED_VALUE"""),"79969909192")</f>
        <v>79969909192</v>
      </c>
      <c r="S111" s="13" t="str">
        <f>IFERROR(__xludf.DUMMYFUNCTION("""COMPUTED_VALUE"""),"Кыргызстан")</f>
        <v>Кыргызстан</v>
      </c>
      <c r="T111" s="16" t="str">
        <f>IFERROR(__xludf.DUMMYFUNCTION("""COMPUTED_VALUE"""),"https://disk.360.yandex.ru/d/r8drESh45O6STg")</f>
        <v>https://disk.360.yandex.ru/d/r8drESh45O6STg</v>
      </c>
      <c r="U111" s="13" t="str">
        <f>IFERROR(__xludf.DUMMYFUNCTION("""COMPUTED_VALUE"""),"скрин с Бота")</f>
        <v>скрин с Бота</v>
      </c>
      <c r="V111" s="15">
        <f>IFERROR(__xludf.DUMMYFUNCTION("""COMPUTED_VALUE"""),46017.0)</f>
        <v>46017</v>
      </c>
      <c r="W111" s="15"/>
      <c r="X111" s="15"/>
      <c r="Y111" s="13"/>
      <c r="Z111" s="13"/>
      <c r="AA111" s="13"/>
    </row>
    <row r="112">
      <c r="A112" s="13" t="str">
        <f>IFERROR(__xludf.DUMMYFUNCTION("""COMPUTED_VALUE"""),"Уволен без оформления")</f>
        <v>Уволен без оформления</v>
      </c>
      <c r="B112" s="13" t="str">
        <f>IFERROR(__xludf.DUMMYFUNCTION("""COMPUTED_VALUE"""),"Чайхана")</f>
        <v>Чайхана</v>
      </c>
      <c r="C112" s="13" t="str">
        <f>IFERROR(__xludf.DUMMYFUNCTION("""COMPUTED_VALUE"""),"Москва")</f>
        <v>Москва</v>
      </c>
      <c r="D112" s="13" t="str">
        <f>IFERROR(__xludf.DUMMYFUNCTION("""COMPUTED_VALUE"""),"Повар")</f>
        <v>Повар</v>
      </c>
      <c r="E112" s="13" t="str">
        <f>IFERROR(__xludf.DUMMYFUNCTION("""COMPUTED_VALUE"""),"Смольная улица 24Гс6")</f>
        <v>Смольная улица 24Гс6</v>
      </c>
      <c r="F112" s="13"/>
      <c r="G112" s="15"/>
      <c r="H112" s="13"/>
      <c r="I112" s="13"/>
      <c r="J112" s="13"/>
      <c r="K112" s="13"/>
      <c r="L112" s="14"/>
      <c r="M112" s="13"/>
      <c r="N112" s="15">
        <f>IFERROR(__xludf.DUMMYFUNCTION("""COMPUTED_VALUE"""),44505.0)</f>
        <v>44505</v>
      </c>
      <c r="O112" s="15">
        <f>IFERROR(__xludf.DUMMYFUNCTION("""COMPUTED_VALUE"""),31790.0)</f>
        <v>31790</v>
      </c>
      <c r="P112" s="13" t="str">
        <f>IFERROR(__xludf.DUMMYFUNCTION("""COMPUTED_VALUE"""),"PE0320536")</f>
        <v>PE0320536</v>
      </c>
      <c r="Q112" s="13" t="str">
        <f>IFERROR(__xludf.DUMMYFUNCTION("""COMPUTED_VALUE"""),"Касымалиев Бекзат")</f>
        <v>Касымалиев Бекзат</v>
      </c>
      <c r="R112" s="13" t="str">
        <f>IFERROR(__xludf.DUMMYFUNCTION("""COMPUTED_VALUE"""),"79801374981")</f>
        <v>79801374981</v>
      </c>
      <c r="S112" s="13" t="str">
        <f>IFERROR(__xludf.DUMMYFUNCTION("""COMPUTED_VALUE"""),"Кыргызстан")</f>
        <v>Кыргызстан</v>
      </c>
      <c r="T112" s="16" t="str">
        <f>IFERROR(__xludf.DUMMYFUNCTION("""COMPUTED_VALUE"""),"https://disk.360.yandex.ru/d/glR077r2NZbY6w")</f>
        <v>https://disk.360.yandex.ru/d/glR077r2NZbY6w</v>
      </c>
      <c r="U112" s="13" t="str">
        <f>IFERROR(__xludf.DUMMYFUNCTION("""COMPUTED_VALUE"""),"реквизиты, скрин с Бота")</f>
        <v>реквизиты, скрин с Бота</v>
      </c>
      <c r="V112" s="15">
        <f>IFERROR(__xludf.DUMMYFUNCTION("""COMPUTED_VALUE"""),45985.0)</f>
        <v>45985</v>
      </c>
      <c r="W112" s="15"/>
      <c r="X112" s="15"/>
      <c r="Y112" s="13"/>
      <c r="Z112" s="13"/>
      <c r="AA112" s="13"/>
    </row>
    <row r="113">
      <c r="A113" s="13" t="str">
        <f>IFERROR(__xludf.DUMMYFUNCTION("""COMPUTED_VALUE"""),"Уволен/расторгнуть договор")</f>
        <v>Уволен/расторгнуть договор</v>
      </c>
      <c r="B113" s="13" t="str">
        <f>IFERROR(__xludf.DUMMYFUNCTION("""COMPUTED_VALUE"""),"Чайхана")</f>
        <v>Чайхана</v>
      </c>
      <c r="C113" s="13" t="str">
        <f>IFERROR(__xludf.DUMMYFUNCTION("""COMPUTED_VALUE"""),"Московская Область")</f>
        <v>Московская Область</v>
      </c>
      <c r="D113" s="13" t="str">
        <f>IFERROR(__xludf.DUMMYFUNCTION("""COMPUTED_VALUE"""),"Повар")</f>
        <v>Повар</v>
      </c>
      <c r="E113" s="13" t="str">
        <f>IFERROR(__xludf.DUMMYFUNCTION("""COMPUTED_VALUE"""),"Химки Пролетарская дом 18 ст. 7")</f>
        <v>Химки Пролетарская дом 18 ст. 7</v>
      </c>
      <c r="F113" s="13"/>
      <c r="G113" s="15">
        <f>IFERROR(__xludf.DUMMYFUNCTION("""COMPUTED_VALUE"""),46049.0)</f>
        <v>46049</v>
      </c>
      <c r="H113" s="13"/>
      <c r="I113" s="13"/>
      <c r="J113" s="13">
        <f>IFERROR(__xludf.DUMMYFUNCTION("""COMPUTED_VALUE"""),77.0)</f>
        <v>77</v>
      </c>
      <c r="K113" s="13">
        <f>IFERROR(__xludf.DUMMYFUNCTION("""COMPUTED_VALUE"""),2.500427546E9)</f>
        <v>2500427546</v>
      </c>
      <c r="L113" s="14" t="str">
        <f>IFERROR(__xludf.DUMMYFUNCTION("""COMPUTED_VALUE"""),"ПР")</f>
        <v>ПР</v>
      </c>
      <c r="M113" s="13">
        <f>IFERROR(__xludf.DUMMYFUNCTION("""COMPUTED_VALUE"""),6031017.0)</f>
        <v>6031017</v>
      </c>
      <c r="N113" s="15">
        <f>IFERROR(__xludf.DUMMYFUNCTION("""COMPUTED_VALUE"""),43827.0)</f>
        <v>43827</v>
      </c>
      <c r="O113" s="15">
        <f>IFERROR(__xludf.DUMMYFUNCTION("""COMPUTED_VALUE"""),36406.0)</f>
        <v>36406</v>
      </c>
      <c r="P113" s="13" t="str">
        <f>IFERROR(__xludf.DUMMYFUNCTION("""COMPUTED_VALUE"""),"FA0955342")</f>
        <v>FA0955342</v>
      </c>
      <c r="Q113" s="13" t="str">
        <f>IFERROR(__xludf.DUMMYFUNCTION("""COMPUTED_VALUE"""),"Мамадалиев Шамшод Хайрулла угли")</f>
        <v>Мамадалиев Шамшод Хайрулла угли</v>
      </c>
      <c r="R113" s="13" t="str">
        <f>IFERROR(__xludf.DUMMYFUNCTION("""COMPUTED_VALUE"""),"79309907663")</f>
        <v>79309907663</v>
      </c>
      <c r="S113" s="13" t="str">
        <f>IFERROR(__xludf.DUMMYFUNCTION("""COMPUTED_VALUE"""),"Узбекистан")</f>
        <v>Узбекистан</v>
      </c>
      <c r="T113" s="16" t="str">
        <f>IFERROR(__xludf.DUMMYFUNCTION("""COMPUTED_VALUE"""),"https://disk.360.yandex.ru/d/HqVHHbgd3eBDwQ")</f>
        <v>https://disk.360.yandex.ru/d/HqVHHbgd3eBDwQ</v>
      </c>
      <c r="U113" s="13" t="str">
        <f>IFERROR(__xludf.DUMMYFUNCTION("""COMPUTED_VALUE"""),"Собран")</f>
        <v>Собран</v>
      </c>
      <c r="V113" s="15">
        <f>IFERROR(__xludf.DUMMYFUNCTION("""COMPUTED_VALUE"""),46065.0)</f>
        <v>46065</v>
      </c>
      <c r="W113" s="15">
        <f>IFERROR(__xludf.DUMMYFUNCTION("""COMPUTED_VALUE"""),45866.0)</f>
        <v>45866</v>
      </c>
      <c r="X113" s="15">
        <f>IFERROR(__xludf.DUMMYFUNCTION("""COMPUTED_VALUE"""),45989.0)</f>
        <v>45989</v>
      </c>
      <c r="Y113" s="16" t="str">
        <f>IFERROR(__xludf.DUMMYFUNCTION("""COMPUTED_VALUE"""),"https://disk.yandex.ru/d/bK9yD_9kZ4ioUw")</f>
        <v>https://disk.yandex.ru/d/bK9yD_9kZ4ioUw</v>
      </c>
      <c r="Z113" s="13"/>
      <c r="AA113" s="13"/>
    </row>
    <row r="114">
      <c r="A114" s="13" t="str">
        <f>IFERROR(__xludf.DUMMYFUNCTION("""COMPUTED_VALUE"""),"Уволен/расторгнуть договор")</f>
        <v>Уволен/расторгнуть договор</v>
      </c>
      <c r="B114" s="13" t="str">
        <f>IFERROR(__xludf.DUMMYFUNCTION("""COMPUTED_VALUE"""),"Чайхана")</f>
        <v>Чайхана</v>
      </c>
      <c r="C114" s="13" t="str">
        <f>IFERROR(__xludf.DUMMYFUNCTION("""COMPUTED_VALUE"""),"Москва")</f>
        <v>Москва</v>
      </c>
      <c r="D114" s="13" t="str">
        <f>IFERROR(__xludf.DUMMYFUNCTION("""COMPUTED_VALUE"""),"Повар")</f>
        <v>Повар</v>
      </c>
      <c r="E114" s="13" t="str">
        <f>IFERROR(__xludf.DUMMYFUNCTION("""COMPUTED_VALUE"""),"Бутырская 89 стр 2")</f>
        <v>Бутырская 89 стр 2</v>
      </c>
      <c r="F114" s="13"/>
      <c r="G114" s="15">
        <f>IFERROR(__xludf.DUMMYFUNCTION("""COMPUTED_VALUE"""),46049.0)</f>
        <v>46049</v>
      </c>
      <c r="H114" s="13"/>
      <c r="I114" s="13"/>
      <c r="J114" s="13"/>
      <c r="K114" s="13"/>
      <c r="L114" s="14"/>
      <c r="M114" s="13"/>
      <c r="N114" s="15">
        <f>IFERROR(__xludf.DUMMYFUNCTION("""COMPUTED_VALUE"""),45140.0)</f>
        <v>45140</v>
      </c>
      <c r="O114" s="15">
        <f>IFERROR(__xludf.DUMMYFUNCTION("""COMPUTED_VALUE"""),31969.0)</f>
        <v>31969</v>
      </c>
      <c r="P114" s="13" t="str">
        <f>IFERROR(__xludf.DUMMYFUNCTION("""COMPUTED_VALUE"""),"ID3522237")</f>
        <v>ID3522237</v>
      </c>
      <c r="Q114" s="13" t="str">
        <f>IFERROR(__xludf.DUMMYFUNCTION("""COMPUTED_VALUE"""),"Курманбаева Назира")</f>
        <v>Курманбаева Назира</v>
      </c>
      <c r="R114" s="13" t="str">
        <f>IFERROR(__xludf.DUMMYFUNCTION("""COMPUTED_VALUE"""),"79167660280")</f>
        <v>79167660280</v>
      </c>
      <c r="S114" s="13" t="str">
        <f>IFERROR(__xludf.DUMMYFUNCTION("""COMPUTED_VALUE"""),"Кыргызстан")</f>
        <v>Кыргызстан</v>
      </c>
      <c r="T114" s="16" t="str">
        <f>IFERROR(__xludf.DUMMYFUNCTION("""COMPUTED_VALUE"""),"https://disk.360.yandex.ru/d/pg1S8eL3AoRJqA")</f>
        <v>https://disk.360.yandex.ru/d/pg1S8eL3AoRJqA</v>
      </c>
      <c r="U114" s="13" t="str">
        <f>IFERROR(__xludf.DUMMYFUNCTION("""COMPUTED_VALUE"""),"Собран")</f>
        <v>Собран</v>
      </c>
      <c r="V114" s="15">
        <f>IFERROR(__xludf.DUMMYFUNCTION("""COMPUTED_VALUE"""),46066.0)</f>
        <v>46066</v>
      </c>
      <c r="W114" s="15"/>
      <c r="X114" s="15">
        <f>IFERROR(__xludf.DUMMYFUNCTION("""COMPUTED_VALUE"""),45983.0)</f>
        <v>45983</v>
      </c>
      <c r="Y114" s="16" t="str">
        <f>IFERROR(__xludf.DUMMYFUNCTION("""COMPUTED_VALUE"""),"http://docbase.fixit.su/media/uploads_docs/336/req_preview_-_2025-11-24T151348.405.pdf")</f>
        <v>http://docbase.fixit.su/media/uploads_docs/336/req_preview_-_2025-11-24T151348.405.pdf</v>
      </c>
      <c r="Z114" s="13"/>
      <c r="AA114" s="13"/>
    </row>
    <row r="115">
      <c r="A115" s="13" t="str">
        <f>IFERROR(__xludf.DUMMYFUNCTION("""COMPUTED_VALUE"""),"Уволен/расторгнуть договор")</f>
        <v>Уволен/расторгнуть договор</v>
      </c>
      <c r="B115" s="13" t="str">
        <f>IFERROR(__xludf.DUMMYFUNCTION("""COMPUTED_VALUE"""),"Чайхана")</f>
        <v>Чайхана</v>
      </c>
      <c r="C115" s="13" t="str">
        <f>IFERROR(__xludf.DUMMYFUNCTION("""COMPUTED_VALUE"""),"Москва")</f>
        <v>Москва</v>
      </c>
      <c r="D115" s="13" t="str">
        <f>IFERROR(__xludf.DUMMYFUNCTION("""COMPUTED_VALUE"""),"Кассир")</f>
        <v>Кассир</v>
      </c>
      <c r="E115" s="13" t="str">
        <f>IFERROR(__xludf.DUMMYFUNCTION("""COMPUTED_VALUE"""),"Бутырская 89 стр 2")</f>
        <v>Бутырская 89 стр 2</v>
      </c>
      <c r="F115" s="13" t="str">
        <f>IFERROR(__xludf.DUMMYFUNCTION("""COMPUTED_VALUE"""),"запросили")</f>
        <v>запросили</v>
      </c>
      <c r="G115" s="15">
        <f>IFERROR(__xludf.DUMMYFUNCTION("""COMPUTED_VALUE"""),46049.0)</f>
        <v>46049</v>
      </c>
      <c r="H115" s="13"/>
      <c r="I115" s="13"/>
      <c r="J115" s="13"/>
      <c r="K115" s="13"/>
      <c r="L115" s="14"/>
      <c r="M115" s="13"/>
      <c r="N115" s="15">
        <f>IFERROR(__xludf.DUMMYFUNCTION("""COMPUTED_VALUE"""),44830.0)</f>
        <v>44830</v>
      </c>
      <c r="O115" s="15">
        <f>IFERROR(__xludf.DUMMYFUNCTION("""COMPUTED_VALUE"""),38567.0)</f>
        <v>38567</v>
      </c>
      <c r="P115" s="13" t="str">
        <f>IFERROR(__xludf.DUMMYFUNCTION("""COMPUTED_VALUE"""),"ID2989651")</f>
        <v>ID2989651</v>
      </c>
      <c r="Q115" s="13" t="str">
        <f>IFERROR(__xludf.DUMMYFUNCTION("""COMPUTED_VALUE"""),"Азимбай уулу Умар")</f>
        <v>Азимбай уулу Умар</v>
      </c>
      <c r="R115" s="13" t="str">
        <f>IFERROR(__xludf.DUMMYFUNCTION("""COMPUTED_VALUE"""),"79031140181")</f>
        <v>79031140181</v>
      </c>
      <c r="S115" s="13" t="str">
        <f>IFERROR(__xludf.DUMMYFUNCTION("""COMPUTED_VALUE"""),"Кыргызстан")</f>
        <v>Кыргызстан</v>
      </c>
      <c r="T115" s="16" t="str">
        <f>IFERROR(__xludf.DUMMYFUNCTION("""COMPUTED_VALUE"""),"https://disk.360.yandex.ru/d/zN8j41tlj-wlbw")</f>
        <v>https://disk.360.yandex.ru/d/zN8j41tlj-wlbw</v>
      </c>
      <c r="U115" s="13" t="str">
        <f>IFERROR(__xludf.DUMMYFUNCTION("""COMPUTED_VALUE"""),"дмс или омс")</f>
        <v>дмс или омс</v>
      </c>
      <c r="V115" s="15"/>
      <c r="W115" s="15"/>
      <c r="X115" s="15">
        <f>IFERROR(__xludf.DUMMYFUNCTION("""COMPUTED_VALUE"""),46021.0)</f>
        <v>46021</v>
      </c>
      <c r="Y115" s="16" t="str">
        <f>IFERROR(__xludf.DUMMYFUNCTION("""COMPUTED_VALUE"""),"https://disk.yandex.ru/d/eWqvFwB-5zoR1A")</f>
        <v>https://disk.yandex.ru/d/eWqvFwB-5zoR1A</v>
      </c>
      <c r="Z115" s="13"/>
      <c r="AA115" s="13"/>
    </row>
    <row r="116">
      <c r="A116" s="13" t="str">
        <f>IFERROR(__xludf.DUMMYFUNCTION("""COMPUTED_VALUE"""),"Уволен/расторгнуть договор")</f>
        <v>Уволен/расторгнуть договор</v>
      </c>
      <c r="B116" s="13" t="str">
        <f>IFERROR(__xludf.DUMMYFUNCTION("""COMPUTED_VALUE"""),"Чайхана")</f>
        <v>Чайхана</v>
      </c>
      <c r="C116" s="13" t="str">
        <f>IFERROR(__xludf.DUMMYFUNCTION("""COMPUTED_VALUE"""),"Москва")</f>
        <v>Москва</v>
      </c>
      <c r="D116" s="13" t="str">
        <f>IFERROR(__xludf.DUMMYFUNCTION("""COMPUTED_VALUE"""),"Повар")</f>
        <v>Повар</v>
      </c>
      <c r="E116" s="13" t="str">
        <f>IFERROR(__xludf.DUMMYFUNCTION("""COMPUTED_VALUE"""),"Улица Сущёвский Вал, 3/5")</f>
        <v>Улица Сущёвский Вал, 3/5</v>
      </c>
      <c r="F116" s="13" t="str">
        <f>IFERROR(__xludf.DUMMYFUNCTION("""COMPUTED_VALUE"""),"запросили")</f>
        <v>запросили</v>
      </c>
      <c r="G116" s="15">
        <f>IFERROR(__xludf.DUMMYFUNCTION("""COMPUTED_VALUE"""),46049.0)</f>
        <v>46049</v>
      </c>
      <c r="H116" s="13"/>
      <c r="I116" s="13"/>
      <c r="J116" s="13">
        <f>IFERROR(__xludf.DUMMYFUNCTION("""COMPUTED_VALUE"""),77.0)</f>
        <v>77</v>
      </c>
      <c r="K116" s="13">
        <f>IFERROR(__xludf.DUMMYFUNCTION("""COMPUTED_VALUE"""),2.500202084E9)</f>
        <v>2500202084</v>
      </c>
      <c r="L116" s="14" t="str">
        <f>IFERROR(__xludf.DUMMYFUNCTION("""COMPUTED_VALUE"""),"ПР")</f>
        <v>ПР</v>
      </c>
      <c r="M116" s="13">
        <f>IFERROR(__xludf.DUMMYFUNCTION("""COMPUTED_VALUE"""),5810359.0)</f>
        <v>5810359</v>
      </c>
      <c r="N116" s="15">
        <f>IFERROR(__xludf.DUMMYFUNCTION("""COMPUTED_VALUE"""),44480.0)</f>
        <v>44480</v>
      </c>
      <c r="O116" s="15">
        <f>IFERROR(__xludf.DUMMYFUNCTION("""COMPUTED_VALUE"""),38330.0)</f>
        <v>38330</v>
      </c>
      <c r="P116" s="13" t="str">
        <f>IFERROR(__xludf.DUMMYFUNCTION("""COMPUTED_VALUE"""),"403582650")</f>
        <v>403582650</v>
      </c>
      <c r="Q116" s="13" t="str">
        <f>IFERROR(__xludf.DUMMYFUNCTION("""COMPUTED_VALUE"""),"Амиров Субхон Сафолходжаевич")</f>
        <v>Амиров Субхон Сафолходжаевич</v>
      </c>
      <c r="R116" s="13" t="str">
        <f>IFERROR(__xludf.DUMMYFUNCTION("""COMPUTED_VALUE"""),"79990030384")</f>
        <v>79990030384</v>
      </c>
      <c r="S116" s="13" t="str">
        <f>IFERROR(__xludf.DUMMYFUNCTION("""COMPUTED_VALUE"""),"Таджикистан")</f>
        <v>Таджикистан</v>
      </c>
      <c r="T116" s="16" t="str">
        <f>IFERROR(__xludf.DUMMYFUNCTION("""COMPUTED_VALUE"""),"https://disk.360.yandex.ru/d/ukUlnFzHntrjew")</f>
        <v>https://disk.360.yandex.ru/d/ukUlnFzHntrjew</v>
      </c>
      <c r="U116" s="13" t="str">
        <f>IFERROR(__xludf.DUMMYFUNCTION("""COMPUTED_VALUE"""),"Последний чек об оплате патента")</f>
        <v>Последний чек об оплате патента</v>
      </c>
      <c r="V116" s="15">
        <f>IFERROR(__xludf.DUMMYFUNCTION("""COMPUTED_VALUE"""),46023.0)</f>
        <v>46023</v>
      </c>
      <c r="W116" s="15">
        <f>IFERROR(__xludf.DUMMYFUNCTION("""COMPUTED_VALUE"""),45750.0)</f>
        <v>45750</v>
      </c>
      <c r="X116" s="15">
        <f>IFERROR(__xludf.DUMMYFUNCTION("""COMPUTED_VALUE"""),46021.0)</f>
        <v>46021</v>
      </c>
      <c r="Y116" s="16" t="str">
        <f>IFERROR(__xludf.DUMMYFUNCTION("""COMPUTED_VALUE"""),"https://disk.yandex.ru/d/7bFiHcwCyDvEPA")</f>
        <v>https://disk.yandex.ru/d/7bFiHcwCyDvEPA</v>
      </c>
      <c r="Z116" s="13"/>
      <c r="AA116" s="13"/>
    </row>
    <row r="117">
      <c r="A117" s="13" t="str">
        <f>IFERROR(__xludf.DUMMYFUNCTION("""COMPUTED_VALUE"""),"Уволен/расторгнуть договор")</f>
        <v>Уволен/расторгнуть договор</v>
      </c>
      <c r="B117" s="13" t="str">
        <f>IFERROR(__xludf.DUMMYFUNCTION("""COMPUTED_VALUE"""),"Чайхана")</f>
        <v>Чайхана</v>
      </c>
      <c r="C117" s="13" t="str">
        <f>IFERROR(__xludf.DUMMYFUNCTION("""COMPUTED_VALUE"""),"Москва")</f>
        <v>Москва</v>
      </c>
      <c r="D117" s="13" t="str">
        <f>IFERROR(__xludf.DUMMYFUNCTION("""COMPUTED_VALUE"""),"Повар")</f>
        <v>Повар</v>
      </c>
      <c r="E117" s="13" t="str">
        <f>IFERROR(__xludf.DUMMYFUNCTION("""COMPUTED_VALUE"""),"Складочная 20А, стр. 16")</f>
        <v>Складочная 20А, стр. 16</v>
      </c>
      <c r="F117" s="13" t="str">
        <f>IFERROR(__xludf.DUMMYFUNCTION("""COMPUTED_VALUE"""),"скан")</f>
        <v>скан</v>
      </c>
      <c r="G117" s="15">
        <f>IFERROR(__xludf.DUMMYFUNCTION("""COMPUTED_VALUE"""),46049.0)</f>
        <v>46049</v>
      </c>
      <c r="H117" s="13"/>
      <c r="I117" s="13"/>
      <c r="J117" s="13"/>
      <c r="K117" s="13"/>
      <c r="L117" s="14"/>
      <c r="M117" s="13"/>
      <c r="N117" s="15">
        <f>IFERROR(__xludf.DUMMYFUNCTION("""COMPUTED_VALUE"""),43166.0)</f>
        <v>43166</v>
      </c>
      <c r="O117" s="15">
        <f>IFERROR(__xludf.DUMMYFUNCTION("""COMPUTED_VALUE"""),26297.0)</f>
        <v>26297</v>
      </c>
      <c r="P117" s="13" t="str">
        <f>IFERROR(__xludf.DUMMYFUNCTION("""COMPUTED_VALUE"""),"401966601")</f>
        <v>401966601</v>
      </c>
      <c r="Q117" s="13" t="str">
        <f>IFERROR(__xludf.DUMMYFUNCTION("""COMPUTED_VALUE"""),"Юсупов Хуршед Махмудович")</f>
        <v>Юсупов Хуршед Махмудович</v>
      </c>
      <c r="R117" s="13" t="str">
        <f>IFERROR(__xludf.DUMMYFUNCTION("""COMPUTED_VALUE"""),"79254502414")</f>
        <v>79254502414</v>
      </c>
      <c r="S117" s="13" t="str">
        <f>IFERROR(__xludf.DUMMYFUNCTION("""COMPUTED_VALUE"""),"Таджикистан")</f>
        <v>Таджикистан</v>
      </c>
      <c r="T117" s="16" t="str">
        <f>IFERROR(__xludf.DUMMYFUNCTION("""COMPUTED_VALUE"""),"https://disk.360.yandex.ru/d/q-xw9wrOKwOpnA")</f>
        <v>https://disk.360.yandex.ru/d/q-xw9wrOKwOpnA</v>
      </c>
      <c r="U117" s="13" t="str">
        <f>IFERROR(__xludf.DUMMYFUNCTION("""COMPUTED_VALUE"""),"Последний чек об оплате патента")</f>
        <v>Последний чек об оплате патента</v>
      </c>
      <c r="V117" s="15">
        <f>IFERROR(__xludf.DUMMYFUNCTION("""COMPUTED_VALUE"""),46014.0)</f>
        <v>46014</v>
      </c>
      <c r="W117" s="15">
        <f>IFERROR(__xludf.DUMMYFUNCTION("""COMPUTED_VALUE"""),45835.0)</f>
        <v>45835</v>
      </c>
      <c r="X117" s="15">
        <f>IFERROR(__xludf.DUMMYFUNCTION("""COMPUTED_VALUE"""),46000.0)</f>
        <v>46000</v>
      </c>
      <c r="Y117" s="16" t="str">
        <f>IFERROR(__xludf.DUMMYFUNCTION("""COMPUTED_VALUE"""),"https://disk.yandex.ru/d/MbNWtEpHiqJTOQ")</f>
        <v>https://disk.yandex.ru/d/MbNWtEpHiqJTOQ</v>
      </c>
      <c r="Z117" s="13"/>
      <c r="AA117" s="13"/>
    </row>
    <row r="118">
      <c r="A118" s="13" t="str">
        <f>IFERROR(__xludf.DUMMYFUNCTION("""COMPUTED_VALUE"""),"Уволен/расторгнуть договор")</f>
        <v>Уволен/расторгнуть договор</v>
      </c>
      <c r="B118" s="13" t="str">
        <f>IFERROR(__xludf.DUMMYFUNCTION("""COMPUTED_VALUE"""),"Чайхана")</f>
        <v>Чайхана</v>
      </c>
      <c r="C118" s="13" t="str">
        <f>IFERROR(__xludf.DUMMYFUNCTION("""COMPUTED_VALUE"""),"Москва")</f>
        <v>Москва</v>
      </c>
      <c r="D118" s="13" t="str">
        <f>IFERROR(__xludf.DUMMYFUNCTION("""COMPUTED_VALUE"""),"Повар")</f>
        <v>Повар</v>
      </c>
      <c r="E118" s="13" t="str">
        <f>IFERROR(__xludf.DUMMYFUNCTION("""COMPUTED_VALUE"""),"Проспект мира 95 стр 1")</f>
        <v>Проспект мира 95 стр 1</v>
      </c>
      <c r="F118" s="13"/>
      <c r="G118" s="15">
        <f>IFERROR(__xludf.DUMMYFUNCTION("""COMPUTED_VALUE"""),46049.0)</f>
        <v>46049</v>
      </c>
      <c r="H118" s="13"/>
      <c r="I118" s="13"/>
      <c r="J118" s="13"/>
      <c r="K118" s="13"/>
      <c r="L118" s="14"/>
      <c r="M118" s="13"/>
      <c r="N118" s="15">
        <f>IFERROR(__xludf.DUMMYFUNCTION("""COMPUTED_VALUE"""),44274.0)</f>
        <v>44274</v>
      </c>
      <c r="O118" s="15">
        <f>IFERROR(__xludf.DUMMYFUNCTION("""COMPUTED_VALUE"""),36967.0)</f>
        <v>36967</v>
      </c>
      <c r="P118" s="13" t="str">
        <f>IFERROR(__xludf.DUMMYFUNCTION("""COMPUTED_VALUE"""),"403228090")</f>
        <v>403228090</v>
      </c>
      <c r="Q118" s="13" t="str">
        <f>IFERROR(__xludf.DUMMYFUNCTION("""COMPUTED_VALUE"""),"Бокизода Начибуллохи")</f>
        <v>Бокизода Начибуллохи</v>
      </c>
      <c r="R118" s="13" t="str">
        <f>IFERROR(__xludf.DUMMYFUNCTION("""COMPUTED_VALUE"""),"79804909459")</f>
        <v>79804909459</v>
      </c>
      <c r="S118" s="13" t="str">
        <f>IFERROR(__xludf.DUMMYFUNCTION("""COMPUTED_VALUE"""),"Таджикистан")</f>
        <v>Таджикистан</v>
      </c>
      <c r="T118" s="16" t="str">
        <f>IFERROR(__xludf.DUMMYFUNCTION("""COMPUTED_VALUE"""),"https://disk.360.yandex.ru/d/0TTfTduuL3POEw")</f>
        <v>https://disk.360.yandex.ru/d/0TTfTduuL3POEw</v>
      </c>
      <c r="U118" s="13" t="str">
        <f>IFERROR(__xludf.DUMMYFUNCTION("""COMPUTED_VALUE"""),"Собран")</f>
        <v>Собран</v>
      </c>
      <c r="V118" s="15">
        <f>IFERROR(__xludf.DUMMYFUNCTION("""COMPUTED_VALUE"""),46012.0)</f>
        <v>46012</v>
      </c>
      <c r="W118" s="15">
        <f>IFERROR(__xludf.DUMMYFUNCTION("""COMPUTED_VALUE"""),45797.0)</f>
        <v>45797</v>
      </c>
      <c r="X118" s="15">
        <f>IFERROR(__xludf.DUMMYFUNCTION("""COMPUTED_VALUE"""),46041.0)</f>
        <v>46041</v>
      </c>
      <c r="Y118" s="16" t="str">
        <f>IFERROR(__xludf.DUMMYFUNCTION("""COMPUTED_VALUE"""),"https://disk.360.yandex.ru/d/zBV_CvH4eeTP4g")</f>
        <v>https://disk.360.yandex.ru/d/zBV_CvH4eeTP4g</v>
      </c>
      <c r="Z118" s="13"/>
      <c r="AA118" s="13"/>
    </row>
    <row r="119">
      <c r="A119" s="13" t="str">
        <f>IFERROR(__xludf.DUMMYFUNCTION("""COMPUTED_VALUE"""),"Уволен/расторгнуть договор")</f>
        <v>Уволен/расторгнуть договор</v>
      </c>
      <c r="B119" s="13" t="str">
        <f>IFERROR(__xludf.DUMMYFUNCTION("""COMPUTED_VALUE"""),"Чайхана")</f>
        <v>Чайхана</v>
      </c>
      <c r="C119" s="13" t="str">
        <f>IFERROR(__xludf.DUMMYFUNCTION("""COMPUTED_VALUE"""),"Москва")</f>
        <v>Москва</v>
      </c>
      <c r="D119" s="13" t="str">
        <f>IFERROR(__xludf.DUMMYFUNCTION("""COMPUTED_VALUE"""),"Повар")</f>
        <v>Повар</v>
      </c>
      <c r="E119" s="13" t="str">
        <f>IFERROR(__xludf.DUMMYFUNCTION("""COMPUTED_VALUE"""),"Ул. Савеловская линия 9")</f>
        <v>Ул. Савеловская линия 9</v>
      </c>
      <c r="F119" s="13"/>
      <c r="G119" s="15">
        <f>IFERROR(__xludf.DUMMYFUNCTION("""COMPUTED_VALUE"""),46049.0)</f>
        <v>46049</v>
      </c>
      <c r="H119" s="13"/>
      <c r="I119" s="13"/>
      <c r="J119" s="13"/>
      <c r="K119" s="13"/>
      <c r="L119" s="14"/>
      <c r="M119" s="13"/>
      <c r="N119" s="15">
        <f>IFERROR(__xludf.DUMMYFUNCTION("""COMPUTED_VALUE"""),44467.0)</f>
        <v>44467</v>
      </c>
      <c r="O119" s="15">
        <f>IFERROR(__xludf.DUMMYFUNCTION("""COMPUTED_VALUE"""),33615.0)</f>
        <v>33615</v>
      </c>
      <c r="P119" s="13" t="str">
        <f>IFERROR(__xludf.DUMMYFUNCTION("""COMPUTED_VALUE"""),"FA3979104")</f>
        <v>FA3979104</v>
      </c>
      <c r="Q119" s="13" t="str">
        <f>IFERROR(__xludf.DUMMYFUNCTION("""COMPUTED_VALUE"""),"Шерназаров Зариф Акбар Угли")</f>
        <v>Шерназаров Зариф Акбар Угли</v>
      </c>
      <c r="R119" s="13" t="str">
        <f>IFERROR(__xludf.DUMMYFUNCTION("""COMPUTED_VALUE"""),"79336677836")</f>
        <v>79336677836</v>
      </c>
      <c r="S119" s="13" t="str">
        <f>IFERROR(__xludf.DUMMYFUNCTION("""COMPUTED_VALUE"""),"Узбекистан")</f>
        <v>Узбекистан</v>
      </c>
      <c r="T119" s="16" t="str">
        <f>IFERROR(__xludf.DUMMYFUNCTION("""COMPUTED_VALUE"""),"https://disk.360.yandex.ru/d/Emhkl-xQMqafJA")</f>
        <v>https://disk.360.yandex.ru/d/Emhkl-xQMqafJA</v>
      </c>
      <c r="U119" s="13" t="str">
        <f>IFERROR(__xludf.DUMMYFUNCTION("""COMPUTED_VALUE"""),"Последний чек об оплате патента")</f>
        <v>Последний чек об оплате патента</v>
      </c>
      <c r="V119" s="15">
        <f>IFERROR(__xludf.DUMMYFUNCTION("""COMPUTED_VALUE"""),46004.0)</f>
        <v>46004</v>
      </c>
      <c r="W119" s="15">
        <f>IFERROR(__xludf.DUMMYFUNCTION("""COMPUTED_VALUE"""),45859.0)</f>
        <v>45859</v>
      </c>
      <c r="X119" s="15">
        <f>IFERROR(__xludf.DUMMYFUNCTION("""COMPUTED_VALUE"""),45979.0)</f>
        <v>45979</v>
      </c>
      <c r="Y119" s="16" t="str">
        <f>IFERROR(__xludf.DUMMYFUNCTION("""COMPUTED_VALUE"""),"https://disk.yandex.ru/d/cQkegPX3WvVusg")</f>
        <v>https://disk.yandex.ru/d/cQkegPX3WvVusg</v>
      </c>
      <c r="Z119" s="13"/>
      <c r="AA119" s="13"/>
    </row>
    <row r="120">
      <c r="A120" s="13" t="str">
        <f>IFERROR(__xludf.DUMMYFUNCTION("""COMPUTED_VALUE"""),"Уволен/расторгнуть договор")</f>
        <v>Уволен/расторгнуть договор</v>
      </c>
      <c r="B120" s="13" t="str">
        <f>IFERROR(__xludf.DUMMYFUNCTION("""COMPUTED_VALUE"""),"Чайхана")</f>
        <v>Чайхана</v>
      </c>
      <c r="C120" s="13" t="str">
        <f>IFERROR(__xludf.DUMMYFUNCTION("""COMPUTED_VALUE"""),"Московская Область")</f>
        <v>Московская Область</v>
      </c>
      <c r="D120" s="13" t="str">
        <f>IFERROR(__xludf.DUMMYFUNCTION("""COMPUTED_VALUE"""),"Повар")</f>
        <v>Повар</v>
      </c>
      <c r="E120" s="13" t="str">
        <f>IFERROR(__xludf.DUMMYFUNCTION("""COMPUTED_VALUE"""),"Химки Пролетарская дом 18 ст. 7")</f>
        <v>Химки Пролетарская дом 18 ст. 7</v>
      </c>
      <c r="F120" s="13"/>
      <c r="G120" s="15"/>
      <c r="H120" s="13"/>
      <c r="I120" s="13"/>
      <c r="J120" s="13"/>
      <c r="K120" s="13"/>
      <c r="L120" s="14"/>
      <c r="M120" s="13"/>
      <c r="N120" s="15">
        <f>IFERROR(__xludf.DUMMYFUNCTION("""COMPUTED_VALUE"""),44271.0)</f>
        <v>44271</v>
      </c>
      <c r="O120" s="15">
        <f>IFERROR(__xludf.DUMMYFUNCTION("""COMPUTED_VALUE"""),33115.0)</f>
        <v>33115</v>
      </c>
      <c r="P120" s="13" t="str">
        <f>IFERROR(__xludf.DUMMYFUNCTION("""COMPUTED_VALUE"""),"FA2352744")</f>
        <v>FA2352744</v>
      </c>
      <c r="Q120" s="13" t="str">
        <f>IFERROR(__xludf.DUMMYFUNCTION("""COMPUTED_VALUE"""),"Кадиркулов Сафарали Абдувалиевич")</f>
        <v>Кадиркулов Сафарали Абдувалиевич</v>
      </c>
      <c r="R120" s="13" t="str">
        <f>IFERROR(__xludf.DUMMYFUNCTION("""COMPUTED_VALUE"""),"79253713008")</f>
        <v>79253713008</v>
      </c>
      <c r="S120" s="13" t="str">
        <f>IFERROR(__xludf.DUMMYFUNCTION("""COMPUTED_VALUE"""),"Узбекистан")</f>
        <v>Узбекистан</v>
      </c>
      <c r="T120" s="16" t="str">
        <f>IFERROR(__xludf.DUMMYFUNCTION("""COMPUTED_VALUE"""),"https://disk.360.yandex.ru/d/l6Nsz2aukIkPoA")</f>
        <v>https://disk.360.yandex.ru/d/l6Nsz2aukIkPoA</v>
      </c>
      <c r="U120" s="13" t="str">
        <f>IFERROR(__xludf.DUMMYFUNCTION("""COMPUTED_VALUE"""),"Собран")</f>
        <v>Собран</v>
      </c>
      <c r="V120" s="15"/>
      <c r="W120" s="15">
        <f>IFERROR(__xludf.DUMMYFUNCTION("""COMPUTED_VALUE"""),45787.0)</f>
        <v>45787</v>
      </c>
      <c r="X120" s="15">
        <f>IFERROR(__xludf.DUMMYFUNCTION("""COMPUTED_VALUE"""),46007.0)</f>
        <v>46007</v>
      </c>
      <c r="Y120" s="16" t="str">
        <f>IFERROR(__xludf.DUMMYFUNCTION("""COMPUTED_VALUE"""),"https://disk.360.yandex.ru/d/4YZLJ0MhsEjAgA")</f>
        <v>https://disk.360.yandex.ru/d/4YZLJ0MhsEjAgA</v>
      </c>
      <c r="Z120" s="13"/>
      <c r="AA120" s="13"/>
    </row>
    <row r="121">
      <c r="A121" s="13" t="str">
        <f>IFERROR(__xludf.DUMMYFUNCTION("""COMPUTED_VALUE"""),"Уволен/расторгнуть договор")</f>
        <v>Уволен/расторгнуть договор</v>
      </c>
      <c r="B121" s="13" t="str">
        <f>IFERROR(__xludf.DUMMYFUNCTION("""COMPUTED_VALUE"""),"Чайхана")</f>
        <v>Чайхана</v>
      </c>
      <c r="C121" s="13" t="str">
        <f>IFERROR(__xludf.DUMMYFUNCTION("""COMPUTED_VALUE"""),"Москва")</f>
        <v>Москва</v>
      </c>
      <c r="D121" s="13" t="str">
        <f>IFERROR(__xludf.DUMMYFUNCTION("""COMPUTED_VALUE"""),"Тех.персонал")</f>
        <v>Тех.персонал</v>
      </c>
      <c r="E121" s="13" t="str">
        <f>IFERROR(__xludf.DUMMYFUNCTION("""COMPUTED_VALUE"""),"Часовая 11 стр 2")</f>
        <v>Часовая 11 стр 2</v>
      </c>
      <c r="F121" s="13"/>
      <c r="G121" s="15"/>
      <c r="H121" s="13"/>
      <c r="I121" s="13"/>
      <c r="J121" s="13"/>
      <c r="K121" s="13"/>
      <c r="L121" s="14"/>
      <c r="M121" s="13"/>
      <c r="N121" s="15">
        <f>IFERROR(__xludf.DUMMYFUNCTION("""COMPUTED_VALUE"""),44483.0)</f>
        <v>44483</v>
      </c>
      <c r="O121" s="15">
        <f>IFERROR(__xludf.DUMMYFUNCTION("""COMPUTED_VALUE"""),29700.0)</f>
        <v>29700</v>
      </c>
      <c r="P121" s="13" t="str">
        <f>IFERROR(__xludf.DUMMYFUNCTION("""COMPUTED_VALUE"""),"403632217")</f>
        <v>403632217</v>
      </c>
      <c r="Q121" s="13" t="str">
        <f>IFERROR(__xludf.DUMMYFUNCTION("""COMPUTED_VALUE"""),"Боева Фируза Атохуджаевна")</f>
        <v>Боева Фируза Атохуджаевна</v>
      </c>
      <c r="R121" s="13" t="str">
        <f>IFERROR(__xludf.DUMMYFUNCTION("""COMPUTED_VALUE"""),"79969660345")</f>
        <v>79969660345</v>
      </c>
      <c r="S121" s="13" t="str">
        <f>IFERROR(__xludf.DUMMYFUNCTION("""COMPUTED_VALUE"""),"Таджикистан")</f>
        <v>Таджикистан</v>
      </c>
      <c r="T121" s="16" t="str">
        <f>IFERROR(__xludf.DUMMYFUNCTION("""COMPUTED_VALUE"""),"https://disk.360.yandex.ru/d/9THtmjr-h50E4w")</f>
        <v>https://disk.360.yandex.ru/d/9THtmjr-h50E4w</v>
      </c>
      <c r="U121" s="13" t="str">
        <f>IFERROR(__xludf.DUMMYFUNCTION("""COMPUTED_VALUE"""),"Собран")</f>
        <v>Собран</v>
      </c>
      <c r="V121" s="15">
        <f>IFERROR(__xludf.DUMMYFUNCTION("""COMPUTED_VALUE"""),46048.0)</f>
        <v>46048</v>
      </c>
      <c r="W121" s="15">
        <f>IFERROR(__xludf.DUMMYFUNCTION("""COMPUTED_VALUE"""),46016.0)</f>
        <v>46016</v>
      </c>
      <c r="X121" s="15">
        <f>IFERROR(__xludf.DUMMYFUNCTION("""COMPUTED_VALUE"""),46035.0)</f>
        <v>46035</v>
      </c>
      <c r="Y121" s="16" t="str">
        <f>IFERROR(__xludf.DUMMYFUNCTION("""COMPUTED_VALUE"""),"https://disk.360.yandex.ru/d/DC3yyE1x-htiqg")</f>
        <v>https://disk.360.yandex.ru/d/DC3yyE1x-htiqg</v>
      </c>
      <c r="Z121" s="13"/>
      <c r="AA121" s="13"/>
    </row>
    <row r="122">
      <c r="A122" s="13" t="str">
        <f>IFERROR(__xludf.DUMMYFUNCTION("""COMPUTED_VALUE"""),"Уволен/расторгнуть договор")</f>
        <v>Уволен/расторгнуть договор</v>
      </c>
      <c r="B122" s="13" t="str">
        <f>IFERROR(__xludf.DUMMYFUNCTION("""COMPUTED_VALUE"""),"Чайхана")</f>
        <v>Чайхана</v>
      </c>
      <c r="C122" s="13" t="str">
        <f>IFERROR(__xludf.DUMMYFUNCTION("""COMPUTED_VALUE"""),"Москва")</f>
        <v>Москва</v>
      </c>
      <c r="D122" s="13" t="str">
        <f>IFERROR(__xludf.DUMMYFUNCTION("""COMPUTED_VALUE"""),"Кассир")</f>
        <v>Кассир</v>
      </c>
      <c r="E122" s="13" t="str">
        <f>IFERROR(__xludf.DUMMYFUNCTION("""COMPUTED_VALUE"""),"Часовая 11 стр 2")</f>
        <v>Часовая 11 стр 2</v>
      </c>
      <c r="F122" s="13"/>
      <c r="G122" s="15"/>
      <c r="H122" s="13"/>
      <c r="I122" s="13"/>
      <c r="J122" s="13"/>
      <c r="K122" s="13"/>
      <c r="L122" s="14"/>
      <c r="M122" s="13"/>
      <c r="N122" s="15">
        <f>IFERROR(__xludf.DUMMYFUNCTION("""COMPUTED_VALUE"""),43864.0)</f>
        <v>43864</v>
      </c>
      <c r="O122" s="15">
        <f>IFERROR(__xludf.DUMMYFUNCTION("""COMPUTED_VALUE"""),35451.0)</f>
        <v>35451</v>
      </c>
      <c r="P122" s="13" t="str">
        <f>IFERROR(__xludf.DUMMYFUNCTION("""COMPUTED_VALUE"""),"FA1104587")</f>
        <v>FA1104587</v>
      </c>
      <c r="Q122" s="13" t="str">
        <f>IFERROR(__xludf.DUMMYFUNCTION("""COMPUTED_VALUE"""),"Нематов Рузимухаммад Давронбек Угли")</f>
        <v>Нематов Рузимухаммад Давронбек Угли</v>
      </c>
      <c r="R122" s="13" t="str">
        <f>IFERROR(__xludf.DUMMYFUNCTION("""COMPUTED_VALUE"""),"79891066937")</f>
        <v>79891066937</v>
      </c>
      <c r="S122" s="13" t="str">
        <f>IFERROR(__xludf.DUMMYFUNCTION("""COMPUTED_VALUE"""),"Узбекистан")</f>
        <v>Узбекистан</v>
      </c>
      <c r="T122" s="16" t="str">
        <f>IFERROR(__xludf.DUMMYFUNCTION("""COMPUTED_VALUE"""),"https://disk.360.yandex.ru/d/VmN0XXoGfy0NLg")</f>
        <v>https://disk.360.yandex.ru/d/VmN0XXoGfy0NLg</v>
      </c>
      <c r="U122" s="13" t="str">
        <f>IFERROR(__xludf.DUMMYFUNCTION("""COMPUTED_VALUE"""),"Последний чек об оплате патента")</f>
        <v>Последний чек об оплате патента</v>
      </c>
      <c r="V122" s="15">
        <f>IFERROR(__xludf.DUMMYFUNCTION("""COMPUTED_VALUE"""),46037.0)</f>
        <v>46037</v>
      </c>
      <c r="W122" s="15">
        <f>IFERROR(__xludf.DUMMYFUNCTION("""COMPUTED_VALUE"""),45967.0)</f>
        <v>45967</v>
      </c>
      <c r="X122" s="15">
        <f>IFERROR(__xludf.DUMMYFUNCTION("""COMPUTED_VALUE"""),45992.0)</f>
        <v>45992</v>
      </c>
      <c r="Y122" s="16" t="str">
        <f>IFERROR(__xludf.DUMMYFUNCTION("""COMPUTED_VALUE"""),"https://disk.yandex.ru/d/aNOv8dgj5WIMpQ")</f>
        <v>https://disk.yandex.ru/d/aNOv8dgj5WIMpQ</v>
      </c>
      <c r="Z122" s="13"/>
      <c r="AA122" s="13"/>
    </row>
    <row r="123">
      <c r="A123" s="13" t="str">
        <f>IFERROR(__xludf.DUMMYFUNCTION("""COMPUTED_VALUE"""),"Уволен/расторгнуть договор")</f>
        <v>Уволен/расторгнуть договор</v>
      </c>
      <c r="B123" s="13" t="str">
        <f>IFERROR(__xludf.DUMMYFUNCTION("""COMPUTED_VALUE"""),"Чайхана")</f>
        <v>Чайхана</v>
      </c>
      <c r="C123" s="13" t="str">
        <f>IFERROR(__xludf.DUMMYFUNCTION("""COMPUTED_VALUE"""),"Москва")</f>
        <v>Москва</v>
      </c>
      <c r="D123" s="13" t="str">
        <f>IFERROR(__xludf.DUMMYFUNCTION("""COMPUTED_VALUE"""),"Повар")</f>
        <v>Повар</v>
      </c>
      <c r="E123" s="13" t="str">
        <f>IFERROR(__xludf.DUMMYFUNCTION("""COMPUTED_VALUE"""),"Часовая 11 стр 2")</f>
        <v>Часовая 11 стр 2</v>
      </c>
      <c r="F123" s="13"/>
      <c r="G123" s="15"/>
      <c r="H123" s="13"/>
      <c r="I123" s="13"/>
      <c r="J123" s="13"/>
      <c r="K123" s="13"/>
      <c r="L123" s="14"/>
      <c r="M123" s="13"/>
      <c r="N123" s="15">
        <f>IFERROR(__xludf.DUMMYFUNCTION("""COMPUTED_VALUE"""),45715.0)</f>
        <v>45715</v>
      </c>
      <c r="O123" s="15">
        <f>IFERROR(__xludf.DUMMYFUNCTION("""COMPUTED_VALUE"""),35188.0)</f>
        <v>35188</v>
      </c>
      <c r="P123" s="13" t="str">
        <f>IFERROR(__xludf.DUMMYFUNCTION("""COMPUTED_VALUE"""),"FB0844026")</f>
        <v>FB0844026</v>
      </c>
      <c r="Q123" s="13" t="str">
        <f>IFERROR(__xludf.DUMMYFUNCTION("""COMPUTED_VALUE"""),"Усманов Исломбек Уктамжон Угли ")</f>
        <v>Усманов Исломбек Уктамжон Угли </v>
      </c>
      <c r="R123" s="13" t="str">
        <f>IFERROR(__xludf.DUMMYFUNCTION("""COMPUTED_VALUE"""),"79067107159")</f>
        <v>79067107159</v>
      </c>
      <c r="S123" s="13" t="str">
        <f>IFERROR(__xludf.DUMMYFUNCTION("""COMPUTED_VALUE"""),"Узбекистан")</f>
        <v>Узбекистан</v>
      </c>
      <c r="T123" s="16" t="str">
        <f>IFERROR(__xludf.DUMMYFUNCTION("""COMPUTED_VALUE"""),"https://disk.360.yandex.ru/d/7wUxriGOnhu5pQ")</f>
        <v>https://disk.360.yandex.ru/d/7wUxriGOnhu5pQ</v>
      </c>
      <c r="U123" s="13" t="str">
        <f>IFERROR(__xludf.DUMMYFUNCTION("""COMPUTED_VALUE"""),"Последний чек об оплате патента")</f>
        <v>Последний чек об оплате патента</v>
      </c>
      <c r="V123" s="15">
        <f>IFERROR(__xludf.DUMMYFUNCTION("""COMPUTED_VALUE"""),45988.0)</f>
        <v>45988</v>
      </c>
      <c r="W123" s="15">
        <f>IFERROR(__xludf.DUMMYFUNCTION("""COMPUTED_VALUE"""),45929.0)</f>
        <v>45929</v>
      </c>
      <c r="X123" s="15">
        <f>IFERROR(__xludf.DUMMYFUNCTION("""COMPUTED_VALUE"""),45980.0)</f>
        <v>45980</v>
      </c>
      <c r="Y123" s="16" t="str">
        <f>IFERROR(__xludf.DUMMYFUNCTION("""COMPUTED_VALUE"""),"https://disk.360.yandex.ru/d/wEUigeKA6ZfiZw")</f>
        <v>https://disk.360.yandex.ru/d/wEUigeKA6ZfiZw</v>
      </c>
      <c r="Z123" s="13"/>
      <c r="AA123" s="13"/>
    </row>
    <row r="124">
      <c r="A124" s="13" t="str">
        <f>IFERROR(__xludf.DUMMYFUNCTION("""COMPUTED_VALUE"""),"Уволен/расторгнуть договор")</f>
        <v>Уволен/расторгнуть договор</v>
      </c>
      <c r="B124" s="13" t="str">
        <f>IFERROR(__xludf.DUMMYFUNCTION("""COMPUTED_VALUE"""),"Чайхана")</f>
        <v>Чайхана</v>
      </c>
      <c r="C124" s="13" t="str">
        <f>IFERROR(__xludf.DUMMYFUNCTION("""COMPUTED_VALUE"""),"Москва")</f>
        <v>Москва</v>
      </c>
      <c r="D124" s="13" t="str">
        <f>IFERROR(__xludf.DUMMYFUNCTION("""COMPUTED_VALUE"""),"Повар")</f>
        <v>Повар</v>
      </c>
      <c r="E124" s="13" t="str">
        <f>IFERROR(__xludf.DUMMYFUNCTION("""COMPUTED_VALUE"""),"Часовая 11 стр 2")</f>
        <v>Часовая 11 стр 2</v>
      </c>
      <c r="F124" s="13"/>
      <c r="G124" s="15"/>
      <c r="H124" s="13"/>
      <c r="I124" s="13"/>
      <c r="J124" s="13"/>
      <c r="K124" s="13"/>
      <c r="L124" s="14"/>
      <c r="M124" s="13"/>
      <c r="N124" s="15">
        <f>IFERROR(__xludf.DUMMYFUNCTION("""COMPUTED_VALUE"""),43707.0)</f>
        <v>43707</v>
      </c>
      <c r="O124" s="15">
        <f>IFERROR(__xludf.DUMMYFUNCTION("""COMPUTED_VALUE"""),35580.0)</f>
        <v>35580</v>
      </c>
      <c r="P124" s="13" t="str">
        <f>IFERROR(__xludf.DUMMYFUNCTION("""COMPUTED_VALUE"""),"FA0559966")</f>
        <v>FA0559966</v>
      </c>
      <c r="Q124" s="13" t="str">
        <f>IFERROR(__xludf.DUMMYFUNCTION("""COMPUTED_VALUE"""),"Пулатов Фариддин Нажмиддин Угли ")</f>
        <v>Пулатов Фариддин Нажмиддин Угли </v>
      </c>
      <c r="R124" s="13" t="str">
        <f>IFERROR(__xludf.DUMMYFUNCTION("""COMPUTED_VALUE"""),"79694688670")</f>
        <v>79694688670</v>
      </c>
      <c r="S124" s="13" t="str">
        <f>IFERROR(__xludf.DUMMYFUNCTION("""COMPUTED_VALUE"""),"Узбекистан")</f>
        <v>Узбекистан</v>
      </c>
      <c r="T124" s="16" t="str">
        <f>IFERROR(__xludf.DUMMYFUNCTION("""COMPUTED_VALUE"""),"https://disk.360.yandex.ru/d/yqajyByqwvWQWQ")</f>
        <v>https://disk.360.yandex.ru/d/yqajyByqwvWQWQ</v>
      </c>
      <c r="U124" s="13" t="str">
        <f>IFERROR(__xludf.DUMMYFUNCTION("""COMPUTED_VALUE"""),"Последний чек об оплате патента")</f>
        <v>Последний чек об оплате патента</v>
      </c>
      <c r="V124" s="15">
        <f>IFERROR(__xludf.DUMMYFUNCTION("""COMPUTED_VALUE"""),45970.0)</f>
        <v>45970</v>
      </c>
      <c r="W124" s="15">
        <f>IFERROR(__xludf.DUMMYFUNCTION("""COMPUTED_VALUE"""),45859.0)</f>
        <v>45859</v>
      </c>
      <c r="X124" s="15">
        <f>IFERROR(__xludf.DUMMYFUNCTION("""COMPUTED_VALUE"""),45985.0)</f>
        <v>45985</v>
      </c>
      <c r="Y124" s="16" t="str">
        <f>IFERROR(__xludf.DUMMYFUNCTION("""COMPUTED_VALUE"""),"https://disk.yandex.ru/d/DEFtyTlrC0lU2Q")</f>
        <v>https://disk.yandex.ru/d/DEFtyTlrC0lU2Q</v>
      </c>
      <c r="Z124" s="13"/>
      <c r="AA124" s="13"/>
    </row>
    <row r="125">
      <c r="A125" s="13" t="str">
        <f>IFERROR(__xludf.DUMMYFUNCTION("""COMPUTED_VALUE"""),"Уволен/расторгнуть договор")</f>
        <v>Уволен/расторгнуть договор</v>
      </c>
      <c r="B125" s="13" t="str">
        <f>IFERROR(__xludf.DUMMYFUNCTION("""COMPUTED_VALUE"""),"Чайхана")</f>
        <v>Чайхана</v>
      </c>
      <c r="C125" s="13" t="str">
        <f>IFERROR(__xludf.DUMMYFUNCTION("""COMPUTED_VALUE"""),"Москва")</f>
        <v>Москва</v>
      </c>
      <c r="D125" s="13" t="str">
        <f>IFERROR(__xludf.DUMMYFUNCTION("""COMPUTED_VALUE"""),"Тех.персонал")</f>
        <v>Тех.персонал</v>
      </c>
      <c r="E125" s="13" t="str">
        <f>IFERROR(__xludf.DUMMYFUNCTION("""COMPUTED_VALUE"""),"Часовая 11 стр 2")</f>
        <v>Часовая 11 стр 2</v>
      </c>
      <c r="F125" s="13"/>
      <c r="G125" s="15"/>
      <c r="H125" s="13"/>
      <c r="I125" s="13"/>
      <c r="J125" s="13"/>
      <c r="K125" s="13"/>
      <c r="L125" s="14"/>
      <c r="M125" s="13"/>
      <c r="N125" s="15">
        <f>IFERROR(__xludf.DUMMYFUNCTION("""COMPUTED_VALUE"""),44975.0)</f>
        <v>44975</v>
      </c>
      <c r="O125" s="15">
        <f>IFERROR(__xludf.DUMMYFUNCTION("""COMPUTED_VALUE"""),30430.0)</f>
        <v>30430</v>
      </c>
      <c r="P125" s="13" t="str">
        <f>IFERROR(__xludf.DUMMYFUNCTION("""COMPUTED_VALUE"""),"FA7284906")</f>
        <v>FA7284906</v>
      </c>
      <c r="Q125" s="13" t="str">
        <f>IFERROR(__xludf.DUMMYFUNCTION("""COMPUTED_VALUE"""),"Джовлиева Дилафруз Темировна ")</f>
        <v>Джовлиева Дилафруз Темировна </v>
      </c>
      <c r="R125" s="13" t="str">
        <f>IFERROR(__xludf.DUMMYFUNCTION("""COMPUTED_VALUE"""),"79031409201")</f>
        <v>79031409201</v>
      </c>
      <c r="S125" s="13" t="str">
        <f>IFERROR(__xludf.DUMMYFUNCTION("""COMPUTED_VALUE"""),"Узбекистан")</f>
        <v>Узбекистан</v>
      </c>
      <c r="T125" s="16" t="str">
        <f>IFERROR(__xludf.DUMMYFUNCTION("""COMPUTED_VALUE"""),"https://disk.360.yandex.ru/d/RdnMMsKi-ygoew")</f>
        <v>https://disk.360.yandex.ru/d/RdnMMsKi-ygoew</v>
      </c>
      <c r="U125" s="13" t="str">
        <f>IFERROR(__xludf.DUMMYFUNCTION("""COMPUTED_VALUE"""),"Собран")</f>
        <v>Собран</v>
      </c>
      <c r="V125" s="15">
        <f>IFERROR(__xludf.DUMMYFUNCTION("""COMPUTED_VALUE"""),46086.0)</f>
        <v>46086</v>
      </c>
      <c r="W125" s="15">
        <f>IFERROR(__xludf.DUMMYFUNCTION("""COMPUTED_VALUE"""),46003.0)</f>
        <v>46003</v>
      </c>
      <c r="X125" s="15">
        <f>IFERROR(__xludf.DUMMYFUNCTION("""COMPUTED_VALUE"""),45980.0)</f>
        <v>45980</v>
      </c>
      <c r="Y125" s="16" t="str">
        <f>IFERROR(__xludf.DUMMYFUNCTION("""COMPUTED_VALUE"""),"https://disk.360.yandex.ru/d/WVYwL1raO2dihg")</f>
        <v>https://disk.360.yandex.ru/d/WVYwL1raO2dihg</v>
      </c>
      <c r="Z125" s="13"/>
      <c r="AA125" s="13"/>
    </row>
    <row r="126">
      <c r="A126" s="13" t="str">
        <f>IFERROR(__xludf.DUMMYFUNCTION("""COMPUTED_VALUE"""),"Уволен/расторгнуть договор")</f>
        <v>Уволен/расторгнуть договор</v>
      </c>
      <c r="B126" s="13" t="str">
        <f>IFERROR(__xludf.DUMMYFUNCTION("""COMPUTED_VALUE"""),"Чайхана")</f>
        <v>Чайхана</v>
      </c>
      <c r="C126" s="13" t="str">
        <f>IFERROR(__xludf.DUMMYFUNCTION("""COMPUTED_VALUE"""),"Москва")</f>
        <v>Москва</v>
      </c>
      <c r="D126" s="13" t="str">
        <f>IFERROR(__xludf.DUMMYFUNCTION("""COMPUTED_VALUE"""),"Уборщица")</f>
        <v>Уборщица</v>
      </c>
      <c r="E126" s="13" t="str">
        <f>IFERROR(__xludf.DUMMYFUNCTION("""COMPUTED_VALUE"""),"Смольная улица 24Гс6")</f>
        <v>Смольная улица 24Гс6</v>
      </c>
      <c r="F126" s="13"/>
      <c r="G126" s="15"/>
      <c r="H126" s="13"/>
      <c r="I126" s="13"/>
      <c r="J126" s="13"/>
      <c r="K126" s="13"/>
      <c r="L126" s="14"/>
      <c r="M126" s="13"/>
      <c r="N126" s="15">
        <f>IFERROR(__xludf.DUMMYFUNCTION("""COMPUTED_VALUE"""),44378.0)</f>
        <v>44378</v>
      </c>
      <c r="O126" s="15">
        <f>IFERROR(__xludf.DUMMYFUNCTION("""COMPUTED_VALUE"""),27368.0)</f>
        <v>27368</v>
      </c>
      <c r="P126" s="13" t="str">
        <f>IFERROR(__xludf.DUMMYFUNCTION("""COMPUTED_VALUE"""),"FA3259013")</f>
        <v>FA3259013</v>
      </c>
      <c r="Q126" s="13" t="str">
        <f>IFERROR(__xludf.DUMMYFUNCTION("""COMPUTED_VALUE"""),"Тожиева Наргиза Аминовна")</f>
        <v>Тожиева Наргиза Аминовна</v>
      </c>
      <c r="R126" s="13" t="str">
        <f>IFERROR(__xludf.DUMMYFUNCTION("""COMPUTED_VALUE"""),"79856292007")</f>
        <v>79856292007</v>
      </c>
      <c r="S126" s="13" t="str">
        <f>IFERROR(__xludf.DUMMYFUNCTION("""COMPUTED_VALUE"""),"Узбекистан")</f>
        <v>Узбекистан</v>
      </c>
      <c r="T126" s="16" t="str">
        <f>IFERROR(__xludf.DUMMYFUNCTION("""COMPUTED_VALUE"""),"https://disk.360.yandex.ru/d/YTg2nAGQQXVc3A")</f>
        <v>https://disk.360.yandex.ru/d/YTg2nAGQQXVc3A</v>
      </c>
      <c r="U126" s="13" t="str">
        <f>IFERROR(__xludf.DUMMYFUNCTION("""COMPUTED_VALUE"""),"Последний чек об оплате патента")</f>
        <v>Последний чек об оплате патента</v>
      </c>
      <c r="V126" s="15">
        <f>IFERROR(__xludf.DUMMYFUNCTION("""COMPUTED_VALUE"""),46013.0)</f>
        <v>46013</v>
      </c>
      <c r="W126" s="15">
        <f>IFERROR(__xludf.DUMMYFUNCTION("""COMPUTED_VALUE"""),45679.0)</f>
        <v>45679</v>
      </c>
      <c r="X126" s="15">
        <f>IFERROR(__xludf.DUMMYFUNCTION("""COMPUTED_VALUE"""),45987.0)</f>
        <v>45987</v>
      </c>
      <c r="Y126" s="16" t="str">
        <f>IFERROR(__xludf.DUMMYFUNCTION("""COMPUTED_VALUE"""),"https://disk.360.yandex.ru/d/weNWqG6IVcNv8A")</f>
        <v>https://disk.360.yandex.ru/d/weNWqG6IVcNv8A</v>
      </c>
      <c r="Z126" s="13"/>
      <c r="AA126" s="13"/>
    </row>
    <row r="127">
      <c r="A127" s="13" t="str">
        <f>IFERROR(__xludf.DUMMYFUNCTION("""COMPUTED_VALUE"""),"Уволен/расторгнуть договор")</f>
        <v>Уволен/расторгнуть договор</v>
      </c>
      <c r="B127" s="13" t="str">
        <f>IFERROR(__xludf.DUMMYFUNCTION("""COMPUTED_VALUE"""),"Чайхана")</f>
        <v>Чайхана</v>
      </c>
      <c r="C127" s="13" t="str">
        <f>IFERROR(__xludf.DUMMYFUNCTION("""COMPUTED_VALUE"""),"Москва")</f>
        <v>Москва</v>
      </c>
      <c r="D127" s="13" t="str">
        <f>IFERROR(__xludf.DUMMYFUNCTION("""COMPUTED_VALUE"""),"Посудомойщица")</f>
        <v>Посудомойщица</v>
      </c>
      <c r="E127" s="13" t="str">
        <f>IFERROR(__xludf.DUMMYFUNCTION("""COMPUTED_VALUE"""),"Чайхана Красная Пресня 29")</f>
        <v>Чайхана Красная Пресня 29</v>
      </c>
      <c r="F127" s="13"/>
      <c r="G127" s="15"/>
      <c r="H127" s="13"/>
      <c r="I127" s="13"/>
      <c r="J127" s="13"/>
      <c r="K127" s="13"/>
      <c r="L127" s="14"/>
      <c r="M127" s="13"/>
      <c r="N127" s="15">
        <f>IFERROR(__xludf.DUMMYFUNCTION("""COMPUTED_VALUE"""),44706.0)</f>
        <v>44706</v>
      </c>
      <c r="O127" s="15">
        <f>IFERROR(__xludf.DUMMYFUNCTION("""COMPUTED_VALUE"""),31381.0)</f>
        <v>31381</v>
      </c>
      <c r="P127" s="13" t="str">
        <f>IFERROR(__xludf.DUMMYFUNCTION("""COMPUTED_VALUE"""),"FA5565682")</f>
        <v>FA5565682</v>
      </c>
      <c r="Q127" s="13" t="str">
        <f>IFERROR(__xludf.DUMMYFUNCTION("""COMPUTED_VALUE"""),"Юлдашева Нигора Адхамжоновна")</f>
        <v>Юлдашева Нигора Адхамжоновна</v>
      </c>
      <c r="R127" s="13" t="str">
        <f>IFERROR(__xludf.DUMMYFUNCTION("""COMPUTED_VALUE"""),"79963682991")</f>
        <v>79963682991</v>
      </c>
      <c r="S127" s="13" t="str">
        <f>IFERROR(__xludf.DUMMYFUNCTION("""COMPUTED_VALUE"""),"Узбекистан")</f>
        <v>Узбекистан</v>
      </c>
      <c r="T127" s="16" t="str">
        <f>IFERROR(__xludf.DUMMYFUNCTION("""COMPUTED_VALUE"""),"https://disk.360.yandex.ru/d/eNz27qyZcmhs4w")</f>
        <v>https://disk.360.yandex.ru/d/eNz27qyZcmhs4w</v>
      </c>
      <c r="U127" s="13" t="str">
        <f>IFERROR(__xludf.DUMMYFUNCTION("""COMPUTED_VALUE"""),"Последний чек об оплате патента")</f>
        <v>Последний чек об оплате патента</v>
      </c>
      <c r="V127" s="15">
        <f>IFERROR(__xludf.DUMMYFUNCTION("""COMPUTED_VALUE"""),45981.0)</f>
        <v>45981</v>
      </c>
      <c r="W127" s="15">
        <f>IFERROR(__xludf.DUMMYFUNCTION("""COMPUTED_VALUE"""),45832.0)</f>
        <v>45832</v>
      </c>
      <c r="X127" s="15">
        <f>IFERROR(__xludf.DUMMYFUNCTION("""COMPUTED_VALUE"""),45987.0)</f>
        <v>45987</v>
      </c>
      <c r="Y127" s="16" t="str">
        <f>IFERROR(__xludf.DUMMYFUNCTION("""COMPUTED_VALUE"""),"https://disk.yandex.ru/d/VfA5Pw340eU0Ew")</f>
        <v>https://disk.yandex.ru/d/VfA5Pw340eU0Ew</v>
      </c>
      <c r="Z127" s="13"/>
      <c r="AA127" s="13"/>
    </row>
    <row r="128">
      <c r="A128" s="13" t="str">
        <f>IFERROR(__xludf.DUMMYFUNCTION("""COMPUTED_VALUE"""),"Уволен/расторгнуть договор")</f>
        <v>Уволен/расторгнуть договор</v>
      </c>
      <c r="B128" s="13" t="str">
        <f>IFERROR(__xludf.DUMMYFUNCTION("""COMPUTED_VALUE"""),"Чайхана")</f>
        <v>Чайхана</v>
      </c>
      <c r="C128" s="13" t="str">
        <f>IFERROR(__xludf.DUMMYFUNCTION("""COMPUTED_VALUE"""),"Москва")</f>
        <v>Москва</v>
      </c>
      <c r="D128" s="13" t="str">
        <f>IFERROR(__xludf.DUMMYFUNCTION("""COMPUTED_VALUE"""),"Повар")</f>
        <v>Повар</v>
      </c>
      <c r="E128" s="13" t="str">
        <f>IFERROR(__xludf.DUMMYFUNCTION("""COMPUTED_VALUE"""),"Бутырская 89 стр 2")</f>
        <v>Бутырская 89 стр 2</v>
      </c>
      <c r="F128" s="13"/>
      <c r="G128" s="15"/>
      <c r="H128" s="13"/>
      <c r="I128" s="13"/>
      <c r="J128" s="13"/>
      <c r="K128" s="13"/>
      <c r="L128" s="14"/>
      <c r="M128" s="13"/>
      <c r="N128" s="15">
        <f>IFERROR(__xludf.DUMMYFUNCTION("""COMPUTED_VALUE"""),44372.0)</f>
        <v>44372</v>
      </c>
      <c r="O128" s="15">
        <f>IFERROR(__xludf.DUMMYFUNCTION("""COMPUTED_VALUE"""),34550.0)</f>
        <v>34550</v>
      </c>
      <c r="P128" s="13" t="str">
        <f>IFERROR(__xludf.DUMMYFUNCTION("""COMPUTED_VALUE"""),"FA3182191")</f>
        <v>FA3182191</v>
      </c>
      <c r="Q128" s="13" t="str">
        <f>IFERROR(__xludf.DUMMYFUNCTION("""COMPUTED_VALUE"""),"Хамзаева Холида")</f>
        <v>Хамзаева Холида</v>
      </c>
      <c r="R128" s="13" t="str">
        <f>IFERROR(__xludf.DUMMYFUNCTION("""COMPUTED_VALUE"""),"79055367294")</f>
        <v>79055367294</v>
      </c>
      <c r="S128" s="13" t="str">
        <f>IFERROR(__xludf.DUMMYFUNCTION("""COMPUTED_VALUE"""),"Узбекистан")</f>
        <v>Узбекистан</v>
      </c>
      <c r="T128" s="16" t="str">
        <f>IFERROR(__xludf.DUMMYFUNCTION("""COMPUTED_VALUE"""),"https://disk.360.yandex.ru/d/SBgS9pR2jRE4ZA")</f>
        <v>https://disk.360.yandex.ru/d/SBgS9pR2jRE4ZA</v>
      </c>
      <c r="U128" s="13" t="str">
        <f>IFERROR(__xludf.DUMMYFUNCTION("""COMPUTED_VALUE"""),"Последний чек об оплате патента")</f>
        <v>Последний чек об оплате патента</v>
      </c>
      <c r="V128" s="15">
        <f>IFERROR(__xludf.DUMMYFUNCTION("""COMPUTED_VALUE"""),45986.0)</f>
        <v>45986</v>
      </c>
      <c r="W128" s="15">
        <f>IFERROR(__xludf.DUMMYFUNCTION("""COMPUTED_VALUE"""),45622.0)</f>
        <v>45622</v>
      </c>
      <c r="X128" s="15">
        <f>IFERROR(__xludf.DUMMYFUNCTION("""COMPUTED_VALUE"""),45982.0)</f>
        <v>45982</v>
      </c>
      <c r="Y128" s="16" t="str">
        <f>IFERROR(__xludf.DUMMYFUNCTION("""COMPUTED_VALUE"""),"https://disk.360.yandex.ru/d/7aTVoz3YJrqROQ")</f>
        <v>https://disk.360.yandex.ru/d/7aTVoz3YJrqROQ</v>
      </c>
      <c r="Z128" s="13"/>
      <c r="AA128" s="13"/>
    </row>
    <row r="129">
      <c r="A129" s="13" t="str">
        <f>IFERROR(__xludf.DUMMYFUNCTION("""COMPUTED_VALUE"""),"Уволен/расторгнуть договор")</f>
        <v>Уволен/расторгнуть договор</v>
      </c>
      <c r="B129" s="13" t="str">
        <f>IFERROR(__xludf.DUMMYFUNCTION("""COMPUTED_VALUE"""),"Чайхана")</f>
        <v>Чайхана</v>
      </c>
      <c r="C129" s="13" t="str">
        <f>IFERROR(__xludf.DUMMYFUNCTION("""COMPUTED_VALUE"""),"Москва")</f>
        <v>Москва</v>
      </c>
      <c r="D129" s="13" t="str">
        <f>IFERROR(__xludf.DUMMYFUNCTION("""COMPUTED_VALUE"""),"Уборщица")</f>
        <v>Уборщица</v>
      </c>
      <c r="E129" s="13" t="str">
        <f>IFERROR(__xludf.DUMMYFUNCTION("""COMPUTED_VALUE"""),"Чайхана Красная Пресня 29")</f>
        <v>Чайхана Красная Пресня 29</v>
      </c>
      <c r="F129" s="13" t="str">
        <f>IFERROR(__xludf.DUMMYFUNCTION("""COMPUTED_VALUE"""),"Договор запросили 04.12.2025")</f>
        <v>Договор запросили 04.12.2025</v>
      </c>
      <c r="G129" s="15"/>
      <c r="H129" s="13"/>
      <c r="I129" s="13"/>
      <c r="J129" s="13"/>
      <c r="K129" s="13"/>
      <c r="L129" s="14"/>
      <c r="M129" s="13"/>
      <c r="N129" s="15">
        <f>IFERROR(__xludf.DUMMYFUNCTION("""COMPUTED_VALUE"""),45139.0)</f>
        <v>45139</v>
      </c>
      <c r="O129" s="15">
        <f>IFERROR(__xludf.DUMMYFUNCTION("""COMPUTED_VALUE"""),35342.0)</f>
        <v>35342</v>
      </c>
      <c r="P129" s="13" t="str">
        <f>IFERROR(__xludf.DUMMYFUNCTION("""COMPUTED_VALUE"""),"PE1471070")</f>
        <v>PE1471070</v>
      </c>
      <c r="Q129" s="13" t="str">
        <f>IFERROR(__xludf.DUMMYFUNCTION("""COMPUTED_VALUE"""),"Камилова Назира")</f>
        <v>Камилова Назира</v>
      </c>
      <c r="R129" s="13" t="str">
        <f>IFERROR(__xludf.DUMMYFUNCTION("""COMPUTED_VALUE"""),"79035139996")</f>
        <v>79035139996</v>
      </c>
      <c r="S129" s="13" t="str">
        <f>IFERROR(__xludf.DUMMYFUNCTION("""COMPUTED_VALUE"""),"Кыргызстан")</f>
        <v>Кыргызстан</v>
      </c>
      <c r="T129" s="16" t="str">
        <f>IFERROR(__xludf.DUMMYFUNCTION("""COMPUTED_VALUE"""),"https://disk.360.yandex.ru/d/6fBfXI57LhSXoA")</f>
        <v>https://disk.360.yandex.ru/d/6fBfXI57LhSXoA</v>
      </c>
      <c r="U129" s="13" t="str">
        <f>IFERROR(__xludf.DUMMYFUNCTION("""COMPUTED_VALUE"""),"собран")</f>
        <v>собран</v>
      </c>
      <c r="V129" s="15"/>
      <c r="W129" s="15"/>
      <c r="X129" s="15">
        <f>IFERROR(__xludf.DUMMYFUNCTION("""COMPUTED_VALUE"""),45993.0)</f>
        <v>45993</v>
      </c>
      <c r="Y129" s="16" t="str">
        <f>IFERROR(__xludf.DUMMYFUNCTION("""COMPUTED_VALUE"""),"https://disk.yandex.ru/d/jTuvNsLZDrUNHQ")</f>
        <v>https://disk.yandex.ru/d/jTuvNsLZDrUNHQ</v>
      </c>
      <c r="Z129" s="13"/>
      <c r="AA129" s="13"/>
    </row>
    <row r="130">
      <c r="A130" s="13" t="str">
        <f>IFERROR(__xludf.DUMMYFUNCTION("""COMPUTED_VALUE"""),"Уволен/расторгнуть договор")</f>
        <v>Уволен/расторгнуть договор</v>
      </c>
      <c r="B130" s="13" t="str">
        <f>IFERROR(__xludf.DUMMYFUNCTION("""COMPUTED_VALUE"""),"Чайхана")</f>
        <v>Чайхана</v>
      </c>
      <c r="C130" s="13" t="str">
        <f>IFERROR(__xludf.DUMMYFUNCTION("""COMPUTED_VALUE"""),"Москва")</f>
        <v>Москва</v>
      </c>
      <c r="D130" s="13" t="str">
        <f>IFERROR(__xludf.DUMMYFUNCTION("""COMPUTED_VALUE"""),"Кассир")</f>
        <v>Кассир</v>
      </c>
      <c r="E130" s="13" t="str">
        <f>IFERROR(__xludf.DUMMYFUNCTION("""COMPUTED_VALUE"""),"Ул. Савеловская линия 9")</f>
        <v>Ул. Савеловская линия 9</v>
      </c>
      <c r="F130" s="13"/>
      <c r="G130" s="15"/>
      <c r="H130" s="13"/>
      <c r="I130" s="13"/>
      <c r="J130" s="13"/>
      <c r="K130" s="13"/>
      <c r="L130" s="14"/>
      <c r="M130" s="13"/>
      <c r="N130" s="15">
        <f>IFERROR(__xludf.DUMMYFUNCTION("""COMPUTED_VALUE"""),44629.0)</f>
        <v>44629</v>
      </c>
      <c r="O130" s="15">
        <f>IFERROR(__xludf.DUMMYFUNCTION("""COMPUTED_VALUE"""),34076.0)</f>
        <v>34076</v>
      </c>
      <c r="P130" s="13" t="str">
        <f>IFERROR(__xludf.DUMMYFUNCTION("""COMPUTED_VALUE"""),"FA5152185")</f>
        <v>FA5152185</v>
      </c>
      <c r="Q130" s="13" t="str">
        <f>IFERROR(__xludf.DUMMYFUNCTION("""COMPUTED_VALUE"""),"Назаров Тухтасин Мухаммади Угли")</f>
        <v>Назаров Тухтасин Мухаммади Угли</v>
      </c>
      <c r="R130" s="13" t="str">
        <f>IFERROR(__xludf.DUMMYFUNCTION("""COMPUTED_VALUE"""),"79264200393")</f>
        <v>79264200393</v>
      </c>
      <c r="S130" s="13" t="str">
        <f>IFERROR(__xludf.DUMMYFUNCTION("""COMPUTED_VALUE"""),"Узбекистан")</f>
        <v>Узбекистан</v>
      </c>
      <c r="T130" s="16" t="str">
        <f>IFERROR(__xludf.DUMMYFUNCTION("""COMPUTED_VALUE"""),"https://disk.360.yandex.ru/d/hFp2H0qMzoVzTw")</f>
        <v>https://disk.360.yandex.ru/d/hFp2H0qMzoVzTw</v>
      </c>
      <c r="U130" s="13" t="str">
        <f>IFERROR(__xludf.DUMMYFUNCTION("""COMPUTED_VALUE"""),"собран")</f>
        <v>собран</v>
      </c>
      <c r="V130" s="15">
        <f>IFERROR(__xludf.DUMMYFUNCTION("""COMPUTED_VALUE"""),46012.0)</f>
        <v>46012</v>
      </c>
      <c r="W130" s="15">
        <f>IFERROR(__xludf.DUMMYFUNCTION("""COMPUTED_VALUE"""),45923.0)</f>
        <v>45923</v>
      </c>
      <c r="X130" s="15">
        <f>IFERROR(__xludf.DUMMYFUNCTION("""COMPUTED_VALUE"""),45983.0)</f>
        <v>45983</v>
      </c>
      <c r="Y130" s="16" t="str">
        <f>IFERROR(__xludf.DUMMYFUNCTION("""COMPUTED_VALUE"""),"https://disk.360.yandex.ru/d/PPP-DXnr_sQgGg")</f>
        <v>https://disk.360.yandex.ru/d/PPP-DXnr_sQgGg</v>
      </c>
      <c r="Z130" s="13"/>
      <c r="AA130" s="13"/>
    </row>
    <row r="131">
      <c r="A131" s="13" t="str">
        <f>IFERROR(__xludf.DUMMYFUNCTION("""COMPUTED_VALUE"""),"Уволен/расторгнуть договор")</f>
        <v>Уволен/расторгнуть договор</v>
      </c>
      <c r="B131" s="13" t="str">
        <f>IFERROR(__xludf.DUMMYFUNCTION("""COMPUTED_VALUE"""),"Чайхана")</f>
        <v>Чайхана</v>
      </c>
      <c r="C131" s="13" t="str">
        <f>IFERROR(__xludf.DUMMYFUNCTION("""COMPUTED_VALUE"""),"Москва")</f>
        <v>Москва</v>
      </c>
      <c r="D131" s="13" t="str">
        <f>IFERROR(__xludf.DUMMYFUNCTION("""COMPUTED_VALUE"""),"Уборщица")</f>
        <v>Уборщица</v>
      </c>
      <c r="E131" s="13" t="str">
        <f>IFERROR(__xludf.DUMMYFUNCTION("""COMPUTED_VALUE"""),"Бутырская 89 стр 2")</f>
        <v>Бутырская 89 стр 2</v>
      </c>
      <c r="F131" s="13"/>
      <c r="G131" s="15"/>
      <c r="H131" s="13"/>
      <c r="I131" s="13"/>
      <c r="J131" s="13"/>
      <c r="K131" s="13"/>
      <c r="L131" s="14"/>
      <c r="M131" s="13"/>
      <c r="N131" s="15">
        <f>IFERROR(__xludf.DUMMYFUNCTION("""COMPUTED_VALUE"""),45413.0)</f>
        <v>45413</v>
      </c>
      <c r="O131" s="15">
        <f>IFERROR(__xludf.DUMMYFUNCTION("""COMPUTED_VALUE"""),37069.0)</f>
        <v>37069</v>
      </c>
      <c r="P131" s="13" t="str">
        <f>IFERROR(__xludf.DUMMYFUNCTION("""COMPUTED_VALUE"""),"FA9506540")</f>
        <v>FA9506540</v>
      </c>
      <c r="Q131" s="13" t="str">
        <f>IFERROR(__xludf.DUMMYFUNCTION("""COMPUTED_VALUE"""),"Нематова Мархабо Абдусалом Кизи")</f>
        <v>Нематова Мархабо Абдусалом Кизи</v>
      </c>
      <c r="R131" s="13" t="str">
        <f>IFERROR(__xludf.DUMMYFUNCTION("""COMPUTED_VALUE"""),"79955575643")</f>
        <v>79955575643</v>
      </c>
      <c r="S131" s="13" t="str">
        <f>IFERROR(__xludf.DUMMYFUNCTION("""COMPUTED_VALUE"""),"Узбекистан")</f>
        <v>Узбекистан</v>
      </c>
      <c r="T131" s="16" t="str">
        <f>IFERROR(__xludf.DUMMYFUNCTION("""COMPUTED_VALUE"""),"https://disk.360.yandex.ru/d/XzgWPh2Y15m5NQ")</f>
        <v>https://disk.360.yandex.ru/d/XzgWPh2Y15m5NQ</v>
      </c>
      <c r="U131" s="13" t="str">
        <f>IFERROR(__xludf.DUMMYFUNCTION("""COMPUTED_VALUE"""),"Последний чек об оплате патента")</f>
        <v>Последний чек об оплате патента</v>
      </c>
      <c r="V131" s="15"/>
      <c r="W131" s="15">
        <f>IFERROR(__xludf.DUMMYFUNCTION("""COMPUTED_VALUE"""),45763.0)</f>
        <v>45763</v>
      </c>
      <c r="X131" s="15">
        <f>IFERROR(__xludf.DUMMYFUNCTION("""COMPUTED_VALUE"""),45993.0)</f>
        <v>45993</v>
      </c>
      <c r="Y131" s="16" t="str">
        <f>IFERROR(__xludf.DUMMYFUNCTION("""COMPUTED_VALUE"""),"https://disk.yandex.ru/d/CCBNxr1kxK1_ZA")</f>
        <v>https://disk.yandex.ru/d/CCBNxr1kxK1_ZA</v>
      </c>
      <c r="Z131" s="13"/>
      <c r="AA131" s="13"/>
    </row>
    <row r="132">
      <c r="A132" s="13" t="str">
        <f>IFERROR(__xludf.DUMMYFUNCTION("""COMPUTED_VALUE"""),"Уволен/расторгнуть договор")</f>
        <v>Уволен/расторгнуть договор</v>
      </c>
      <c r="B132" s="13" t="str">
        <f>IFERROR(__xludf.DUMMYFUNCTION("""COMPUTED_VALUE"""),"Чайхана")</f>
        <v>Чайхана</v>
      </c>
      <c r="C132" s="13" t="str">
        <f>IFERROR(__xludf.DUMMYFUNCTION("""COMPUTED_VALUE"""),"Москва")</f>
        <v>Москва</v>
      </c>
      <c r="D132" s="13" t="str">
        <f>IFERROR(__xludf.DUMMYFUNCTION("""COMPUTED_VALUE"""),"Повар")</f>
        <v>Повар</v>
      </c>
      <c r="E132" s="13" t="str">
        <f>IFERROR(__xludf.DUMMYFUNCTION("""COMPUTED_VALUE"""),"Смольная улица 24Гс6")</f>
        <v>Смольная улица 24Гс6</v>
      </c>
      <c r="F132" s="13" t="str">
        <f>IFERROR(__xludf.DUMMYFUNCTION("""COMPUTED_VALUE"""),"Договор подписан 25.11")</f>
        <v>Договор подписан 25.11</v>
      </c>
      <c r="G132" s="15"/>
      <c r="H132" s="13"/>
      <c r="I132" s="13"/>
      <c r="J132" s="13"/>
      <c r="K132" s="13"/>
      <c r="L132" s="14"/>
      <c r="M132" s="13"/>
      <c r="N132" s="15">
        <f>IFERROR(__xludf.DUMMYFUNCTION("""COMPUTED_VALUE"""),42420.0)</f>
        <v>42420</v>
      </c>
      <c r="O132" s="15">
        <f>IFERROR(__xludf.DUMMYFUNCTION("""COMPUTED_VALUE"""),24415.0)</f>
        <v>24415</v>
      </c>
      <c r="P132" s="13" t="str">
        <f>IFERROR(__xludf.DUMMYFUNCTION("""COMPUTED_VALUE"""),"AC3602985")</f>
        <v>AC3602985</v>
      </c>
      <c r="Q132" s="13" t="str">
        <f>IFERROR(__xludf.DUMMYFUNCTION("""COMPUTED_VALUE"""),"Турдубаева Саткынай")</f>
        <v>Турдубаева Саткынай</v>
      </c>
      <c r="R132" s="13" t="str">
        <f>IFERROR(__xludf.DUMMYFUNCTION("""COMPUTED_VALUE"""),"79253866063")</f>
        <v>79253866063</v>
      </c>
      <c r="S132" s="13" t="str">
        <f>IFERROR(__xludf.DUMMYFUNCTION("""COMPUTED_VALUE"""),"Кыргызстан")</f>
        <v>Кыргызстан</v>
      </c>
      <c r="T132" s="16" t="str">
        <f>IFERROR(__xludf.DUMMYFUNCTION("""COMPUTED_VALUE"""),"https://disk.360.yandex.ru/d/P6ZmIDJmmqe22Q")</f>
        <v>https://disk.360.yandex.ru/d/P6ZmIDJmmqe22Q</v>
      </c>
      <c r="U132" s="13" t="str">
        <f>IFERROR(__xludf.DUMMYFUNCTION("""COMPUTED_VALUE"""),"собран")</f>
        <v>собран</v>
      </c>
      <c r="V132" s="15">
        <f>IFERROR(__xludf.DUMMYFUNCTION("""COMPUTED_VALUE"""),46183.0)</f>
        <v>46183</v>
      </c>
      <c r="W132" s="15"/>
      <c r="X132" s="15">
        <f>IFERROR(__xludf.DUMMYFUNCTION("""COMPUTED_VALUE"""),45987.0)</f>
        <v>45987</v>
      </c>
      <c r="Y132" s="16" t="str">
        <f>IFERROR(__xludf.DUMMYFUNCTION("""COMPUTED_VALUE"""),"https://disk.360.yandex.ru/d/wHrCoNVml-0PAQ")</f>
        <v>https://disk.360.yandex.ru/d/wHrCoNVml-0PAQ</v>
      </c>
      <c r="Z132" s="13"/>
      <c r="AA132" s="13"/>
    </row>
    <row r="133">
      <c r="A133" s="13"/>
      <c r="B133" s="13"/>
      <c r="C133" s="13"/>
      <c r="D133" s="13"/>
      <c r="E133" s="13"/>
      <c r="F133" s="13"/>
      <c r="G133" s="15"/>
      <c r="H133" s="13"/>
      <c r="I133" s="13"/>
      <c r="J133" s="13"/>
      <c r="K133" s="13"/>
      <c r="L133" s="14"/>
      <c r="M133" s="13"/>
      <c r="N133" s="15"/>
      <c r="O133" s="15"/>
      <c r="P133" s="13"/>
      <c r="Q133" s="13"/>
      <c r="R133" s="13"/>
      <c r="S133" s="13"/>
      <c r="T133" s="13"/>
      <c r="U133" s="13"/>
      <c r="V133" s="15"/>
      <c r="W133" s="15"/>
      <c r="X133" s="15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5"/>
      <c r="H134" s="13"/>
      <c r="I134" s="13"/>
      <c r="J134" s="13"/>
      <c r="K134" s="13"/>
      <c r="L134" s="14"/>
      <c r="M134" s="13"/>
      <c r="N134" s="15"/>
      <c r="O134" s="15"/>
      <c r="P134" s="13"/>
      <c r="Q134" s="13"/>
      <c r="R134" s="13"/>
      <c r="S134" s="13"/>
      <c r="T134" s="13"/>
      <c r="U134" s="13"/>
      <c r="V134" s="15"/>
      <c r="W134" s="15"/>
      <c r="X134" s="15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5"/>
      <c r="H135" s="13"/>
      <c r="I135" s="13"/>
      <c r="J135" s="13"/>
      <c r="K135" s="13"/>
      <c r="L135" s="14"/>
      <c r="M135" s="13"/>
      <c r="N135" s="15"/>
      <c r="O135" s="15"/>
      <c r="P135" s="13"/>
      <c r="Q135" s="13"/>
      <c r="R135" s="13"/>
      <c r="S135" s="13"/>
      <c r="T135" s="13"/>
      <c r="U135" s="13"/>
      <c r="V135" s="15"/>
      <c r="W135" s="15"/>
      <c r="X135" s="15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5"/>
      <c r="H136" s="13"/>
      <c r="I136" s="13"/>
      <c r="J136" s="13"/>
      <c r="K136" s="13"/>
      <c r="L136" s="14"/>
      <c r="M136" s="13"/>
      <c r="N136" s="15"/>
      <c r="O136" s="15"/>
      <c r="P136" s="13"/>
      <c r="Q136" s="13"/>
      <c r="R136" s="13"/>
      <c r="S136" s="13"/>
      <c r="T136" s="13"/>
      <c r="U136" s="13"/>
      <c r="V136" s="15"/>
      <c r="W136" s="15"/>
      <c r="X136" s="15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5"/>
      <c r="H137" s="13"/>
      <c r="I137" s="13"/>
      <c r="J137" s="13"/>
      <c r="K137" s="13"/>
      <c r="L137" s="14"/>
      <c r="M137" s="13"/>
      <c r="N137" s="15"/>
      <c r="O137" s="15"/>
      <c r="P137" s="13"/>
      <c r="Q137" s="13"/>
      <c r="R137" s="13"/>
      <c r="S137" s="13"/>
      <c r="T137" s="13"/>
      <c r="U137" s="13"/>
      <c r="V137" s="15"/>
      <c r="W137" s="15"/>
      <c r="X137" s="15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5"/>
      <c r="H138" s="13"/>
      <c r="I138" s="13"/>
      <c r="J138" s="13"/>
      <c r="K138" s="13"/>
      <c r="L138" s="14"/>
      <c r="M138" s="13"/>
      <c r="N138" s="15"/>
      <c r="O138" s="15"/>
      <c r="P138" s="13"/>
      <c r="Q138" s="13"/>
      <c r="R138" s="13"/>
      <c r="S138" s="13"/>
      <c r="T138" s="13"/>
      <c r="U138" s="13"/>
      <c r="V138" s="15"/>
      <c r="W138" s="15"/>
      <c r="X138" s="15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5"/>
      <c r="H139" s="13"/>
      <c r="I139" s="13"/>
      <c r="J139" s="13"/>
      <c r="K139" s="13"/>
      <c r="L139" s="14"/>
      <c r="M139" s="13"/>
      <c r="N139" s="15"/>
      <c r="O139" s="15"/>
      <c r="P139" s="13"/>
      <c r="Q139" s="13"/>
      <c r="R139" s="13"/>
      <c r="S139" s="13"/>
      <c r="T139" s="13"/>
      <c r="U139" s="13"/>
      <c r="V139" s="15"/>
      <c r="W139" s="15"/>
      <c r="X139" s="15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5"/>
      <c r="H140" s="13"/>
      <c r="I140" s="13"/>
      <c r="J140" s="13"/>
      <c r="K140" s="13"/>
      <c r="L140" s="14"/>
      <c r="M140" s="13"/>
      <c r="N140" s="15"/>
      <c r="O140" s="15"/>
      <c r="P140" s="13"/>
      <c r="Q140" s="13"/>
      <c r="R140" s="13"/>
      <c r="S140" s="13"/>
      <c r="T140" s="13"/>
      <c r="U140" s="13"/>
      <c r="V140" s="15"/>
      <c r="W140" s="15"/>
      <c r="X140" s="15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5"/>
      <c r="H141" s="13"/>
      <c r="I141" s="13"/>
      <c r="J141" s="13"/>
      <c r="K141" s="13"/>
      <c r="L141" s="14"/>
      <c r="M141" s="13"/>
      <c r="N141" s="15"/>
      <c r="O141" s="15"/>
      <c r="P141" s="13"/>
      <c r="Q141" s="13"/>
      <c r="R141" s="13"/>
      <c r="S141" s="13"/>
      <c r="T141" s="13"/>
      <c r="U141" s="13"/>
      <c r="V141" s="15"/>
      <c r="W141" s="15"/>
      <c r="X141" s="15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5"/>
      <c r="H142" s="13"/>
      <c r="I142" s="13"/>
      <c r="J142" s="13"/>
      <c r="K142" s="13"/>
      <c r="L142" s="14"/>
      <c r="M142" s="13"/>
      <c r="N142" s="15"/>
      <c r="O142" s="15"/>
      <c r="P142" s="13"/>
      <c r="Q142" s="13"/>
      <c r="R142" s="13"/>
      <c r="S142" s="13"/>
      <c r="T142" s="13"/>
      <c r="U142" s="13"/>
      <c r="V142" s="15"/>
      <c r="W142" s="15"/>
      <c r="X142" s="15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5"/>
      <c r="H143" s="13"/>
      <c r="I143" s="13"/>
      <c r="J143" s="13"/>
      <c r="K143" s="13"/>
      <c r="L143" s="14"/>
      <c r="M143" s="13"/>
      <c r="N143" s="15"/>
      <c r="O143" s="15"/>
      <c r="P143" s="13"/>
      <c r="Q143" s="13"/>
      <c r="R143" s="13"/>
      <c r="S143" s="13"/>
      <c r="T143" s="13"/>
      <c r="U143" s="13"/>
      <c r="V143" s="15"/>
      <c r="W143" s="15"/>
      <c r="X143" s="15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5"/>
      <c r="H144" s="13"/>
      <c r="I144" s="13"/>
      <c r="J144" s="13"/>
      <c r="K144" s="13"/>
      <c r="L144" s="14"/>
      <c r="M144" s="13"/>
      <c r="N144" s="15"/>
      <c r="O144" s="15"/>
      <c r="P144" s="13"/>
      <c r="Q144" s="13"/>
      <c r="R144" s="13"/>
      <c r="S144" s="13"/>
      <c r="T144" s="13"/>
      <c r="U144" s="13"/>
      <c r="V144" s="15"/>
      <c r="W144" s="15"/>
      <c r="X144" s="15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5"/>
      <c r="H145" s="13"/>
      <c r="I145" s="13"/>
      <c r="J145" s="13"/>
      <c r="K145" s="13"/>
      <c r="L145" s="14"/>
      <c r="M145" s="13"/>
      <c r="N145" s="15"/>
      <c r="O145" s="15"/>
      <c r="P145" s="13"/>
      <c r="Q145" s="13"/>
      <c r="R145" s="13"/>
      <c r="S145" s="13"/>
      <c r="T145" s="13"/>
      <c r="U145" s="13"/>
      <c r="V145" s="15"/>
      <c r="W145" s="15"/>
      <c r="X145" s="15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5"/>
      <c r="H146" s="13"/>
      <c r="I146" s="13"/>
      <c r="J146" s="13"/>
      <c r="K146" s="13"/>
      <c r="L146" s="14"/>
      <c r="M146" s="13"/>
      <c r="N146" s="15"/>
      <c r="O146" s="15"/>
      <c r="P146" s="13"/>
      <c r="Q146" s="13"/>
      <c r="R146" s="13"/>
      <c r="S146" s="13"/>
      <c r="T146" s="13"/>
      <c r="U146" s="13"/>
      <c r="V146" s="15"/>
      <c r="W146" s="15"/>
      <c r="X146" s="15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5"/>
      <c r="H147" s="13"/>
      <c r="I147" s="13"/>
      <c r="J147" s="13"/>
      <c r="K147" s="13"/>
      <c r="L147" s="14"/>
      <c r="M147" s="13"/>
      <c r="N147" s="15"/>
      <c r="O147" s="15"/>
      <c r="P147" s="13"/>
      <c r="Q147" s="13"/>
      <c r="R147" s="13"/>
      <c r="S147" s="13"/>
      <c r="T147" s="13"/>
      <c r="U147" s="13"/>
      <c r="V147" s="15"/>
      <c r="W147" s="15"/>
      <c r="X147" s="15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5"/>
      <c r="H148" s="13"/>
      <c r="I148" s="13"/>
      <c r="J148" s="13"/>
      <c r="K148" s="13"/>
      <c r="L148" s="14"/>
      <c r="M148" s="13"/>
      <c r="N148" s="15"/>
      <c r="O148" s="15"/>
      <c r="P148" s="13"/>
      <c r="Q148" s="13"/>
      <c r="R148" s="13"/>
      <c r="S148" s="13"/>
      <c r="T148" s="13"/>
      <c r="U148" s="13"/>
      <c r="V148" s="15"/>
      <c r="W148" s="15"/>
      <c r="X148" s="15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5"/>
      <c r="H149" s="13"/>
      <c r="I149" s="13"/>
      <c r="J149" s="13"/>
      <c r="K149" s="13"/>
      <c r="L149" s="14"/>
      <c r="M149" s="13"/>
      <c r="N149" s="15"/>
      <c r="O149" s="15"/>
      <c r="P149" s="13"/>
      <c r="Q149" s="13"/>
      <c r="R149" s="13"/>
      <c r="S149" s="13"/>
      <c r="T149" s="13"/>
      <c r="U149" s="13"/>
      <c r="V149" s="15"/>
      <c r="W149" s="15"/>
      <c r="X149" s="15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5"/>
      <c r="H150" s="13"/>
      <c r="I150" s="13"/>
      <c r="J150" s="13"/>
      <c r="K150" s="13"/>
      <c r="L150" s="14"/>
      <c r="M150" s="13"/>
      <c r="N150" s="15"/>
      <c r="O150" s="15"/>
      <c r="P150" s="13"/>
      <c r="Q150" s="13"/>
      <c r="R150" s="13"/>
      <c r="S150" s="13"/>
      <c r="T150" s="13"/>
      <c r="U150" s="13"/>
      <c r="V150" s="15"/>
      <c r="W150" s="15"/>
      <c r="X150" s="15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5"/>
      <c r="H151" s="13"/>
      <c r="I151" s="13"/>
      <c r="J151" s="13"/>
      <c r="K151" s="13"/>
      <c r="L151" s="14"/>
      <c r="M151" s="13"/>
      <c r="N151" s="15"/>
      <c r="O151" s="15"/>
      <c r="P151" s="13"/>
      <c r="Q151" s="13"/>
      <c r="R151" s="13"/>
      <c r="S151" s="13"/>
      <c r="T151" s="13"/>
      <c r="U151" s="13"/>
      <c r="V151" s="15"/>
      <c r="W151" s="15"/>
      <c r="X151" s="15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5"/>
      <c r="H152" s="13"/>
      <c r="I152" s="13"/>
      <c r="J152" s="13"/>
      <c r="K152" s="13"/>
      <c r="L152" s="14"/>
      <c r="M152" s="13"/>
      <c r="N152" s="15"/>
      <c r="O152" s="15"/>
      <c r="P152" s="13"/>
      <c r="Q152" s="13"/>
      <c r="R152" s="13"/>
      <c r="S152" s="13"/>
      <c r="T152" s="13"/>
      <c r="U152" s="13"/>
      <c r="V152" s="15"/>
      <c r="W152" s="15"/>
      <c r="X152" s="15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5"/>
      <c r="H153" s="13"/>
      <c r="I153" s="13"/>
      <c r="J153" s="13"/>
      <c r="K153" s="13"/>
      <c r="L153" s="14"/>
      <c r="M153" s="13"/>
      <c r="N153" s="15"/>
      <c r="O153" s="15"/>
      <c r="P153" s="13"/>
      <c r="Q153" s="13"/>
      <c r="R153" s="13"/>
      <c r="S153" s="13"/>
      <c r="T153" s="13"/>
      <c r="U153" s="13"/>
      <c r="V153" s="15"/>
      <c r="W153" s="15"/>
      <c r="X153" s="15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5"/>
      <c r="H154" s="13"/>
      <c r="I154" s="13"/>
      <c r="J154" s="13"/>
      <c r="K154" s="13"/>
      <c r="L154" s="14"/>
      <c r="M154" s="13"/>
      <c r="N154" s="15"/>
      <c r="O154" s="15"/>
      <c r="P154" s="13"/>
      <c r="Q154" s="13"/>
      <c r="R154" s="13"/>
      <c r="S154" s="13"/>
      <c r="T154" s="13"/>
      <c r="U154" s="13"/>
      <c r="V154" s="15"/>
      <c r="W154" s="15"/>
      <c r="X154" s="15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5"/>
      <c r="H155" s="13"/>
      <c r="I155" s="13"/>
      <c r="J155" s="13"/>
      <c r="K155" s="13"/>
      <c r="L155" s="14"/>
      <c r="M155" s="13"/>
      <c r="N155" s="15"/>
      <c r="O155" s="15"/>
      <c r="P155" s="13"/>
      <c r="Q155" s="13"/>
      <c r="R155" s="13"/>
      <c r="S155" s="13"/>
      <c r="T155" s="13"/>
      <c r="U155" s="13"/>
      <c r="V155" s="15"/>
      <c r="W155" s="15"/>
      <c r="X155" s="15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5"/>
      <c r="H156" s="13"/>
      <c r="I156" s="13"/>
      <c r="J156" s="13"/>
      <c r="K156" s="13"/>
      <c r="L156" s="14"/>
      <c r="M156" s="13"/>
      <c r="N156" s="15"/>
      <c r="O156" s="15"/>
      <c r="P156" s="13"/>
      <c r="Q156" s="13"/>
      <c r="R156" s="13"/>
      <c r="S156" s="13"/>
      <c r="T156" s="13"/>
      <c r="U156" s="13"/>
      <c r="V156" s="15"/>
      <c r="W156" s="15"/>
      <c r="X156" s="15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5"/>
      <c r="H157" s="13"/>
      <c r="I157" s="13"/>
      <c r="J157" s="13"/>
      <c r="K157" s="13"/>
      <c r="L157" s="14"/>
      <c r="M157" s="13"/>
      <c r="N157" s="15"/>
      <c r="O157" s="15"/>
      <c r="P157" s="13"/>
      <c r="Q157" s="13"/>
      <c r="R157" s="13"/>
      <c r="S157" s="13"/>
      <c r="T157" s="13"/>
      <c r="U157" s="13"/>
      <c r="V157" s="15"/>
      <c r="W157" s="15"/>
      <c r="X157" s="15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5"/>
      <c r="H158" s="13"/>
      <c r="I158" s="13"/>
      <c r="J158" s="13"/>
      <c r="K158" s="13"/>
      <c r="L158" s="14"/>
      <c r="M158" s="13"/>
      <c r="N158" s="15"/>
      <c r="O158" s="15"/>
      <c r="P158" s="13"/>
      <c r="Q158" s="13"/>
      <c r="R158" s="13"/>
      <c r="S158" s="13"/>
      <c r="T158" s="13"/>
      <c r="U158" s="13"/>
      <c r="V158" s="15"/>
      <c r="W158" s="15"/>
      <c r="X158" s="15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5"/>
      <c r="H159" s="13"/>
      <c r="I159" s="13"/>
      <c r="J159" s="13"/>
      <c r="K159" s="13"/>
      <c r="L159" s="14"/>
      <c r="M159" s="13"/>
      <c r="N159" s="15"/>
      <c r="O159" s="15"/>
      <c r="P159" s="13"/>
      <c r="Q159" s="13"/>
      <c r="R159" s="13"/>
      <c r="S159" s="13"/>
      <c r="T159" s="13"/>
      <c r="U159" s="13"/>
      <c r="V159" s="15"/>
      <c r="W159" s="15"/>
      <c r="X159" s="15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5"/>
      <c r="H160" s="13"/>
      <c r="I160" s="13"/>
      <c r="J160" s="13"/>
      <c r="K160" s="13"/>
      <c r="L160" s="14"/>
      <c r="M160" s="13"/>
      <c r="N160" s="15"/>
      <c r="O160" s="15"/>
      <c r="P160" s="13"/>
      <c r="Q160" s="13"/>
      <c r="R160" s="13"/>
      <c r="S160" s="13"/>
      <c r="T160" s="13"/>
      <c r="U160" s="13"/>
      <c r="V160" s="15"/>
      <c r="W160" s="15"/>
      <c r="X160" s="15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5"/>
      <c r="H161" s="13"/>
      <c r="I161" s="13"/>
      <c r="J161" s="13"/>
      <c r="K161" s="13"/>
      <c r="L161" s="14"/>
      <c r="M161" s="13"/>
      <c r="N161" s="15"/>
      <c r="O161" s="15"/>
      <c r="P161" s="13"/>
      <c r="Q161" s="13"/>
      <c r="R161" s="13"/>
      <c r="S161" s="13"/>
      <c r="T161" s="13"/>
      <c r="U161" s="13"/>
      <c r="V161" s="15"/>
      <c r="W161" s="15"/>
      <c r="X161" s="15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5"/>
      <c r="H162" s="13"/>
      <c r="I162" s="13"/>
      <c r="J162" s="13"/>
      <c r="K162" s="13"/>
      <c r="L162" s="14"/>
      <c r="M162" s="13"/>
      <c r="N162" s="15"/>
      <c r="O162" s="15"/>
      <c r="P162" s="13"/>
      <c r="Q162" s="13"/>
      <c r="R162" s="13"/>
      <c r="S162" s="13"/>
      <c r="T162" s="13"/>
      <c r="U162" s="13"/>
      <c r="V162" s="15"/>
      <c r="W162" s="15"/>
      <c r="X162" s="15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5"/>
      <c r="H163" s="13"/>
      <c r="I163" s="13"/>
      <c r="J163" s="13"/>
      <c r="K163" s="13"/>
      <c r="L163" s="14"/>
      <c r="M163" s="13"/>
      <c r="N163" s="15"/>
      <c r="O163" s="15"/>
      <c r="P163" s="13"/>
      <c r="Q163" s="13"/>
      <c r="R163" s="13"/>
      <c r="S163" s="13"/>
      <c r="T163" s="13"/>
      <c r="U163" s="13"/>
      <c r="V163" s="15"/>
      <c r="W163" s="15"/>
      <c r="X163" s="15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5"/>
      <c r="H164" s="13"/>
      <c r="I164" s="13"/>
      <c r="J164" s="13"/>
      <c r="K164" s="13"/>
      <c r="L164" s="14"/>
      <c r="M164" s="13"/>
      <c r="N164" s="15"/>
      <c r="O164" s="15"/>
      <c r="P164" s="13"/>
      <c r="Q164" s="13"/>
      <c r="R164" s="13"/>
      <c r="S164" s="13"/>
      <c r="T164" s="13"/>
      <c r="U164" s="13"/>
      <c r="V164" s="15"/>
      <c r="W164" s="15"/>
      <c r="X164" s="15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5"/>
      <c r="H165" s="13"/>
      <c r="I165" s="13"/>
      <c r="J165" s="13"/>
      <c r="K165" s="13"/>
      <c r="L165" s="14"/>
      <c r="M165" s="13"/>
      <c r="N165" s="15"/>
      <c r="O165" s="15"/>
      <c r="P165" s="13"/>
      <c r="Q165" s="13"/>
      <c r="R165" s="13"/>
      <c r="S165" s="13"/>
      <c r="T165" s="13"/>
      <c r="U165" s="13"/>
      <c r="V165" s="15"/>
      <c r="W165" s="15"/>
      <c r="X165" s="15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5"/>
      <c r="H166" s="13"/>
      <c r="I166" s="13"/>
      <c r="J166" s="13"/>
      <c r="K166" s="13"/>
      <c r="L166" s="14"/>
      <c r="M166" s="13"/>
      <c r="N166" s="15"/>
      <c r="O166" s="15"/>
      <c r="P166" s="13"/>
      <c r="Q166" s="13"/>
      <c r="R166" s="13"/>
      <c r="S166" s="13"/>
      <c r="T166" s="13"/>
      <c r="U166" s="13"/>
      <c r="V166" s="15"/>
      <c r="W166" s="15"/>
      <c r="X166" s="15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5"/>
      <c r="H167" s="13"/>
      <c r="I167" s="13"/>
      <c r="J167" s="13"/>
      <c r="K167" s="13"/>
      <c r="L167" s="14"/>
      <c r="M167" s="13"/>
      <c r="N167" s="15"/>
      <c r="O167" s="15"/>
      <c r="P167" s="13"/>
      <c r="Q167" s="13"/>
      <c r="R167" s="13"/>
      <c r="S167" s="13"/>
      <c r="T167" s="13"/>
      <c r="U167" s="13"/>
      <c r="V167" s="15"/>
      <c r="W167" s="15"/>
      <c r="X167" s="15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5"/>
      <c r="H168" s="13"/>
      <c r="I168" s="13"/>
      <c r="J168" s="13"/>
      <c r="K168" s="13"/>
      <c r="L168" s="14"/>
      <c r="M168" s="13"/>
      <c r="N168" s="15"/>
      <c r="O168" s="15"/>
      <c r="P168" s="13"/>
      <c r="Q168" s="13"/>
      <c r="R168" s="13"/>
      <c r="S168" s="13"/>
      <c r="T168" s="13"/>
      <c r="U168" s="13"/>
      <c r="V168" s="15"/>
      <c r="W168" s="15"/>
      <c r="X168" s="15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5"/>
      <c r="H169" s="13"/>
      <c r="I169" s="13"/>
      <c r="J169" s="13"/>
      <c r="K169" s="13"/>
      <c r="L169" s="14"/>
      <c r="M169" s="13"/>
      <c r="N169" s="15"/>
      <c r="O169" s="15"/>
      <c r="P169" s="13"/>
      <c r="Q169" s="13"/>
      <c r="R169" s="13"/>
      <c r="S169" s="13"/>
      <c r="T169" s="13"/>
      <c r="U169" s="13"/>
      <c r="V169" s="15"/>
      <c r="W169" s="15"/>
      <c r="X169" s="15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5"/>
      <c r="H170" s="13"/>
      <c r="I170" s="13"/>
      <c r="J170" s="13"/>
      <c r="K170" s="13"/>
      <c r="L170" s="14"/>
      <c r="M170" s="13"/>
      <c r="N170" s="15"/>
      <c r="O170" s="15"/>
      <c r="P170" s="13"/>
      <c r="Q170" s="13"/>
      <c r="R170" s="13"/>
      <c r="S170" s="13"/>
      <c r="T170" s="13"/>
      <c r="U170" s="13"/>
      <c r="V170" s="15"/>
      <c r="W170" s="15"/>
      <c r="X170" s="15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5"/>
      <c r="H171" s="13"/>
      <c r="I171" s="13"/>
      <c r="J171" s="13"/>
      <c r="K171" s="13"/>
      <c r="L171" s="14"/>
      <c r="M171" s="13"/>
      <c r="N171" s="15"/>
      <c r="O171" s="15"/>
      <c r="P171" s="13"/>
      <c r="Q171" s="13"/>
      <c r="R171" s="13"/>
      <c r="S171" s="13"/>
      <c r="T171" s="13"/>
      <c r="U171" s="13"/>
      <c r="V171" s="15"/>
      <c r="W171" s="15"/>
      <c r="X171" s="15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5"/>
      <c r="H172" s="13"/>
      <c r="I172" s="13"/>
      <c r="J172" s="13"/>
      <c r="K172" s="13"/>
      <c r="L172" s="14"/>
      <c r="M172" s="13"/>
      <c r="N172" s="15"/>
      <c r="O172" s="15"/>
      <c r="P172" s="13"/>
      <c r="Q172" s="13"/>
      <c r="R172" s="13"/>
      <c r="S172" s="13"/>
      <c r="T172" s="13"/>
      <c r="U172" s="13"/>
      <c r="V172" s="15"/>
      <c r="W172" s="15"/>
      <c r="X172" s="15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5"/>
      <c r="H173" s="13"/>
      <c r="I173" s="13"/>
      <c r="J173" s="13"/>
      <c r="K173" s="13"/>
      <c r="L173" s="14"/>
      <c r="M173" s="13"/>
      <c r="N173" s="15"/>
      <c r="O173" s="15"/>
      <c r="P173" s="13"/>
      <c r="Q173" s="13"/>
      <c r="R173" s="13"/>
      <c r="S173" s="13"/>
      <c r="T173" s="13"/>
      <c r="U173" s="13"/>
      <c r="V173" s="15"/>
      <c r="W173" s="15"/>
      <c r="X173" s="15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5"/>
      <c r="H174" s="13"/>
      <c r="I174" s="13"/>
      <c r="J174" s="13"/>
      <c r="K174" s="13"/>
      <c r="L174" s="14"/>
      <c r="M174" s="13"/>
      <c r="N174" s="15"/>
      <c r="O174" s="15"/>
      <c r="P174" s="13"/>
      <c r="Q174" s="13"/>
      <c r="R174" s="13"/>
      <c r="S174" s="13"/>
      <c r="T174" s="13"/>
      <c r="U174" s="13"/>
      <c r="V174" s="15"/>
      <c r="W174" s="15"/>
      <c r="X174" s="15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5"/>
      <c r="H175" s="13"/>
      <c r="I175" s="13"/>
      <c r="J175" s="13"/>
      <c r="K175" s="13"/>
      <c r="L175" s="14"/>
      <c r="M175" s="13"/>
      <c r="N175" s="15"/>
      <c r="O175" s="15"/>
      <c r="P175" s="13"/>
      <c r="Q175" s="13"/>
      <c r="R175" s="13"/>
      <c r="S175" s="13"/>
      <c r="T175" s="13"/>
      <c r="U175" s="13"/>
      <c r="V175" s="15"/>
      <c r="W175" s="15"/>
      <c r="X175" s="15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5"/>
      <c r="H176" s="13"/>
      <c r="I176" s="13"/>
      <c r="J176" s="13"/>
      <c r="K176" s="13"/>
      <c r="L176" s="14"/>
      <c r="M176" s="13"/>
      <c r="N176" s="15"/>
      <c r="O176" s="15"/>
      <c r="P176" s="13"/>
      <c r="Q176" s="13"/>
      <c r="R176" s="13"/>
      <c r="S176" s="13"/>
      <c r="T176" s="13"/>
      <c r="U176" s="13"/>
      <c r="V176" s="15"/>
      <c r="W176" s="15"/>
      <c r="X176" s="15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5"/>
      <c r="H177" s="13"/>
      <c r="I177" s="13"/>
      <c r="J177" s="13"/>
      <c r="K177" s="13"/>
      <c r="L177" s="14"/>
      <c r="M177" s="13"/>
      <c r="N177" s="15"/>
      <c r="O177" s="15"/>
      <c r="P177" s="13"/>
      <c r="Q177" s="13"/>
      <c r="R177" s="13"/>
      <c r="S177" s="13"/>
      <c r="T177" s="13"/>
      <c r="U177" s="13"/>
      <c r="V177" s="15"/>
      <c r="W177" s="15"/>
      <c r="X177" s="15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5"/>
      <c r="H178" s="13"/>
      <c r="I178" s="13"/>
      <c r="J178" s="13"/>
      <c r="K178" s="13"/>
      <c r="L178" s="14"/>
      <c r="M178" s="13"/>
      <c r="N178" s="15"/>
      <c r="O178" s="15"/>
      <c r="P178" s="13"/>
      <c r="Q178" s="13"/>
      <c r="R178" s="13"/>
      <c r="S178" s="13"/>
      <c r="T178" s="13"/>
      <c r="U178" s="13"/>
      <c r="V178" s="15"/>
      <c r="W178" s="15"/>
      <c r="X178" s="15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5"/>
      <c r="H179" s="13"/>
      <c r="I179" s="13"/>
      <c r="J179" s="13"/>
      <c r="K179" s="13"/>
      <c r="L179" s="14"/>
      <c r="M179" s="13"/>
      <c r="N179" s="15"/>
      <c r="O179" s="15"/>
      <c r="P179" s="13"/>
      <c r="Q179" s="13"/>
      <c r="R179" s="13"/>
      <c r="S179" s="13"/>
      <c r="T179" s="13"/>
      <c r="U179" s="13"/>
      <c r="V179" s="15"/>
      <c r="W179" s="15"/>
      <c r="X179" s="15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5"/>
      <c r="H180" s="13"/>
      <c r="I180" s="13"/>
      <c r="J180" s="13"/>
      <c r="K180" s="13"/>
      <c r="L180" s="14"/>
      <c r="M180" s="13"/>
      <c r="N180" s="15"/>
      <c r="O180" s="15"/>
      <c r="P180" s="13"/>
      <c r="Q180" s="13"/>
      <c r="R180" s="13"/>
      <c r="S180" s="13"/>
      <c r="T180" s="13"/>
      <c r="U180" s="13"/>
      <c r="V180" s="15"/>
      <c r="W180" s="15"/>
      <c r="X180" s="15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5"/>
      <c r="H181" s="13"/>
      <c r="I181" s="13"/>
      <c r="J181" s="13"/>
      <c r="K181" s="13"/>
      <c r="L181" s="14"/>
      <c r="M181" s="13"/>
      <c r="N181" s="15"/>
      <c r="O181" s="15"/>
      <c r="P181" s="13"/>
      <c r="Q181" s="13"/>
      <c r="R181" s="13"/>
      <c r="S181" s="13"/>
      <c r="T181" s="13"/>
      <c r="U181" s="13"/>
      <c r="V181" s="15"/>
      <c r="W181" s="15"/>
      <c r="X181" s="15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5"/>
      <c r="H182" s="13"/>
      <c r="I182" s="13"/>
      <c r="J182" s="13"/>
      <c r="K182" s="13"/>
      <c r="L182" s="14"/>
      <c r="M182" s="13"/>
      <c r="N182" s="15"/>
      <c r="O182" s="15"/>
      <c r="P182" s="13"/>
      <c r="Q182" s="13"/>
      <c r="R182" s="13"/>
      <c r="S182" s="13"/>
      <c r="T182" s="13"/>
      <c r="U182" s="13"/>
      <c r="V182" s="15"/>
      <c r="W182" s="15"/>
      <c r="X182" s="15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5"/>
      <c r="H183" s="13"/>
      <c r="I183" s="13"/>
      <c r="J183" s="13"/>
      <c r="K183" s="13"/>
      <c r="L183" s="14"/>
      <c r="M183" s="13"/>
      <c r="N183" s="15"/>
      <c r="O183" s="15"/>
      <c r="P183" s="13"/>
      <c r="Q183" s="13"/>
      <c r="R183" s="13"/>
      <c r="S183" s="13"/>
      <c r="T183" s="13"/>
      <c r="U183" s="13"/>
      <c r="V183" s="15"/>
      <c r="W183" s="15"/>
      <c r="X183" s="15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5"/>
      <c r="H184" s="13"/>
      <c r="I184" s="13"/>
      <c r="J184" s="13"/>
      <c r="K184" s="13"/>
      <c r="L184" s="14"/>
      <c r="M184" s="13"/>
      <c r="N184" s="15"/>
      <c r="O184" s="15"/>
      <c r="P184" s="13"/>
      <c r="Q184" s="13"/>
      <c r="R184" s="13"/>
      <c r="S184" s="13"/>
      <c r="T184" s="13"/>
      <c r="U184" s="13"/>
      <c r="V184" s="15"/>
      <c r="W184" s="15"/>
      <c r="X184" s="15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5"/>
      <c r="H185" s="13"/>
      <c r="I185" s="13"/>
      <c r="J185" s="13"/>
      <c r="K185" s="13"/>
      <c r="L185" s="14"/>
      <c r="M185" s="13"/>
      <c r="N185" s="15"/>
      <c r="O185" s="15"/>
      <c r="P185" s="13"/>
      <c r="Q185" s="13"/>
      <c r="R185" s="13"/>
      <c r="S185" s="13"/>
      <c r="T185" s="13"/>
      <c r="U185" s="13"/>
      <c r="V185" s="15"/>
      <c r="W185" s="15"/>
      <c r="X185" s="15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5"/>
      <c r="H186" s="13"/>
      <c r="I186" s="13"/>
      <c r="J186" s="13"/>
      <c r="K186" s="13"/>
      <c r="L186" s="14"/>
      <c r="M186" s="13"/>
      <c r="N186" s="15"/>
      <c r="O186" s="15"/>
      <c r="P186" s="13"/>
      <c r="Q186" s="13"/>
      <c r="R186" s="13"/>
      <c r="S186" s="13"/>
      <c r="T186" s="13"/>
      <c r="U186" s="13"/>
      <c r="V186" s="15"/>
      <c r="W186" s="15"/>
      <c r="X186" s="15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5"/>
      <c r="H187" s="13"/>
      <c r="I187" s="13"/>
      <c r="J187" s="13"/>
      <c r="K187" s="13"/>
      <c r="L187" s="14"/>
      <c r="M187" s="13"/>
      <c r="N187" s="15"/>
      <c r="O187" s="15"/>
      <c r="P187" s="13"/>
      <c r="Q187" s="13"/>
      <c r="R187" s="13"/>
      <c r="S187" s="13"/>
      <c r="T187" s="13"/>
      <c r="U187" s="13"/>
      <c r="V187" s="15"/>
      <c r="W187" s="15"/>
      <c r="X187" s="15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5"/>
      <c r="H188" s="13"/>
      <c r="I188" s="13"/>
      <c r="J188" s="13"/>
      <c r="K188" s="13"/>
      <c r="L188" s="14"/>
      <c r="M188" s="13"/>
      <c r="N188" s="15"/>
      <c r="O188" s="15"/>
      <c r="P188" s="13"/>
      <c r="Q188" s="13"/>
      <c r="R188" s="13"/>
      <c r="S188" s="13"/>
      <c r="T188" s="13"/>
      <c r="U188" s="13"/>
      <c r="V188" s="15"/>
      <c r="W188" s="15"/>
      <c r="X188" s="15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5"/>
      <c r="H189" s="13"/>
      <c r="I189" s="13"/>
      <c r="J189" s="13"/>
      <c r="K189" s="13"/>
      <c r="L189" s="14"/>
      <c r="M189" s="13"/>
      <c r="N189" s="15"/>
      <c r="O189" s="15"/>
      <c r="P189" s="13"/>
      <c r="Q189" s="13"/>
      <c r="R189" s="13"/>
      <c r="S189" s="13"/>
      <c r="T189" s="13"/>
      <c r="U189" s="13"/>
      <c r="V189" s="15"/>
      <c r="W189" s="15"/>
      <c r="X189" s="15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5"/>
      <c r="H190" s="13"/>
      <c r="I190" s="13"/>
      <c r="J190" s="13"/>
      <c r="K190" s="13"/>
      <c r="L190" s="14"/>
      <c r="M190" s="13"/>
      <c r="N190" s="15"/>
      <c r="O190" s="15"/>
      <c r="P190" s="13"/>
      <c r="Q190" s="13"/>
      <c r="R190" s="13"/>
      <c r="S190" s="13"/>
      <c r="T190" s="13"/>
      <c r="U190" s="13"/>
      <c r="V190" s="15"/>
      <c r="W190" s="15"/>
      <c r="X190" s="15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5"/>
      <c r="H191" s="13"/>
      <c r="I191" s="13"/>
      <c r="J191" s="13"/>
      <c r="K191" s="13"/>
      <c r="L191" s="14"/>
      <c r="M191" s="13"/>
      <c r="N191" s="15"/>
      <c r="O191" s="15"/>
      <c r="P191" s="13"/>
      <c r="Q191" s="13"/>
      <c r="R191" s="13"/>
      <c r="S191" s="13"/>
      <c r="T191" s="13"/>
      <c r="U191" s="13"/>
      <c r="V191" s="15"/>
      <c r="W191" s="15"/>
      <c r="X191" s="15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5"/>
      <c r="H192" s="13"/>
      <c r="I192" s="13"/>
      <c r="J192" s="13"/>
      <c r="K192" s="13"/>
      <c r="L192" s="14"/>
      <c r="M192" s="13"/>
      <c r="N192" s="15"/>
      <c r="O192" s="15"/>
      <c r="P192" s="13"/>
      <c r="Q192" s="13"/>
      <c r="R192" s="13"/>
      <c r="S192" s="13"/>
      <c r="T192" s="13"/>
      <c r="U192" s="13"/>
      <c r="V192" s="15"/>
      <c r="W192" s="15"/>
      <c r="X192" s="15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5"/>
      <c r="H193" s="13"/>
      <c r="I193" s="13"/>
      <c r="J193" s="13"/>
      <c r="K193" s="13"/>
      <c r="L193" s="14"/>
      <c r="M193" s="13"/>
      <c r="N193" s="15"/>
      <c r="O193" s="15"/>
      <c r="P193" s="13"/>
      <c r="Q193" s="13"/>
      <c r="R193" s="13"/>
      <c r="S193" s="13"/>
      <c r="T193" s="13"/>
      <c r="U193" s="13"/>
      <c r="V193" s="15"/>
      <c r="W193" s="15"/>
      <c r="X193" s="15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5"/>
      <c r="H194" s="13"/>
      <c r="I194" s="13"/>
      <c r="J194" s="13"/>
      <c r="K194" s="13"/>
      <c r="L194" s="14"/>
      <c r="M194" s="13"/>
      <c r="N194" s="15"/>
      <c r="O194" s="15"/>
      <c r="P194" s="13"/>
      <c r="Q194" s="13"/>
      <c r="R194" s="13"/>
      <c r="S194" s="13"/>
      <c r="T194" s="13"/>
      <c r="U194" s="13"/>
      <c r="V194" s="15"/>
      <c r="W194" s="15"/>
      <c r="X194" s="15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5"/>
      <c r="H195" s="13"/>
      <c r="I195" s="13"/>
      <c r="J195" s="13"/>
      <c r="K195" s="13"/>
      <c r="L195" s="14"/>
      <c r="M195" s="13"/>
      <c r="N195" s="15"/>
      <c r="O195" s="15"/>
      <c r="P195" s="13"/>
      <c r="Q195" s="13"/>
      <c r="R195" s="13"/>
      <c r="S195" s="13"/>
      <c r="T195" s="13"/>
      <c r="U195" s="13"/>
      <c r="V195" s="15"/>
      <c r="W195" s="15"/>
      <c r="X195" s="15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5"/>
      <c r="H196" s="13"/>
      <c r="I196" s="13"/>
      <c r="J196" s="13"/>
      <c r="K196" s="13"/>
      <c r="L196" s="14"/>
      <c r="M196" s="13"/>
      <c r="N196" s="15"/>
      <c r="O196" s="15"/>
      <c r="P196" s="13"/>
      <c r="Q196" s="13"/>
      <c r="R196" s="13"/>
      <c r="S196" s="13"/>
      <c r="T196" s="13"/>
      <c r="U196" s="13"/>
      <c r="V196" s="15"/>
      <c r="W196" s="15"/>
      <c r="X196" s="15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5"/>
      <c r="H197" s="13"/>
      <c r="I197" s="13"/>
      <c r="J197" s="13"/>
      <c r="K197" s="13"/>
      <c r="L197" s="14"/>
      <c r="M197" s="13"/>
      <c r="N197" s="15"/>
      <c r="O197" s="15"/>
      <c r="P197" s="13"/>
      <c r="Q197" s="13"/>
      <c r="R197" s="13"/>
      <c r="S197" s="13"/>
      <c r="T197" s="13"/>
      <c r="U197" s="13"/>
      <c r="V197" s="15"/>
      <c r="W197" s="15"/>
      <c r="X197" s="15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5"/>
      <c r="H198" s="13"/>
      <c r="I198" s="13"/>
      <c r="J198" s="13"/>
      <c r="K198" s="13"/>
      <c r="L198" s="14"/>
      <c r="M198" s="13"/>
      <c r="N198" s="15"/>
      <c r="O198" s="15"/>
      <c r="P198" s="13"/>
      <c r="Q198" s="13"/>
      <c r="R198" s="13"/>
      <c r="S198" s="13"/>
      <c r="T198" s="13"/>
      <c r="U198" s="13"/>
      <c r="V198" s="15"/>
      <c r="W198" s="15"/>
      <c r="X198" s="15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5"/>
      <c r="H199" s="13"/>
      <c r="I199" s="13"/>
      <c r="J199" s="13"/>
      <c r="K199" s="13"/>
      <c r="L199" s="14"/>
      <c r="M199" s="13"/>
      <c r="N199" s="15"/>
      <c r="O199" s="15"/>
      <c r="P199" s="13"/>
      <c r="Q199" s="13"/>
      <c r="R199" s="13"/>
      <c r="S199" s="13"/>
      <c r="T199" s="13"/>
      <c r="U199" s="13"/>
      <c r="V199" s="15"/>
      <c r="W199" s="15"/>
      <c r="X199" s="15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5"/>
      <c r="H200" s="13"/>
      <c r="I200" s="13"/>
      <c r="J200" s="13"/>
      <c r="K200" s="13"/>
      <c r="L200" s="14"/>
      <c r="M200" s="13"/>
      <c r="N200" s="15"/>
      <c r="O200" s="15"/>
      <c r="P200" s="13"/>
      <c r="Q200" s="13"/>
      <c r="R200" s="13"/>
      <c r="S200" s="13"/>
      <c r="T200" s="13"/>
      <c r="U200" s="13"/>
      <c r="V200" s="15"/>
      <c r="W200" s="15"/>
      <c r="X200" s="15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5"/>
      <c r="H201" s="13"/>
      <c r="I201" s="13"/>
      <c r="J201" s="13"/>
      <c r="K201" s="13"/>
      <c r="L201" s="14"/>
      <c r="M201" s="13"/>
      <c r="N201" s="15"/>
      <c r="O201" s="15"/>
      <c r="P201" s="13"/>
      <c r="Q201" s="13"/>
      <c r="R201" s="13"/>
      <c r="S201" s="13"/>
      <c r="T201" s="13"/>
      <c r="U201" s="13"/>
      <c r="V201" s="15"/>
      <c r="W201" s="15"/>
      <c r="X201" s="15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5"/>
      <c r="H202" s="13"/>
      <c r="I202" s="13"/>
      <c r="J202" s="13"/>
      <c r="K202" s="13"/>
      <c r="L202" s="14"/>
      <c r="M202" s="13"/>
      <c r="N202" s="15"/>
      <c r="O202" s="15"/>
      <c r="P202" s="13"/>
      <c r="Q202" s="13"/>
      <c r="R202" s="13"/>
      <c r="S202" s="13"/>
      <c r="T202" s="13"/>
      <c r="U202" s="13"/>
      <c r="V202" s="15"/>
      <c r="W202" s="15"/>
      <c r="X202" s="15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5"/>
      <c r="H203" s="13"/>
      <c r="I203" s="13"/>
      <c r="J203" s="13"/>
      <c r="K203" s="13"/>
      <c r="L203" s="14"/>
      <c r="M203" s="13"/>
      <c r="N203" s="15"/>
      <c r="O203" s="15"/>
      <c r="P203" s="13"/>
      <c r="Q203" s="13"/>
      <c r="R203" s="13"/>
      <c r="S203" s="13"/>
      <c r="T203" s="13"/>
      <c r="U203" s="13"/>
      <c r="V203" s="15"/>
      <c r="W203" s="15"/>
      <c r="X203" s="15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5"/>
      <c r="H204" s="13"/>
      <c r="I204" s="13"/>
      <c r="J204" s="13"/>
      <c r="K204" s="13"/>
      <c r="L204" s="14"/>
      <c r="M204" s="13"/>
      <c r="N204" s="15"/>
      <c r="O204" s="15"/>
      <c r="P204" s="13"/>
      <c r="Q204" s="13"/>
      <c r="R204" s="13"/>
      <c r="S204" s="13"/>
      <c r="T204" s="13"/>
      <c r="U204" s="13"/>
      <c r="V204" s="15"/>
      <c r="W204" s="15"/>
      <c r="X204" s="15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5"/>
      <c r="H205" s="13"/>
      <c r="I205" s="13"/>
      <c r="J205" s="13"/>
      <c r="K205" s="13"/>
      <c r="L205" s="14"/>
      <c r="M205" s="13"/>
      <c r="N205" s="15"/>
      <c r="O205" s="15"/>
      <c r="P205" s="13"/>
      <c r="Q205" s="13"/>
      <c r="R205" s="13"/>
      <c r="S205" s="13"/>
      <c r="T205" s="13"/>
      <c r="U205" s="13"/>
      <c r="V205" s="15"/>
      <c r="W205" s="15"/>
      <c r="X205" s="15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5"/>
      <c r="H206" s="13"/>
      <c r="I206" s="13"/>
      <c r="J206" s="13"/>
      <c r="K206" s="13"/>
      <c r="L206" s="14"/>
      <c r="M206" s="13"/>
      <c r="N206" s="15"/>
      <c r="O206" s="15"/>
      <c r="P206" s="13"/>
      <c r="Q206" s="13"/>
      <c r="R206" s="13"/>
      <c r="S206" s="13"/>
      <c r="T206" s="13"/>
      <c r="U206" s="13"/>
      <c r="V206" s="15"/>
      <c r="W206" s="15"/>
      <c r="X206" s="15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5"/>
      <c r="H207" s="13"/>
      <c r="I207" s="13"/>
      <c r="J207" s="13"/>
      <c r="K207" s="13"/>
      <c r="L207" s="14"/>
      <c r="M207" s="13"/>
      <c r="N207" s="15"/>
      <c r="O207" s="15"/>
      <c r="P207" s="13"/>
      <c r="Q207" s="13"/>
      <c r="R207" s="13"/>
      <c r="S207" s="13"/>
      <c r="T207" s="13"/>
      <c r="U207" s="13"/>
      <c r="V207" s="15"/>
      <c r="W207" s="15"/>
      <c r="X207" s="15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5"/>
      <c r="H208" s="13"/>
      <c r="I208" s="13"/>
      <c r="J208" s="13"/>
      <c r="K208" s="13"/>
      <c r="L208" s="14"/>
      <c r="M208" s="13"/>
      <c r="N208" s="15"/>
      <c r="O208" s="15"/>
      <c r="P208" s="13"/>
      <c r="Q208" s="13"/>
      <c r="R208" s="13"/>
      <c r="S208" s="13"/>
      <c r="T208" s="13"/>
      <c r="U208" s="13"/>
      <c r="V208" s="15"/>
      <c r="W208" s="15"/>
      <c r="X208" s="15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5"/>
      <c r="H209" s="13"/>
      <c r="I209" s="13"/>
      <c r="J209" s="13"/>
      <c r="K209" s="13"/>
      <c r="L209" s="14"/>
      <c r="M209" s="13"/>
      <c r="N209" s="15"/>
      <c r="O209" s="15"/>
      <c r="P209" s="13"/>
      <c r="Q209" s="13"/>
      <c r="R209" s="13"/>
      <c r="S209" s="13"/>
      <c r="T209" s="13"/>
      <c r="U209" s="13"/>
      <c r="V209" s="15"/>
      <c r="W209" s="15"/>
      <c r="X209" s="15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5"/>
      <c r="H210" s="13"/>
      <c r="I210" s="13"/>
      <c r="J210" s="13"/>
      <c r="K210" s="13"/>
      <c r="L210" s="14"/>
      <c r="M210" s="13"/>
      <c r="N210" s="15"/>
      <c r="O210" s="15"/>
      <c r="P210" s="13"/>
      <c r="Q210" s="13"/>
      <c r="R210" s="13"/>
      <c r="S210" s="13"/>
      <c r="T210" s="13"/>
      <c r="U210" s="13"/>
      <c r="V210" s="15"/>
      <c r="W210" s="15"/>
      <c r="X210" s="15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5"/>
      <c r="H211" s="13"/>
      <c r="I211" s="13"/>
      <c r="J211" s="13"/>
      <c r="K211" s="13"/>
      <c r="L211" s="14"/>
      <c r="M211" s="13"/>
      <c r="N211" s="15"/>
      <c r="O211" s="15"/>
      <c r="P211" s="13"/>
      <c r="Q211" s="13"/>
      <c r="R211" s="13"/>
      <c r="S211" s="13"/>
      <c r="T211" s="13"/>
      <c r="U211" s="13"/>
      <c r="V211" s="15"/>
      <c r="W211" s="15"/>
      <c r="X211" s="15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5"/>
      <c r="H212" s="13"/>
      <c r="I212" s="13"/>
      <c r="J212" s="13"/>
      <c r="K212" s="13"/>
      <c r="L212" s="14"/>
      <c r="M212" s="13"/>
      <c r="N212" s="15"/>
      <c r="O212" s="15"/>
      <c r="P212" s="13"/>
      <c r="Q212" s="13"/>
      <c r="R212" s="13"/>
      <c r="S212" s="13"/>
      <c r="T212" s="13"/>
      <c r="U212" s="13"/>
      <c r="V212" s="15"/>
      <c r="W212" s="15"/>
      <c r="X212" s="15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5"/>
      <c r="H213" s="13"/>
      <c r="I213" s="13"/>
      <c r="J213" s="13"/>
      <c r="K213" s="13"/>
      <c r="L213" s="14"/>
      <c r="M213" s="13"/>
      <c r="N213" s="15"/>
      <c r="O213" s="15"/>
      <c r="P213" s="13"/>
      <c r="Q213" s="13"/>
      <c r="R213" s="13"/>
      <c r="S213" s="13"/>
      <c r="T213" s="13"/>
      <c r="U213" s="13"/>
      <c r="V213" s="15"/>
      <c r="W213" s="15"/>
      <c r="X213" s="15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5"/>
      <c r="H214" s="13"/>
      <c r="I214" s="13"/>
      <c r="J214" s="13"/>
      <c r="K214" s="13"/>
      <c r="L214" s="14"/>
      <c r="M214" s="13"/>
      <c r="N214" s="15"/>
      <c r="O214" s="15"/>
      <c r="P214" s="13"/>
      <c r="Q214" s="13"/>
      <c r="R214" s="13"/>
      <c r="S214" s="13"/>
      <c r="T214" s="13"/>
      <c r="U214" s="13"/>
      <c r="V214" s="15"/>
      <c r="W214" s="15"/>
      <c r="X214" s="15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5"/>
      <c r="H215" s="13"/>
      <c r="I215" s="13"/>
      <c r="J215" s="13"/>
      <c r="K215" s="13"/>
      <c r="L215" s="14"/>
      <c r="M215" s="13"/>
      <c r="N215" s="15"/>
      <c r="O215" s="15"/>
      <c r="P215" s="13"/>
      <c r="Q215" s="13"/>
      <c r="R215" s="13"/>
      <c r="S215" s="13"/>
      <c r="T215" s="13"/>
      <c r="U215" s="13"/>
      <c r="V215" s="15"/>
      <c r="W215" s="15"/>
      <c r="X215" s="15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5"/>
      <c r="H216" s="13"/>
      <c r="I216" s="13"/>
      <c r="J216" s="13"/>
      <c r="K216" s="13"/>
      <c r="L216" s="14"/>
      <c r="M216" s="13"/>
      <c r="N216" s="15"/>
      <c r="O216" s="15"/>
      <c r="P216" s="13"/>
      <c r="Q216" s="13"/>
      <c r="R216" s="13"/>
      <c r="S216" s="13"/>
      <c r="T216" s="13"/>
      <c r="U216" s="13"/>
      <c r="V216" s="15"/>
      <c r="W216" s="15"/>
      <c r="X216" s="15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5"/>
      <c r="H217" s="13"/>
      <c r="I217" s="13"/>
      <c r="J217" s="13"/>
      <c r="K217" s="13"/>
      <c r="L217" s="14"/>
      <c r="M217" s="13"/>
      <c r="N217" s="15"/>
      <c r="O217" s="15"/>
      <c r="P217" s="13"/>
      <c r="Q217" s="13"/>
      <c r="R217" s="13"/>
      <c r="S217" s="13"/>
      <c r="T217" s="13"/>
      <c r="U217" s="13"/>
      <c r="V217" s="15"/>
      <c r="W217" s="15"/>
      <c r="X217" s="15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5"/>
      <c r="H218" s="13"/>
      <c r="I218" s="13"/>
      <c r="J218" s="13"/>
      <c r="K218" s="13"/>
      <c r="L218" s="14"/>
      <c r="M218" s="13"/>
      <c r="N218" s="15"/>
      <c r="O218" s="15"/>
      <c r="P218" s="13"/>
      <c r="Q218" s="13"/>
      <c r="R218" s="13"/>
      <c r="S218" s="13"/>
      <c r="T218" s="13"/>
      <c r="U218" s="13"/>
      <c r="V218" s="15"/>
      <c r="W218" s="15"/>
      <c r="X218" s="15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5"/>
      <c r="H219" s="13"/>
      <c r="I219" s="13"/>
      <c r="J219" s="13"/>
      <c r="K219" s="13"/>
      <c r="L219" s="14"/>
      <c r="M219" s="13"/>
      <c r="N219" s="15"/>
      <c r="O219" s="15"/>
      <c r="P219" s="13"/>
      <c r="Q219" s="13"/>
      <c r="R219" s="13"/>
      <c r="S219" s="13"/>
      <c r="T219" s="13"/>
      <c r="U219" s="13"/>
      <c r="V219" s="15"/>
      <c r="W219" s="15"/>
      <c r="X219" s="15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5"/>
      <c r="H220" s="13"/>
      <c r="I220" s="13"/>
      <c r="J220" s="13"/>
      <c r="K220" s="13"/>
      <c r="L220" s="14"/>
      <c r="M220" s="13"/>
      <c r="N220" s="15"/>
      <c r="O220" s="15"/>
      <c r="P220" s="13"/>
      <c r="Q220" s="13"/>
      <c r="R220" s="13"/>
      <c r="S220" s="13"/>
      <c r="T220" s="13"/>
      <c r="U220" s="13"/>
      <c r="V220" s="15"/>
      <c r="W220" s="15"/>
      <c r="X220" s="15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5"/>
      <c r="H221" s="13"/>
      <c r="I221" s="13"/>
      <c r="J221" s="13"/>
      <c r="K221" s="13"/>
      <c r="L221" s="14"/>
      <c r="M221" s="13"/>
      <c r="N221" s="15"/>
      <c r="O221" s="15"/>
      <c r="P221" s="13"/>
      <c r="Q221" s="13"/>
      <c r="R221" s="13"/>
      <c r="S221" s="13"/>
      <c r="T221" s="13"/>
      <c r="U221" s="13"/>
      <c r="V221" s="15"/>
      <c r="W221" s="15"/>
      <c r="X221" s="15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5"/>
      <c r="H222" s="13"/>
      <c r="I222" s="13"/>
      <c r="J222" s="13"/>
      <c r="K222" s="13"/>
      <c r="L222" s="14"/>
      <c r="M222" s="13"/>
      <c r="N222" s="15"/>
      <c r="O222" s="15"/>
      <c r="P222" s="13"/>
      <c r="Q222" s="13"/>
      <c r="R222" s="13"/>
      <c r="S222" s="13"/>
      <c r="T222" s="13"/>
      <c r="U222" s="13"/>
      <c r="V222" s="15"/>
      <c r="W222" s="15"/>
      <c r="X222" s="15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5"/>
      <c r="H223" s="13"/>
      <c r="I223" s="13"/>
      <c r="J223" s="13"/>
      <c r="K223" s="13"/>
      <c r="L223" s="14"/>
      <c r="M223" s="13"/>
      <c r="N223" s="15"/>
      <c r="O223" s="15"/>
      <c r="P223" s="13"/>
      <c r="Q223" s="13"/>
      <c r="R223" s="13"/>
      <c r="S223" s="13"/>
      <c r="T223" s="13"/>
      <c r="U223" s="13"/>
      <c r="V223" s="15"/>
      <c r="W223" s="15"/>
      <c r="X223" s="15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5"/>
      <c r="H224" s="13"/>
      <c r="I224" s="13"/>
      <c r="J224" s="13"/>
      <c r="K224" s="13"/>
      <c r="L224" s="14"/>
      <c r="M224" s="13"/>
      <c r="N224" s="15"/>
      <c r="O224" s="15"/>
      <c r="P224" s="13"/>
      <c r="Q224" s="13"/>
      <c r="R224" s="13"/>
      <c r="S224" s="13"/>
      <c r="T224" s="13"/>
      <c r="U224" s="13"/>
      <c r="V224" s="15"/>
      <c r="W224" s="15"/>
      <c r="X224" s="15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5"/>
      <c r="H225" s="13"/>
      <c r="I225" s="13"/>
      <c r="J225" s="13"/>
      <c r="K225" s="13"/>
      <c r="L225" s="14"/>
      <c r="M225" s="13"/>
      <c r="N225" s="15"/>
      <c r="O225" s="15"/>
      <c r="P225" s="13"/>
      <c r="Q225" s="13"/>
      <c r="R225" s="13"/>
      <c r="S225" s="13"/>
      <c r="T225" s="13"/>
      <c r="U225" s="13"/>
      <c r="V225" s="15"/>
      <c r="W225" s="15"/>
      <c r="X225" s="15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5"/>
      <c r="H226" s="13"/>
      <c r="I226" s="13"/>
      <c r="J226" s="13"/>
      <c r="K226" s="13"/>
      <c r="L226" s="14"/>
      <c r="M226" s="13"/>
      <c r="N226" s="15"/>
      <c r="O226" s="15"/>
      <c r="P226" s="13"/>
      <c r="Q226" s="13"/>
      <c r="R226" s="13"/>
      <c r="S226" s="13"/>
      <c r="T226" s="13"/>
      <c r="U226" s="13"/>
      <c r="V226" s="15"/>
      <c r="W226" s="15"/>
      <c r="X226" s="15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5"/>
      <c r="H227" s="13"/>
      <c r="I227" s="13"/>
      <c r="J227" s="13"/>
      <c r="K227" s="13"/>
      <c r="L227" s="14"/>
      <c r="M227" s="13"/>
      <c r="N227" s="15"/>
      <c r="O227" s="15"/>
      <c r="P227" s="13"/>
      <c r="Q227" s="13"/>
      <c r="R227" s="13"/>
      <c r="S227" s="13"/>
      <c r="T227" s="13"/>
      <c r="U227" s="13"/>
      <c r="V227" s="15"/>
      <c r="W227" s="15"/>
      <c r="X227" s="15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5"/>
      <c r="H228" s="13"/>
      <c r="I228" s="13"/>
      <c r="J228" s="13"/>
      <c r="K228" s="13"/>
      <c r="L228" s="14"/>
      <c r="M228" s="13"/>
      <c r="N228" s="15"/>
      <c r="O228" s="15"/>
      <c r="P228" s="13"/>
      <c r="Q228" s="13"/>
      <c r="R228" s="13"/>
      <c r="S228" s="13"/>
      <c r="T228" s="13"/>
      <c r="U228" s="13"/>
      <c r="V228" s="15"/>
      <c r="W228" s="15"/>
      <c r="X228" s="15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5"/>
      <c r="H229" s="13"/>
      <c r="I229" s="13"/>
      <c r="J229" s="13"/>
      <c r="K229" s="13"/>
      <c r="L229" s="14"/>
      <c r="M229" s="13"/>
      <c r="N229" s="15"/>
      <c r="O229" s="15"/>
      <c r="P229" s="13"/>
      <c r="Q229" s="13"/>
      <c r="R229" s="13"/>
      <c r="S229" s="13"/>
      <c r="T229" s="13"/>
      <c r="U229" s="13"/>
      <c r="V229" s="15"/>
      <c r="W229" s="15"/>
      <c r="X229" s="15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5"/>
      <c r="H230" s="13"/>
      <c r="I230" s="13"/>
      <c r="J230" s="13"/>
      <c r="K230" s="13"/>
      <c r="L230" s="14"/>
      <c r="M230" s="13"/>
      <c r="N230" s="15"/>
      <c r="O230" s="15"/>
      <c r="P230" s="13"/>
      <c r="Q230" s="13"/>
      <c r="R230" s="13"/>
      <c r="S230" s="13"/>
      <c r="T230" s="13"/>
      <c r="U230" s="13"/>
      <c r="V230" s="15"/>
      <c r="W230" s="15"/>
      <c r="X230" s="15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5"/>
      <c r="H231" s="13"/>
      <c r="I231" s="13"/>
      <c r="J231" s="13"/>
      <c r="K231" s="13"/>
      <c r="L231" s="14"/>
      <c r="M231" s="13"/>
      <c r="N231" s="15"/>
      <c r="O231" s="15"/>
      <c r="P231" s="13"/>
      <c r="Q231" s="13"/>
      <c r="R231" s="13"/>
      <c r="S231" s="13"/>
      <c r="T231" s="13"/>
      <c r="U231" s="13"/>
      <c r="V231" s="15"/>
      <c r="W231" s="15"/>
      <c r="X231" s="15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5"/>
      <c r="H232" s="13"/>
      <c r="I232" s="13"/>
      <c r="J232" s="13"/>
      <c r="K232" s="13"/>
      <c r="L232" s="14"/>
      <c r="M232" s="13"/>
      <c r="N232" s="15"/>
      <c r="O232" s="15"/>
      <c r="P232" s="13"/>
      <c r="Q232" s="13"/>
      <c r="R232" s="13"/>
      <c r="S232" s="13"/>
      <c r="T232" s="13"/>
      <c r="U232" s="13"/>
      <c r="V232" s="15"/>
      <c r="W232" s="15"/>
      <c r="X232" s="15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5"/>
      <c r="H233" s="13"/>
      <c r="I233" s="13"/>
      <c r="J233" s="13"/>
      <c r="K233" s="13"/>
      <c r="L233" s="14"/>
      <c r="M233" s="13"/>
      <c r="N233" s="15"/>
      <c r="O233" s="15"/>
      <c r="P233" s="13"/>
      <c r="Q233" s="13"/>
      <c r="R233" s="13"/>
      <c r="S233" s="13"/>
      <c r="T233" s="13"/>
      <c r="U233" s="13"/>
      <c r="V233" s="15"/>
      <c r="W233" s="15"/>
      <c r="X233" s="15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5"/>
      <c r="H234" s="13"/>
      <c r="I234" s="13"/>
      <c r="J234" s="13"/>
      <c r="K234" s="13"/>
      <c r="L234" s="14"/>
      <c r="M234" s="13"/>
      <c r="N234" s="15"/>
      <c r="O234" s="15"/>
      <c r="P234" s="13"/>
      <c r="Q234" s="13"/>
      <c r="R234" s="13"/>
      <c r="S234" s="13"/>
      <c r="T234" s="13"/>
      <c r="U234" s="13"/>
      <c r="V234" s="15"/>
      <c r="W234" s="15"/>
      <c r="X234" s="15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5"/>
      <c r="H235" s="13"/>
      <c r="I235" s="13"/>
      <c r="J235" s="13"/>
      <c r="K235" s="13"/>
      <c r="L235" s="14"/>
      <c r="M235" s="13"/>
      <c r="N235" s="15"/>
      <c r="O235" s="15"/>
      <c r="P235" s="13"/>
      <c r="Q235" s="13"/>
      <c r="R235" s="13"/>
      <c r="S235" s="13"/>
      <c r="T235" s="13"/>
      <c r="U235" s="13"/>
      <c r="V235" s="15"/>
      <c r="W235" s="15"/>
      <c r="X235" s="15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5"/>
      <c r="H236" s="13"/>
      <c r="I236" s="13"/>
      <c r="J236" s="13"/>
      <c r="K236" s="13"/>
      <c r="L236" s="14"/>
      <c r="M236" s="13"/>
      <c r="N236" s="15"/>
      <c r="O236" s="15"/>
      <c r="P236" s="13"/>
      <c r="Q236" s="13"/>
      <c r="R236" s="13"/>
      <c r="S236" s="13"/>
      <c r="T236" s="13"/>
      <c r="U236" s="13"/>
      <c r="V236" s="15"/>
      <c r="W236" s="15"/>
      <c r="X236" s="15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5"/>
      <c r="H237" s="13"/>
      <c r="I237" s="13"/>
      <c r="J237" s="13"/>
      <c r="K237" s="13"/>
      <c r="L237" s="14"/>
      <c r="M237" s="13"/>
      <c r="N237" s="15"/>
      <c r="O237" s="15"/>
      <c r="P237" s="13"/>
      <c r="Q237" s="13"/>
      <c r="R237" s="13"/>
      <c r="S237" s="13"/>
      <c r="T237" s="13"/>
      <c r="U237" s="13"/>
      <c r="V237" s="15"/>
      <c r="W237" s="15"/>
      <c r="X237" s="15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5"/>
      <c r="H238" s="13"/>
      <c r="I238" s="13"/>
      <c r="J238" s="13"/>
      <c r="K238" s="13"/>
      <c r="L238" s="14"/>
      <c r="M238" s="13"/>
      <c r="N238" s="15"/>
      <c r="O238" s="15"/>
      <c r="P238" s="13"/>
      <c r="Q238" s="13"/>
      <c r="R238" s="13"/>
      <c r="S238" s="13"/>
      <c r="T238" s="13"/>
      <c r="U238" s="13"/>
      <c r="V238" s="15"/>
      <c r="W238" s="15"/>
      <c r="X238" s="15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5"/>
      <c r="H239" s="13"/>
      <c r="I239" s="13"/>
      <c r="J239" s="13"/>
      <c r="K239" s="13"/>
      <c r="L239" s="14"/>
      <c r="M239" s="13"/>
      <c r="N239" s="15"/>
      <c r="O239" s="15"/>
      <c r="P239" s="13"/>
      <c r="Q239" s="13"/>
      <c r="R239" s="13"/>
      <c r="S239" s="13"/>
      <c r="T239" s="13"/>
      <c r="U239" s="13"/>
      <c r="V239" s="15"/>
      <c r="W239" s="15"/>
      <c r="X239" s="15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5"/>
      <c r="H240" s="13"/>
      <c r="I240" s="13"/>
      <c r="J240" s="13"/>
      <c r="K240" s="13"/>
      <c r="L240" s="14"/>
      <c r="M240" s="13"/>
      <c r="N240" s="15"/>
      <c r="O240" s="15"/>
      <c r="P240" s="13"/>
      <c r="Q240" s="13"/>
      <c r="R240" s="13"/>
      <c r="S240" s="13"/>
      <c r="T240" s="13"/>
      <c r="U240" s="13"/>
      <c r="V240" s="15"/>
      <c r="W240" s="15"/>
      <c r="X240" s="15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5"/>
      <c r="H241" s="13"/>
      <c r="I241" s="13"/>
      <c r="J241" s="13"/>
      <c r="K241" s="13"/>
      <c r="L241" s="14"/>
      <c r="M241" s="13"/>
      <c r="N241" s="15"/>
      <c r="O241" s="15"/>
      <c r="P241" s="13"/>
      <c r="Q241" s="13"/>
      <c r="R241" s="13"/>
      <c r="S241" s="13"/>
      <c r="T241" s="13"/>
      <c r="U241" s="13"/>
      <c r="V241" s="15"/>
      <c r="W241" s="15"/>
      <c r="X241" s="15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5"/>
      <c r="H242" s="13"/>
      <c r="I242" s="13"/>
      <c r="J242" s="13"/>
      <c r="K242" s="13"/>
      <c r="L242" s="14"/>
      <c r="M242" s="13"/>
      <c r="N242" s="15"/>
      <c r="O242" s="15"/>
      <c r="P242" s="13"/>
      <c r="Q242" s="13"/>
      <c r="R242" s="13"/>
      <c r="S242" s="13"/>
      <c r="T242" s="13"/>
      <c r="U242" s="13"/>
      <c r="V242" s="15"/>
      <c r="W242" s="15"/>
      <c r="X242" s="15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5"/>
      <c r="H243" s="13"/>
      <c r="I243" s="13"/>
      <c r="J243" s="13"/>
      <c r="K243" s="13"/>
      <c r="L243" s="14"/>
      <c r="M243" s="13"/>
      <c r="N243" s="15"/>
      <c r="O243" s="15"/>
      <c r="P243" s="13"/>
      <c r="Q243" s="13"/>
      <c r="R243" s="13"/>
      <c r="S243" s="13"/>
      <c r="T243" s="13"/>
      <c r="U243" s="13"/>
      <c r="V243" s="15"/>
      <c r="W243" s="15"/>
      <c r="X243" s="15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5"/>
      <c r="H244" s="13"/>
      <c r="I244" s="13"/>
      <c r="J244" s="13"/>
      <c r="K244" s="13"/>
      <c r="L244" s="14"/>
      <c r="M244" s="13"/>
      <c r="N244" s="15"/>
      <c r="O244" s="15"/>
      <c r="P244" s="13"/>
      <c r="Q244" s="13"/>
      <c r="R244" s="13"/>
      <c r="S244" s="13"/>
      <c r="T244" s="13"/>
      <c r="U244" s="13"/>
      <c r="V244" s="15"/>
      <c r="W244" s="15"/>
      <c r="X244" s="15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5"/>
      <c r="H245" s="13"/>
      <c r="I245" s="13"/>
      <c r="J245" s="13"/>
      <c r="K245" s="13"/>
      <c r="L245" s="14"/>
      <c r="M245" s="13"/>
      <c r="N245" s="15"/>
      <c r="O245" s="15"/>
      <c r="P245" s="13"/>
      <c r="Q245" s="13"/>
      <c r="R245" s="13"/>
      <c r="S245" s="13"/>
      <c r="T245" s="13"/>
      <c r="U245" s="13"/>
      <c r="V245" s="15"/>
      <c r="W245" s="15"/>
      <c r="X245" s="15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5"/>
      <c r="H246" s="13"/>
      <c r="I246" s="13"/>
      <c r="J246" s="13"/>
      <c r="K246" s="13"/>
      <c r="L246" s="14"/>
      <c r="M246" s="13"/>
      <c r="N246" s="15"/>
      <c r="O246" s="15"/>
      <c r="P246" s="13"/>
      <c r="Q246" s="13"/>
      <c r="R246" s="13"/>
      <c r="S246" s="13"/>
      <c r="T246" s="13"/>
      <c r="U246" s="13"/>
      <c r="V246" s="15"/>
      <c r="W246" s="15"/>
      <c r="X246" s="15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5"/>
      <c r="H247" s="13"/>
      <c r="I247" s="13"/>
      <c r="J247" s="13"/>
      <c r="K247" s="13"/>
      <c r="L247" s="14"/>
      <c r="M247" s="13"/>
      <c r="N247" s="15"/>
      <c r="O247" s="15"/>
      <c r="P247" s="13"/>
      <c r="Q247" s="13"/>
      <c r="R247" s="13"/>
      <c r="S247" s="13"/>
      <c r="T247" s="13"/>
      <c r="U247" s="13"/>
      <c r="V247" s="15"/>
      <c r="W247" s="15"/>
      <c r="X247" s="15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5"/>
      <c r="H248" s="13"/>
      <c r="I248" s="13"/>
      <c r="J248" s="13"/>
      <c r="K248" s="13"/>
      <c r="L248" s="14"/>
      <c r="M248" s="13"/>
      <c r="N248" s="15"/>
      <c r="O248" s="15"/>
      <c r="P248" s="13"/>
      <c r="Q248" s="13"/>
      <c r="R248" s="13"/>
      <c r="S248" s="13"/>
      <c r="T248" s="13"/>
      <c r="U248" s="13"/>
      <c r="V248" s="15"/>
      <c r="W248" s="15"/>
      <c r="X248" s="15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5"/>
      <c r="H249" s="13"/>
      <c r="I249" s="13"/>
      <c r="J249" s="13"/>
      <c r="K249" s="13"/>
      <c r="L249" s="14"/>
      <c r="M249" s="13"/>
      <c r="N249" s="15"/>
      <c r="O249" s="15"/>
      <c r="P249" s="13"/>
      <c r="Q249" s="13"/>
      <c r="R249" s="13"/>
      <c r="S249" s="13"/>
      <c r="T249" s="13"/>
      <c r="U249" s="13"/>
      <c r="V249" s="15"/>
      <c r="W249" s="15"/>
      <c r="X249" s="15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5"/>
      <c r="H250" s="13"/>
      <c r="I250" s="13"/>
      <c r="J250" s="13"/>
      <c r="K250" s="13"/>
      <c r="L250" s="14"/>
      <c r="M250" s="13"/>
      <c r="N250" s="15"/>
      <c r="O250" s="15"/>
      <c r="P250" s="13"/>
      <c r="Q250" s="13"/>
      <c r="R250" s="13"/>
      <c r="S250" s="13"/>
      <c r="T250" s="13"/>
      <c r="U250" s="13"/>
      <c r="V250" s="15"/>
      <c r="W250" s="15"/>
      <c r="X250" s="15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5"/>
      <c r="H251" s="13"/>
      <c r="I251" s="13"/>
      <c r="J251" s="13"/>
      <c r="K251" s="13"/>
      <c r="L251" s="14"/>
      <c r="M251" s="13"/>
      <c r="N251" s="15"/>
      <c r="O251" s="15"/>
      <c r="P251" s="13"/>
      <c r="Q251" s="13"/>
      <c r="R251" s="13"/>
      <c r="S251" s="13"/>
      <c r="T251" s="13"/>
      <c r="U251" s="13"/>
      <c r="V251" s="15"/>
      <c r="W251" s="15"/>
      <c r="X251" s="15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5"/>
      <c r="H252" s="13"/>
      <c r="I252" s="13"/>
      <c r="J252" s="13"/>
      <c r="K252" s="13"/>
      <c r="L252" s="14"/>
      <c r="M252" s="13"/>
      <c r="N252" s="15"/>
      <c r="O252" s="15"/>
      <c r="P252" s="13"/>
      <c r="Q252" s="13"/>
      <c r="R252" s="13"/>
      <c r="S252" s="13"/>
      <c r="T252" s="13"/>
      <c r="U252" s="13"/>
      <c r="V252" s="15"/>
      <c r="W252" s="15"/>
      <c r="X252" s="15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5"/>
      <c r="H253" s="13"/>
      <c r="I253" s="13"/>
      <c r="J253" s="13"/>
      <c r="K253" s="13"/>
      <c r="L253" s="14"/>
      <c r="M253" s="13"/>
      <c r="N253" s="15"/>
      <c r="O253" s="15"/>
      <c r="P253" s="13"/>
      <c r="Q253" s="13"/>
      <c r="R253" s="13"/>
      <c r="S253" s="13"/>
      <c r="T253" s="13"/>
      <c r="U253" s="13"/>
      <c r="V253" s="15"/>
      <c r="W253" s="15"/>
      <c r="X253" s="15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5"/>
      <c r="H254" s="13"/>
      <c r="I254" s="13"/>
      <c r="J254" s="13"/>
      <c r="K254" s="13"/>
      <c r="L254" s="14"/>
      <c r="M254" s="13"/>
      <c r="N254" s="15"/>
      <c r="O254" s="15"/>
      <c r="P254" s="13"/>
      <c r="Q254" s="13"/>
      <c r="R254" s="13"/>
      <c r="S254" s="13"/>
      <c r="T254" s="13"/>
      <c r="U254" s="13"/>
      <c r="V254" s="15"/>
      <c r="W254" s="15"/>
      <c r="X254" s="15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5"/>
      <c r="H255" s="13"/>
      <c r="I255" s="13"/>
      <c r="J255" s="13"/>
      <c r="K255" s="13"/>
      <c r="L255" s="14"/>
      <c r="M255" s="13"/>
      <c r="N255" s="15"/>
      <c r="O255" s="15"/>
      <c r="P255" s="13"/>
      <c r="Q255" s="13"/>
      <c r="R255" s="13"/>
      <c r="S255" s="13"/>
      <c r="T255" s="13"/>
      <c r="U255" s="13"/>
      <c r="V255" s="15"/>
      <c r="W255" s="15"/>
      <c r="X255" s="15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5"/>
      <c r="H256" s="13"/>
      <c r="I256" s="13"/>
      <c r="J256" s="13"/>
      <c r="K256" s="13"/>
      <c r="L256" s="14"/>
      <c r="M256" s="13"/>
      <c r="N256" s="15"/>
      <c r="O256" s="15"/>
      <c r="P256" s="13"/>
      <c r="Q256" s="13"/>
      <c r="R256" s="13"/>
      <c r="S256" s="13"/>
      <c r="T256" s="13"/>
      <c r="U256" s="13"/>
      <c r="V256" s="15"/>
      <c r="W256" s="15"/>
      <c r="X256" s="15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5"/>
      <c r="H257" s="13"/>
      <c r="I257" s="13"/>
      <c r="J257" s="13"/>
      <c r="K257" s="13"/>
      <c r="L257" s="14"/>
      <c r="M257" s="13"/>
      <c r="N257" s="15"/>
      <c r="O257" s="15"/>
      <c r="P257" s="13"/>
      <c r="Q257" s="13"/>
      <c r="R257" s="13"/>
      <c r="S257" s="13"/>
      <c r="T257" s="13"/>
      <c r="U257" s="13"/>
      <c r="V257" s="15"/>
      <c r="W257" s="15"/>
      <c r="X257" s="15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5"/>
      <c r="H258" s="13"/>
      <c r="I258" s="13"/>
      <c r="J258" s="13"/>
      <c r="K258" s="13"/>
      <c r="L258" s="14"/>
      <c r="M258" s="13"/>
      <c r="N258" s="15"/>
      <c r="O258" s="15"/>
      <c r="P258" s="13"/>
      <c r="Q258" s="13"/>
      <c r="R258" s="13"/>
      <c r="S258" s="13"/>
      <c r="T258" s="13"/>
      <c r="U258" s="13"/>
      <c r="V258" s="15"/>
      <c r="W258" s="15"/>
      <c r="X258" s="15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5"/>
      <c r="H259" s="13"/>
      <c r="I259" s="13"/>
      <c r="J259" s="13"/>
      <c r="K259" s="13"/>
      <c r="L259" s="14"/>
      <c r="M259" s="13"/>
      <c r="N259" s="15"/>
      <c r="O259" s="15"/>
      <c r="P259" s="13"/>
      <c r="Q259" s="13"/>
      <c r="R259" s="13"/>
      <c r="S259" s="13"/>
      <c r="T259" s="13"/>
      <c r="U259" s="13"/>
      <c r="V259" s="15"/>
      <c r="W259" s="15"/>
      <c r="X259" s="15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5"/>
      <c r="H260" s="13"/>
      <c r="I260" s="13"/>
      <c r="J260" s="13"/>
      <c r="K260" s="13"/>
      <c r="L260" s="14"/>
      <c r="M260" s="13"/>
      <c r="N260" s="15"/>
      <c r="O260" s="15"/>
      <c r="P260" s="13"/>
      <c r="Q260" s="13"/>
      <c r="R260" s="13"/>
      <c r="S260" s="13"/>
      <c r="T260" s="13"/>
      <c r="U260" s="13"/>
      <c r="V260" s="15"/>
      <c r="W260" s="15"/>
      <c r="X260" s="15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5"/>
      <c r="H261" s="13"/>
      <c r="I261" s="13"/>
      <c r="J261" s="13"/>
      <c r="K261" s="13"/>
      <c r="L261" s="14"/>
      <c r="M261" s="13"/>
      <c r="N261" s="15"/>
      <c r="O261" s="15"/>
      <c r="P261" s="13"/>
      <c r="Q261" s="13"/>
      <c r="R261" s="13"/>
      <c r="S261" s="13"/>
      <c r="T261" s="13"/>
      <c r="U261" s="13"/>
      <c r="V261" s="15"/>
      <c r="W261" s="15"/>
      <c r="X261" s="15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5"/>
      <c r="H262" s="13"/>
      <c r="I262" s="13"/>
      <c r="J262" s="13"/>
      <c r="K262" s="13"/>
      <c r="L262" s="14"/>
      <c r="M262" s="13"/>
      <c r="N262" s="15"/>
      <c r="O262" s="15"/>
      <c r="P262" s="13"/>
      <c r="Q262" s="13"/>
      <c r="R262" s="13"/>
      <c r="S262" s="13"/>
      <c r="T262" s="13"/>
      <c r="U262" s="13"/>
      <c r="V262" s="15"/>
      <c r="W262" s="15"/>
      <c r="X262" s="15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5"/>
      <c r="H263" s="13"/>
      <c r="I263" s="13"/>
      <c r="J263" s="13"/>
      <c r="K263" s="13"/>
      <c r="L263" s="14"/>
      <c r="M263" s="13"/>
      <c r="N263" s="15"/>
      <c r="O263" s="15"/>
      <c r="P263" s="13"/>
      <c r="Q263" s="13"/>
      <c r="R263" s="13"/>
      <c r="S263" s="13"/>
      <c r="T263" s="13"/>
      <c r="U263" s="13"/>
      <c r="V263" s="15"/>
      <c r="W263" s="15"/>
      <c r="X263" s="15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5"/>
      <c r="H264" s="13"/>
      <c r="I264" s="13"/>
      <c r="J264" s="13"/>
      <c r="K264" s="13"/>
      <c r="L264" s="14"/>
      <c r="M264" s="13"/>
      <c r="N264" s="15"/>
      <c r="O264" s="15"/>
      <c r="P264" s="13"/>
      <c r="Q264" s="13"/>
      <c r="R264" s="13"/>
      <c r="S264" s="13"/>
      <c r="T264" s="13"/>
      <c r="U264" s="13"/>
      <c r="V264" s="15"/>
      <c r="W264" s="15"/>
      <c r="X264" s="15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5"/>
      <c r="H265" s="13"/>
      <c r="I265" s="13"/>
      <c r="J265" s="13"/>
      <c r="K265" s="13"/>
      <c r="L265" s="14"/>
      <c r="M265" s="13"/>
      <c r="N265" s="15"/>
      <c r="O265" s="15"/>
      <c r="P265" s="13"/>
      <c r="Q265" s="13"/>
      <c r="R265" s="13"/>
      <c r="S265" s="13"/>
      <c r="T265" s="13"/>
      <c r="U265" s="13"/>
      <c r="V265" s="15"/>
      <c r="W265" s="15"/>
      <c r="X265" s="15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5"/>
      <c r="H266" s="13"/>
      <c r="I266" s="13"/>
      <c r="J266" s="13"/>
      <c r="K266" s="13"/>
      <c r="L266" s="14"/>
      <c r="M266" s="13"/>
      <c r="N266" s="15"/>
      <c r="O266" s="15"/>
      <c r="P266" s="13"/>
      <c r="Q266" s="13"/>
      <c r="R266" s="13"/>
      <c r="S266" s="13"/>
      <c r="T266" s="13"/>
      <c r="U266" s="13"/>
      <c r="V266" s="15"/>
      <c r="W266" s="15"/>
      <c r="X266" s="15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5"/>
      <c r="H267" s="13"/>
      <c r="I267" s="13"/>
      <c r="J267" s="13"/>
      <c r="K267" s="13"/>
      <c r="L267" s="14"/>
      <c r="M267" s="13"/>
      <c r="N267" s="15"/>
      <c r="O267" s="15"/>
      <c r="P267" s="13"/>
      <c r="Q267" s="13"/>
      <c r="R267" s="13"/>
      <c r="S267" s="13"/>
      <c r="T267" s="13"/>
      <c r="U267" s="13"/>
      <c r="V267" s="15"/>
      <c r="W267" s="15"/>
      <c r="X267" s="15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5"/>
      <c r="H268" s="13"/>
      <c r="I268" s="13"/>
      <c r="J268" s="13"/>
      <c r="K268" s="13"/>
      <c r="L268" s="14"/>
      <c r="M268" s="13"/>
      <c r="N268" s="15"/>
      <c r="O268" s="15"/>
      <c r="P268" s="13"/>
      <c r="Q268" s="13"/>
      <c r="R268" s="13"/>
      <c r="S268" s="13"/>
      <c r="T268" s="13"/>
      <c r="U268" s="13"/>
      <c r="V268" s="15"/>
      <c r="W268" s="15"/>
      <c r="X268" s="15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5"/>
      <c r="H269" s="13"/>
      <c r="I269" s="13"/>
      <c r="J269" s="13"/>
      <c r="K269" s="13"/>
      <c r="L269" s="14"/>
      <c r="M269" s="13"/>
      <c r="N269" s="15"/>
      <c r="O269" s="15"/>
      <c r="P269" s="13"/>
      <c r="Q269" s="13"/>
      <c r="R269" s="13"/>
      <c r="S269" s="13"/>
      <c r="T269" s="13"/>
      <c r="U269" s="13"/>
      <c r="V269" s="15"/>
      <c r="W269" s="15"/>
      <c r="X269" s="15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5"/>
      <c r="H270" s="13"/>
      <c r="I270" s="13"/>
      <c r="J270" s="13"/>
      <c r="K270" s="13"/>
      <c r="L270" s="14"/>
      <c r="M270" s="13"/>
      <c r="N270" s="15"/>
      <c r="O270" s="15"/>
      <c r="P270" s="13"/>
      <c r="Q270" s="13"/>
      <c r="R270" s="13"/>
      <c r="S270" s="13"/>
      <c r="T270" s="13"/>
      <c r="U270" s="13"/>
      <c r="V270" s="15"/>
      <c r="W270" s="15"/>
      <c r="X270" s="15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5"/>
      <c r="H271" s="13"/>
      <c r="I271" s="13"/>
      <c r="J271" s="13"/>
      <c r="K271" s="13"/>
      <c r="L271" s="14"/>
      <c r="M271" s="13"/>
      <c r="N271" s="15"/>
      <c r="O271" s="15"/>
      <c r="P271" s="13"/>
      <c r="Q271" s="13"/>
      <c r="R271" s="13"/>
      <c r="S271" s="13"/>
      <c r="T271" s="13"/>
      <c r="U271" s="13"/>
      <c r="V271" s="15"/>
      <c r="W271" s="15"/>
      <c r="X271" s="15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5"/>
      <c r="H272" s="13"/>
      <c r="I272" s="13"/>
      <c r="J272" s="13"/>
      <c r="K272" s="13"/>
      <c r="L272" s="14"/>
      <c r="M272" s="13"/>
      <c r="N272" s="15"/>
      <c r="O272" s="15"/>
      <c r="P272" s="13"/>
      <c r="Q272" s="13"/>
      <c r="R272" s="13"/>
      <c r="S272" s="13"/>
      <c r="T272" s="13"/>
      <c r="U272" s="13"/>
      <c r="V272" s="15"/>
      <c r="W272" s="15"/>
      <c r="X272" s="15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5"/>
      <c r="H273" s="13"/>
      <c r="I273" s="13"/>
      <c r="J273" s="13"/>
      <c r="K273" s="13"/>
      <c r="L273" s="14"/>
      <c r="M273" s="13"/>
      <c r="N273" s="15"/>
      <c r="O273" s="15"/>
      <c r="P273" s="13"/>
      <c r="Q273" s="13"/>
      <c r="R273" s="13"/>
      <c r="S273" s="13"/>
      <c r="T273" s="13"/>
      <c r="U273" s="13"/>
      <c r="V273" s="15"/>
      <c r="W273" s="15"/>
      <c r="X273" s="15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5"/>
      <c r="H274" s="13"/>
      <c r="I274" s="13"/>
      <c r="J274" s="13"/>
      <c r="K274" s="13"/>
      <c r="L274" s="14"/>
      <c r="M274" s="13"/>
      <c r="N274" s="15"/>
      <c r="O274" s="15"/>
      <c r="P274" s="13"/>
      <c r="Q274" s="13"/>
      <c r="R274" s="13"/>
      <c r="S274" s="13"/>
      <c r="T274" s="13"/>
      <c r="U274" s="13"/>
      <c r="V274" s="15"/>
      <c r="W274" s="15"/>
      <c r="X274" s="15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5"/>
      <c r="H275" s="13"/>
      <c r="I275" s="13"/>
      <c r="J275" s="13"/>
      <c r="K275" s="13"/>
      <c r="L275" s="14"/>
      <c r="M275" s="13"/>
      <c r="N275" s="15"/>
      <c r="O275" s="15"/>
      <c r="P275" s="13"/>
      <c r="Q275" s="13"/>
      <c r="R275" s="13"/>
      <c r="S275" s="13"/>
      <c r="T275" s="13"/>
      <c r="U275" s="13"/>
      <c r="V275" s="15"/>
      <c r="W275" s="15"/>
      <c r="X275" s="15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5"/>
      <c r="H276" s="13"/>
      <c r="I276" s="13"/>
      <c r="J276" s="13"/>
      <c r="K276" s="13"/>
      <c r="L276" s="14"/>
      <c r="M276" s="13"/>
      <c r="N276" s="15"/>
      <c r="O276" s="15"/>
      <c r="P276" s="13"/>
      <c r="Q276" s="13"/>
      <c r="R276" s="13"/>
      <c r="S276" s="13"/>
      <c r="T276" s="13"/>
      <c r="U276" s="13"/>
      <c r="V276" s="15"/>
      <c r="W276" s="15"/>
      <c r="X276" s="15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5"/>
      <c r="H277" s="13"/>
      <c r="I277" s="13"/>
      <c r="J277" s="13"/>
      <c r="K277" s="13"/>
      <c r="L277" s="14"/>
      <c r="M277" s="13"/>
      <c r="N277" s="15"/>
      <c r="O277" s="15"/>
      <c r="P277" s="13"/>
      <c r="Q277" s="13"/>
      <c r="R277" s="13"/>
      <c r="S277" s="13"/>
      <c r="T277" s="13"/>
      <c r="U277" s="13"/>
      <c r="V277" s="15"/>
      <c r="W277" s="15"/>
      <c r="X277" s="15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5"/>
      <c r="H278" s="13"/>
      <c r="I278" s="13"/>
      <c r="J278" s="13"/>
      <c r="K278" s="13"/>
      <c r="L278" s="14"/>
      <c r="M278" s="13"/>
      <c r="N278" s="15"/>
      <c r="O278" s="15"/>
      <c r="P278" s="13"/>
      <c r="Q278" s="13"/>
      <c r="R278" s="13"/>
      <c r="S278" s="13"/>
      <c r="T278" s="13"/>
      <c r="U278" s="13"/>
      <c r="V278" s="15"/>
      <c r="W278" s="15"/>
      <c r="X278" s="15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5"/>
      <c r="H279" s="13"/>
      <c r="I279" s="13"/>
      <c r="J279" s="13"/>
      <c r="K279" s="13"/>
      <c r="L279" s="14"/>
      <c r="M279" s="13"/>
      <c r="N279" s="15"/>
      <c r="O279" s="15"/>
      <c r="P279" s="13"/>
      <c r="Q279" s="13"/>
      <c r="R279" s="13"/>
      <c r="S279" s="13"/>
      <c r="T279" s="13"/>
      <c r="U279" s="13"/>
      <c r="V279" s="15"/>
      <c r="W279" s="15"/>
      <c r="X279" s="15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5"/>
      <c r="H280" s="13"/>
      <c r="I280" s="13"/>
      <c r="J280" s="13"/>
      <c r="K280" s="13"/>
      <c r="L280" s="14"/>
      <c r="M280" s="13"/>
      <c r="N280" s="15"/>
      <c r="O280" s="15"/>
      <c r="P280" s="13"/>
      <c r="Q280" s="13"/>
      <c r="R280" s="13"/>
      <c r="S280" s="13"/>
      <c r="T280" s="13"/>
      <c r="U280" s="13"/>
      <c r="V280" s="15"/>
      <c r="W280" s="15"/>
      <c r="X280" s="15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5"/>
      <c r="H281" s="13"/>
      <c r="I281" s="13"/>
      <c r="J281" s="13"/>
      <c r="K281" s="13"/>
      <c r="L281" s="14"/>
      <c r="M281" s="13"/>
      <c r="N281" s="15"/>
      <c r="O281" s="15"/>
      <c r="P281" s="13"/>
      <c r="Q281" s="13"/>
      <c r="R281" s="13"/>
      <c r="S281" s="13"/>
      <c r="T281" s="13"/>
      <c r="U281" s="13"/>
      <c r="V281" s="15"/>
      <c r="W281" s="15"/>
      <c r="X281" s="15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5"/>
      <c r="H282" s="13"/>
      <c r="I282" s="13"/>
      <c r="J282" s="13"/>
      <c r="K282" s="13"/>
      <c r="L282" s="14"/>
      <c r="M282" s="13"/>
      <c r="N282" s="15"/>
      <c r="O282" s="15"/>
      <c r="P282" s="13"/>
      <c r="Q282" s="13"/>
      <c r="R282" s="13"/>
      <c r="S282" s="13"/>
      <c r="T282" s="13"/>
      <c r="U282" s="13"/>
      <c r="V282" s="15"/>
      <c r="W282" s="15"/>
      <c r="X282" s="15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5"/>
      <c r="H283" s="13"/>
      <c r="I283" s="13"/>
      <c r="J283" s="13"/>
      <c r="K283" s="13"/>
      <c r="L283" s="14"/>
      <c r="M283" s="13"/>
      <c r="N283" s="15"/>
      <c r="O283" s="15"/>
      <c r="P283" s="13"/>
      <c r="Q283" s="13"/>
      <c r="R283" s="13"/>
      <c r="S283" s="13"/>
      <c r="T283" s="13"/>
      <c r="U283" s="13"/>
      <c r="V283" s="15"/>
      <c r="W283" s="15"/>
      <c r="X283" s="15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5"/>
      <c r="H284" s="13"/>
      <c r="I284" s="13"/>
      <c r="J284" s="13"/>
      <c r="K284" s="13"/>
      <c r="L284" s="14"/>
      <c r="M284" s="13"/>
      <c r="N284" s="15"/>
      <c r="O284" s="15"/>
      <c r="P284" s="13"/>
      <c r="Q284" s="13"/>
      <c r="R284" s="13"/>
      <c r="S284" s="13"/>
      <c r="T284" s="13"/>
      <c r="U284" s="13"/>
      <c r="V284" s="15"/>
      <c r="W284" s="15"/>
      <c r="X284" s="15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5"/>
      <c r="H285" s="13"/>
      <c r="I285" s="13"/>
      <c r="J285" s="13"/>
      <c r="K285" s="13"/>
      <c r="L285" s="14"/>
      <c r="M285" s="13"/>
      <c r="N285" s="15"/>
      <c r="O285" s="15"/>
      <c r="P285" s="13"/>
      <c r="Q285" s="13"/>
      <c r="R285" s="13"/>
      <c r="S285" s="13"/>
      <c r="T285" s="13"/>
      <c r="U285" s="13"/>
      <c r="V285" s="15"/>
      <c r="W285" s="15"/>
      <c r="X285" s="15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5"/>
      <c r="H286" s="13"/>
      <c r="I286" s="13"/>
      <c r="J286" s="13"/>
      <c r="K286" s="13"/>
      <c r="L286" s="14"/>
      <c r="M286" s="13"/>
      <c r="N286" s="15"/>
      <c r="O286" s="15"/>
      <c r="P286" s="13"/>
      <c r="Q286" s="13"/>
      <c r="R286" s="13"/>
      <c r="S286" s="13"/>
      <c r="T286" s="13"/>
      <c r="U286" s="13"/>
      <c r="V286" s="15"/>
      <c r="W286" s="15"/>
      <c r="X286" s="15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5"/>
      <c r="H287" s="13"/>
      <c r="I287" s="13"/>
      <c r="J287" s="13"/>
      <c r="K287" s="13"/>
      <c r="L287" s="14"/>
      <c r="M287" s="13"/>
      <c r="N287" s="15"/>
      <c r="O287" s="15"/>
      <c r="P287" s="13"/>
      <c r="Q287" s="13"/>
      <c r="R287" s="13"/>
      <c r="S287" s="13"/>
      <c r="T287" s="13"/>
      <c r="U287" s="13"/>
      <c r="V287" s="15"/>
      <c r="W287" s="15"/>
      <c r="X287" s="15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5"/>
      <c r="H288" s="13"/>
      <c r="I288" s="13"/>
      <c r="J288" s="13"/>
      <c r="K288" s="13"/>
      <c r="L288" s="14"/>
      <c r="M288" s="13"/>
      <c r="N288" s="15"/>
      <c r="O288" s="15"/>
      <c r="P288" s="13"/>
      <c r="Q288" s="13"/>
      <c r="R288" s="13"/>
      <c r="S288" s="13"/>
      <c r="T288" s="13"/>
      <c r="U288" s="13"/>
      <c r="V288" s="15"/>
      <c r="W288" s="15"/>
      <c r="X288" s="15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5"/>
      <c r="H289" s="13"/>
      <c r="I289" s="13"/>
      <c r="J289" s="13"/>
      <c r="K289" s="13"/>
      <c r="L289" s="14"/>
      <c r="M289" s="13"/>
      <c r="N289" s="15"/>
      <c r="O289" s="15"/>
      <c r="P289" s="13"/>
      <c r="Q289" s="13"/>
      <c r="R289" s="13"/>
      <c r="S289" s="13"/>
      <c r="T289" s="13"/>
      <c r="U289" s="13"/>
      <c r="V289" s="15"/>
      <c r="W289" s="15"/>
      <c r="X289" s="15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5"/>
      <c r="H290" s="13"/>
      <c r="I290" s="13"/>
      <c r="J290" s="13"/>
      <c r="K290" s="13"/>
      <c r="L290" s="14"/>
      <c r="M290" s="13"/>
      <c r="N290" s="15"/>
      <c r="O290" s="15"/>
      <c r="P290" s="13"/>
      <c r="Q290" s="13"/>
      <c r="R290" s="13"/>
      <c r="S290" s="13"/>
      <c r="T290" s="13"/>
      <c r="U290" s="13"/>
      <c r="V290" s="15"/>
      <c r="W290" s="15"/>
      <c r="X290" s="15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5"/>
      <c r="H291" s="13"/>
      <c r="I291" s="13"/>
      <c r="J291" s="13"/>
      <c r="K291" s="13"/>
      <c r="L291" s="14"/>
      <c r="M291" s="13"/>
      <c r="N291" s="15"/>
      <c r="O291" s="15"/>
      <c r="P291" s="13"/>
      <c r="Q291" s="13"/>
      <c r="R291" s="13"/>
      <c r="S291" s="13"/>
      <c r="T291" s="13"/>
      <c r="U291" s="13"/>
      <c r="V291" s="15"/>
      <c r="W291" s="15"/>
      <c r="X291" s="15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5"/>
      <c r="H292" s="13"/>
      <c r="I292" s="13"/>
      <c r="J292" s="13"/>
      <c r="K292" s="13"/>
      <c r="L292" s="14"/>
      <c r="M292" s="13"/>
      <c r="N292" s="15"/>
      <c r="O292" s="15"/>
      <c r="P292" s="13"/>
      <c r="Q292" s="13"/>
      <c r="R292" s="13"/>
      <c r="S292" s="13"/>
      <c r="T292" s="13"/>
      <c r="U292" s="13"/>
      <c r="V292" s="15"/>
      <c r="W292" s="15"/>
      <c r="X292" s="15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5"/>
      <c r="H293" s="13"/>
      <c r="I293" s="13"/>
      <c r="J293" s="13"/>
      <c r="K293" s="13"/>
      <c r="L293" s="14"/>
      <c r="M293" s="13"/>
      <c r="N293" s="15"/>
      <c r="O293" s="15"/>
      <c r="P293" s="13"/>
      <c r="Q293" s="13"/>
      <c r="R293" s="13"/>
      <c r="S293" s="13"/>
      <c r="T293" s="13"/>
      <c r="U293" s="13"/>
      <c r="V293" s="15"/>
      <c r="W293" s="15"/>
      <c r="X293" s="15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5"/>
      <c r="H294" s="13"/>
      <c r="I294" s="13"/>
      <c r="J294" s="13"/>
      <c r="K294" s="13"/>
      <c r="L294" s="14"/>
      <c r="M294" s="13"/>
      <c r="N294" s="15"/>
      <c r="O294" s="15"/>
      <c r="P294" s="13"/>
      <c r="Q294" s="13"/>
      <c r="R294" s="13"/>
      <c r="S294" s="13"/>
      <c r="T294" s="13"/>
      <c r="U294" s="13"/>
      <c r="V294" s="15"/>
      <c r="W294" s="15"/>
      <c r="X294" s="15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5"/>
      <c r="H295" s="13"/>
      <c r="I295" s="13"/>
      <c r="J295" s="13"/>
      <c r="K295" s="13"/>
      <c r="L295" s="14"/>
      <c r="M295" s="13"/>
      <c r="N295" s="15"/>
      <c r="O295" s="15"/>
      <c r="P295" s="13"/>
      <c r="Q295" s="13"/>
      <c r="R295" s="13"/>
      <c r="S295" s="13"/>
      <c r="T295" s="13"/>
      <c r="U295" s="13"/>
      <c r="V295" s="15"/>
      <c r="W295" s="15"/>
      <c r="X295" s="15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5"/>
      <c r="H296" s="13"/>
      <c r="I296" s="13"/>
      <c r="J296" s="13"/>
      <c r="K296" s="13"/>
      <c r="L296" s="14"/>
      <c r="M296" s="13"/>
      <c r="N296" s="15"/>
      <c r="O296" s="15"/>
      <c r="P296" s="13"/>
      <c r="Q296" s="13"/>
      <c r="R296" s="13"/>
      <c r="S296" s="13"/>
      <c r="T296" s="13"/>
      <c r="U296" s="13"/>
      <c r="V296" s="15"/>
      <c r="W296" s="15"/>
      <c r="X296" s="15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5"/>
      <c r="H297" s="13"/>
      <c r="I297" s="13"/>
      <c r="J297" s="13"/>
      <c r="K297" s="13"/>
      <c r="L297" s="14"/>
      <c r="M297" s="13"/>
      <c r="N297" s="15"/>
      <c r="O297" s="15"/>
      <c r="P297" s="13"/>
      <c r="Q297" s="13"/>
      <c r="R297" s="13"/>
      <c r="S297" s="13"/>
      <c r="T297" s="13"/>
      <c r="U297" s="13"/>
      <c r="V297" s="15"/>
      <c r="W297" s="15"/>
      <c r="X297" s="15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5"/>
      <c r="H298" s="13"/>
      <c r="I298" s="13"/>
      <c r="J298" s="13"/>
      <c r="K298" s="13"/>
      <c r="L298" s="14"/>
      <c r="M298" s="13"/>
      <c r="N298" s="15"/>
      <c r="O298" s="15"/>
      <c r="P298" s="13"/>
      <c r="Q298" s="13"/>
      <c r="R298" s="13"/>
      <c r="S298" s="13"/>
      <c r="T298" s="13"/>
      <c r="U298" s="13"/>
      <c r="V298" s="15"/>
      <c r="W298" s="15"/>
      <c r="X298" s="15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5"/>
      <c r="H299" s="13"/>
      <c r="I299" s="13"/>
      <c r="J299" s="13"/>
      <c r="K299" s="13"/>
      <c r="L299" s="14"/>
      <c r="M299" s="13"/>
      <c r="N299" s="15"/>
      <c r="O299" s="15"/>
      <c r="P299" s="13"/>
      <c r="Q299" s="13"/>
      <c r="R299" s="13"/>
      <c r="S299" s="13"/>
      <c r="T299" s="13"/>
      <c r="U299" s="13"/>
      <c r="V299" s="15"/>
      <c r="W299" s="15"/>
      <c r="X299" s="15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5"/>
      <c r="H300" s="13"/>
      <c r="I300" s="13"/>
      <c r="J300" s="13"/>
      <c r="K300" s="13"/>
      <c r="L300" s="14"/>
      <c r="M300" s="13"/>
      <c r="N300" s="15"/>
      <c r="O300" s="15"/>
      <c r="P300" s="13"/>
      <c r="Q300" s="13"/>
      <c r="R300" s="13"/>
      <c r="S300" s="13"/>
      <c r="T300" s="13"/>
      <c r="U300" s="13"/>
      <c r="V300" s="15"/>
      <c r="W300" s="15"/>
      <c r="X300" s="15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5"/>
      <c r="H301" s="13"/>
      <c r="I301" s="13"/>
      <c r="J301" s="13"/>
      <c r="K301" s="13"/>
      <c r="L301" s="14"/>
      <c r="M301" s="13"/>
      <c r="N301" s="15"/>
      <c r="O301" s="15"/>
      <c r="P301" s="13"/>
      <c r="Q301" s="13"/>
      <c r="R301" s="13"/>
      <c r="S301" s="13"/>
      <c r="T301" s="13"/>
      <c r="U301" s="13"/>
      <c r="V301" s="15"/>
      <c r="W301" s="15"/>
      <c r="X301" s="15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5"/>
      <c r="H302" s="13"/>
      <c r="I302" s="13"/>
      <c r="J302" s="13"/>
      <c r="K302" s="13"/>
      <c r="L302" s="14"/>
      <c r="M302" s="13"/>
      <c r="N302" s="15"/>
      <c r="O302" s="15"/>
      <c r="P302" s="13"/>
      <c r="Q302" s="13"/>
      <c r="R302" s="13"/>
      <c r="S302" s="13"/>
      <c r="T302" s="13"/>
      <c r="U302" s="13"/>
      <c r="V302" s="15"/>
      <c r="W302" s="15"/>
      <c r="X302" s="15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5"/>
      <c r="H303" s="13"/>
      <c r="I303" s="13"/>
      <c r="J303" s="13"/>
      <c r="K303" s="13"/>
      <c r="L303" s="14"/>
      <c r="M303" s="13"/>
      <c r="N303" s="15"/>
      <c r="O303" s="15"/>
      <c r="P303" s="13"/>
      <c r="Q303" s="13"/>
      <c r="R303" s="13"/>
      <c r="S303" s="13"/>
      <c r="T303" s="13"/>
      <c r="U303" s="13"/>
      <c r="V303" s="15"/>
      <c r="W303" s="15"/>
      <c r="X303" s="15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5"/>
      <c r="H304" s="13"/>
      <c r="I304" s="13"/>
      <c r="J304" s="13"/>
      <c r="K304" s="13"/>
      <c r="L304" s="14"/>
      <c r="M304" s="13"/>
      <c r="N304" s="15"/>
      <c r="O304" s="15"/>
      <c r="P304" s="13"/>
      <c r="Q304" s="13"/>
      <c r="R304" s="13"/>
      <c r="S304" s="13"/>
      <c r="T304" s="13"/>
      <c r="U304" s="13"/>
      <c r="V304" s="15"/>
      <c r="W304" s="15"/>
      <c r="X304" s="15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5"/>
      <c r="H305" s="13"/>
      <c r="I305" s="13"/>
      <c r="J305" s="13"/>
      <c r="K305" s="13"/>
      <c r="L305" s="14"/>
      <c r="M305" s="13"/>
      <c r="N305" s="15"/>
      <c r="O305" s="15"/>
      <c r="P305" s="13"/>
      <c r="Q305" s="13"/>
      <c r="R305" s="13"/>
      <c r="S305" s="13"/>
      <c r="T305" s="13"/>
      <c r="U305" s="13"/>
      <c r="V305" s="15"/>
      <c r="W305" s="15"/>
      <c r="X305" s="15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5"/>
      <c r="H306" s="13"/>
      <c r="I306" s="13"/>
      <c r="J306" s="13"/>
      <c r="K306" s="13"/>
      <c r="L306" s="14"/>
      <c r="M306" s="13"/>
      <c r="N306" s="15"/>
      <c r="O306" s="15"/>
      <c r="P306" s="13"/>
      <c r="Q306" s="13"/>
      <c r="R306" s="13"/>
      <c r="S306" s="13"/>
      <c r="T306" s="13"/>
      <c r="U306" s="13"/>
      <c r="V306" s="15"/>
      <c r="W306" s="15"/>
      <c r="X306" s="15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5"/>
      <c r="H307" s="13"/>
      <c r="I307" s="13"/>
      <c r="J307" s="13"/>
      <c r="K307" s="13"/>
      <c r="L307" s="14"/>
      <c r="M307" s="13"/>
      <c r="N307" s="15"/>
      <c r="O307" s="15"/>
      <c r="P307" s="13"/>
      <c r="Q307" s="13"/>
      <c r="R307" s="13"/>
      <c r="S307" s="13"/>
      <c r="T307" s="13"/>
      <c r="U307" s="13"/>
      <c r="V307" s="15"/>
      <c r="W307" s="15"/>
      <c r="X307" s="15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5"/>
      <c r="H308" s="13"/>
      <c r="I308" s="13"/>
      <c r="J308" s="13"/>
      <c r="K308" s="13"/>
      <c r="L308" s="14"/>
      <c r="M308" s="13"/>
      <c r="N308" s="15"/>
      <c r="O308" s="15"/>
      <c r="P308" s="13"/>
      <c r="Q308" s="13"/>
      <c r="R308" s="13"/>
      <c r="S308" s="13"/>
      <c r="T308" s="13"/>
      <c r="U308" s="13"/>
      <c r="V308" s="15"/>
      <c r="W308" s="15"/>
      <c r="X308" s="15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5"/>
      <c r="H309" s="13"/>
      <c r="I309" s="13"/>
      <c r="J309" s="13"/>
      <c r="K309" s="13"/>
      <c r="L309" s="14"/>
      <c r="M309" s="13"/>
      <c r="N309" s="15"/>
      <c r="O309" s="15"/>
      <c r="P309" s="13"/>
      <c r="Q309" s="13"/>
      <c r="R309" s="13"/>
      <c r="S309" s="13"/>
      <c r="T309" s="13"/>
      <c r="U309" s="13"/>
      <c r="V309" s="15"/>
      <c r="W309" s="15"/>
      <c r="X309" s="15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5"/>
      <c r="H310" s="13"/>
      <c r="I310" s="13"/>
      <c r="J310" s="13"/>
      <c r="K310" s="13"/>
      <c r="L310" s="14"/>
      <c r="M310" s="13"/>
      <c r="N310" s="15"/>
      <c r="O310" s="15"/>
      <c r="P310" s="13"/>
      <c r="Q310" s="13"/>
      <c r="R310" s="13"/>
      <c r="S310" s="13"/>
      <c r="T310" s="13"/>
      <c r="U310" s="13"/>
      <c r="V310" s="15"/>
      <c r="W310" s="15"/>
      <c r="X310" s="15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5"/>
      <c r="H311" s="13"/>
      <c r="I311" s="13"/>
      <c r="J311" s="13"/>
      <c r="K311" s="13"/>
      <c r="L311" s="14"/>
      <c r="M311" s="13"/>
      <c r="N311" s="15"/>
      <c r="O311" s="15"/>
      <c r="P311" s="13"/>
      <c r="Q311" s="13"/>
      <c r="R311" s="13"/>
      <c r="S311" s="13"/>
      <c r="T311" s="13"/>
      <c r="U311" s="13"/>
      <c r="V311" s="15"/>
      <c r="W311" s="15"/>
      <c r="X311" s="15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5"/>
      <c r="H312" s="13"/>
      <c r="I312" s="13"/>
      <c r="J312" s="13"/>
      <c r="K312" s="13"/>
      <c r="L312" s="14"/>
      <c r="M312" s="13"/>
      <c r="N312" s="15"/>
      <c r="O312" s="15"/>
      <c r="P312" s="13"/>
      <c r="Q312" s="13"/>
      <c r="R312" s="13"/>
      <c r="S312" s="13"/>
      <c r="T312" s="13"/>
      <c r="U312" s="13"/>
      <c r="V312" s="15"/>
      <c r="W312" s="15"/>
      <c r="X312" s="15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5"/>
      <c r="H313" s="13"/>
      <c r="I313" s="13"/>
      <c r="J313" s="13"/>
      <c r="K313" s="13"/>
      <c r="L313" s="14"/>
      <c r="M313" s="13"/>
      <c r="N313" s="15"/>
      <c r="O313" s="15"/>
      <c r="P313" s="13"/>
      <c r="Q313" s="13"/>
      <c r="R313" s="13"/>
      <c r="S313" s="13"/>
      <c r="T313" s="13"/>
      <c r="U313" s="13"/>
      <c r="V313" s="15"/>
      <c r="W313" s="15"/>
      <c r="X313" s="15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5"/>
      <c r="H314" s="13"/>
      <c r="I314" s="13"/>
      <c r="J314" s="13"/>
      <c r="K314" s="13"/>
      <c r="L314" s="14"/>
      <c r="M314" s="13"/>
      <c r="N314" s="15"/>
      <c r="O314" s="15"/>
      <c r="P314" s="13"/>
      <c r="Q314" s="13"/>
      <c r="R314" s="13"/>
      <c r="S314" s="13"/>
      <c r="T314" s="13"/>
      <c r="U314" s="13"/>
      <c r="V314" s="15"/>
      <c r="W314" s="15"/>
      <c r="X314" s="15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5"/>
      <c r="H315" s="13"/>
      <c r="I315" s="13"/>
      <c r="J315" s="13"/>
      <c r="K315" s="13"/>
      <c r="L315" s="14"/>
      <c r="M315" s="13"/>
      <c r="N315" s="15"/>
      <c r="O315" s="15"/>
      <c r="P315" s="13"/>
      <c r="Q315" s="13"/>
      <c r="R315" s="13"/>
      <c r="S315" s="13"/>
      <c r="T315" s="13"/>
      <c r="U315" s="13"/>
      <c r="V315" s="15"/>
      <c r="W315" s="15"/>
      <c r="X315" s="15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5"/>
      <c r="H316" s="13"/>
      <c r="I316" s="13"/>
      <c r="J316" s="13"/>
      <c r="K316" s="13"/>
      <c r="L316" s="14"/>
      <c r="M316" s="13"/>
      <c r="N316" s="15"/>
      <c r="O316" s="15"/>
      <c r="P316" s="13"/>
      <c r="Q316" s="13"/>
      <c r="R316" s="13"/>
      <c r="S316" s="13"/>
      <c r="T316" s="13"/>
      <c r="U316" s="13"/>
      <c r="V316" s="15"/>
      <c r="W316" s="15"/>
      <c r="X316" s="15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5"/>
      <c r="H317" s="13"/>
      <c r="I317" s="13"/>
      <c r="J317" s="13"/>
      <c r="K317" s="13"/>
      <c r="L317" s="14"/>
      <c r="M317" s="13"/>
      <c r="N317" s="15"/>
      <c r="O317" s="15"/>
      <c r="P317" s="13"/>
      <c r="Q317" s="13"/>
      <c r="R317" s="13"/>
      <c r="S317" s="13"/>
      <c r="T317" s="13"/>
      <c r="U317" s="13"/>
      <c r="V317" s="15"/>
      <c r="W317" s="15"/>
      <c r="X317" s="15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5"/>
      <c r="H318" s="13"/>
      <c r="I318" s="13"/>
      <c r="J318" s="13"/>
      <c r="K318" s="13"/>
      <c r="L318" s="14"/>
      <c r="M318" s="13"/>
      <c r="N318" s="15"/>
      <c r="O318" s="15"/>
      <c r="P318" s="13"/>
      <c r="Q318" s="13"/>
      <c r="R318" s="13"/>
      <c r="S318" s="13"/>
      <c r="T318" s="13"/>
      <c r="U318" s="13"/>
      <c r="V318" s="15"/>
      <c r="W318" s="15"/>
      <c r="X318" s="15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5"/>
      <c r="H319" s="13"/>
      <c r="I319" s="13"/>
      <c r="J319" s="13"/>
      <c r="K319" s="13"/>
      <c r="L319" s="14"/>
      <c r="M319" s="13"/>
      <c r="N319" s="15"/>
      <c r="O319" s="15"/>
      <c r="P319" s="13"/>
      <c r="Q319" s="13"/>
      <c r="R319" s="13"/>
      <c r="S319" s="13"/>
      <c r="T319" s="13"/>
      <c r="U319" s="13"/>
      <c r="V319" s="15"/>
      <c r="W319" s="15"/>
      <c r="X319" s="15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5"/>
      <c r="H320" s="13"/>
      <c r="I320" s="13"/>
      <c r="J320" s="13"/>
      <c r="K320" s="13"/>
      <c r="L320" s="14"/>
      <c r="M320" s="13"/>
      <c r="N320" s="15"/>
      <c r="O320" s="15"/>
      <c r="P320" s="13"/>
      <c r="Q320" s="13"/>
      <c r="R320" s="13"/>
      <c r="S320" s="13"/>
      <c r="T320" s="13"/>
      <c r="U320" s="13"/>
      <c r="V320" s="15"/>
      <c r="W320" s="15"/>
      <c r="X320" s="15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5"/>
      <c r="H321" s="13"/>
      <c r="I321" s="13"/>
      <c r="J321" s="13"/>
      <c r="K321" s="13"/>
      <c r="L321" s="14"/>
      <c r="M321" s="13"/>
      <c r="N321" s="15"/>
      <c r="O321" s="15"/>
      <c r="P321" s="13"/>
      <c r="Q321" s="13"/>
      <c r="R321" s="13"/>
      <c r="S321" s="13"/>
      <c r="T321" s="13"/>
      <c r="U321" s="13"/>
      <c r="V321" s="15"/>
      <c r="W321" s="15"/>
      <c r="X321" s="15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5"/>
      <c r="H322" s="13"/>
      <c r="I322" s="13"/>
      <c r="J322" s="13"/>
      <c r="K322" s="13"/>
      <c r="L322" s="14"/>
      <c r="M322" s="13"/>
      <c r="N322" s="15"/>
      <c r="O322" s="15"/>
      <c r="P322" s="13"/>
      <c r="Q322" s="13"/>
      <c r="R322" s="13"/>
      <c r="S322" s="13"/>
      <c r="T322" s="13"/>
      <c r="U322" s="13"/>
      <c r="V322" s="15"/>
      <c r="W322" s="15"/>
      <c r="X322" s="15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5"/>
      <c r="H323" s="13"/>
      <c r="I323" s="13"/>
      <c r="J323" s="13"/>
      <c r="K323" s="13"/>
      <c r="L323" s="14"/>
      <c r="M323" s="13"/>
      <c r="N323" s="15"/>
      <c r="O323" s="15"/>
      <c r="P323" s="13"/>
      <c r="Q323" s="13"/>
      <c r="R323" s="13"/>
      <c r="S323" s="13"/>
      <c r="T323" s="13"/>
      <c r="U323" s="13"/>
      <c r="V323" s="15"/>
      <c r="W323" s="15"/>
      <c r="X323" s="15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5"/>
      <c r="H324" s="13"/>
      <c r="I324" s="13"/>
      <c r="J324" s="13"/>
      <c r="K324" s="13"/>
      <c r="L324" s="14"/>
      <c r="M324" s="13"/>
      <c r="N324" s="15"/>
      <c r="O324" s="15"/>
      <c r="P324" s="13"/>
      <c r="Q324" s="13"/>
      <c r="R324" s="13"/>
      <c r="S324" s="13"/>
      <c r="T324" s="13"/>
      <c r="U324" s="13"/>
      <c r="V324" s="15"/>
      <c r="W324" s="15"/>
      <c r="X324" s="15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5"/>
      <c r="H325" s="13"/>
      <c r="I325" s="13"/>
      <c r="J325" s="13"/>
      <c r="K325" s="13"/>
      <c r="L325" s="14"/>
      <c r="M325" s="13"/>
      <c r="N325" s="15"/>
      <c r="O325" s="15"/>
      <c r="P325" s="13"/>
      <c r="Q325" s="13"/>
      <c r="R325" s="13"/>
      <c r="S325" s="13"/>
      <c r="T325" s="13"/>
      <c r="U325" s="13"/>
      <c r="V325" s="15"/>
      <c r="W325" s="15"/>
      <c r="X325" s="15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5"/>
      <c r="H326" s="13"/>
      <c r="I326" s="13"/>
      <c r="J326" s="13"/>
      <c r="K326" s="13"/>
      <c r="L326" s="14"/>
      <c r="M326" s="13"/>
      <c r="N326" s="15"/>
      <c r="O326" s="15"/>
      <c r="P326" s="13"/>
      <c r="Q326" s="13"/>
      <c r="R326" s="13"/>
      <c r="S326" s="13"/>
      <c r="T326" s="13"/>
      <c r="U326" s="13"/>
      <c r="V326" s="15"/>
      <c r="W326" s="15"/>
      <c r="X326" s="15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5"/>
      <c r="H327" s="13"/>
      <c r="I327" s="13"/>
      <c r="J327" s="13"/>
      <c r="K327" s="13"/>
      <c r="L327" s="14"/>
      <c r="M327" s="13"/>
      <c r="N327" s="15"/>
      <c r="O327" s="15"/>
      <c r="P327" s="13"/>
      <c r="Q327" s="13"/>
      <c r="R327" s="13"/>
      <c r="S327" s="13"/>
      <c r="T327" s="13"/>
      <c r="U327" s="13"/>
      <c r="V327" s="15"/>
      <c r="W327" s="15"/>
      <c r="X327" s="15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5"/>
      <c r="H328" s="13"/>
      <c r="I328" s="13"/>
      <c r="J328" s="13"/>
      <c r="K328" s="13"/>
      <c r="L328" s="14"/>
      <c r="M328" s="13"/>
      <c r="N328" s="15"/>
      <c r="O328" s="15"/>
      <c r="P328" s="13"/>
      <c r="Q328" s="13"/>
      <c r="R328" s="13"/>
      <c r="S328" s="13"/>
      <c r="T328" s="13"/>
      <c r="U328" s="13"/>
      <c r="V328" s="15"/>
      <c r="W328" s="15"/>
      <c r="X328" s="15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5"/>
      <c r="H329" s="13"/>
      <c r="I329" s="13"/>
      <c r="J329" s="13"/>
      <c r="K329" s="13"/>
      <c r="L329" s="14"/>
      <c r="M329" s="13"/>
      <c r="N329" s="15"/>
      <c r="O329" s="15"/>
      <c r="P329" s="13"/>
      <c r="Q329" s="13"/>
      <c r="R329" s="13"/>
      <c r="S329" s="13"/>
      <c r="T329" s="13"/>
      <c r="U329" s="13"/>
      <c r="V329" s="15"/>
      <c r="W329" s="15"/>
      <c r="X329" s="15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5"/>
      <c r="H330" s="13"/>
      <c r="I330" s="13"/>
      <c r="J330" s="13"/>
      <c r="K330" s="13"/>
      <c r="L330" s="14"/>
      <c r="M330" s="13"/>
      <c r="N330" s="15"/>
      <c r="O330" s="15"/>
      <c r="P330" s="13"/>
      <c r="Q330" s="13"/>
      <c r="R330" s="13"/>
      <c r="S330" s="13"/>
      <c r="T330" s="13"/>
      <c r="U330" s="13"/>
      <c r="V330" s="15"/>
      <c r="W330" s="15"/>
      <c r="X330" s="15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5"/>
      <c r="H331" s="13"/>
      <c r="I331" s="13"/>
      <c r="J331" s="13"/>
      <c r="K331" s="13"/>
      <c r="L331" s="14"/>
      <c r="M331" s="13"/>
      <c r="N331" s="15"/>
      <c r="O331" s="15"/>
      <c r="P331" s="13"/>
      <c r="Q331" s="13"/>
      <c r="R331" s="13"/>
      <c r="S331" s="13"/>
      <c r="T331" s="13"/>
      <c r="U331" s="13"/>
      <c r="V331" s="15"/>
      <c r="W331" s="15"/>
      <c r="X331" s="15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5"/>
      <c r="H332" s="13"/>
      <c r="I332" s="13"/>
      <c r="J332" s="13"/>
      <c r="K332" s="13"/>
      <c r="L332" s="14"/>
      <c r="M332" s="13"/>
      <c r="N332" s="15"/>
      <c r="O332" s="15"/>
      <c r="P332" s="13"/>
      <c r="Q332" s="13"/>
      <c r="R332" s="13"/>
      <c r="S332" s="13"/>
      <c r="T332" s="13"/>
      <c r="U332" s="13"/>
      <c r="V332" s="15"/>
      <c r="W332" s="15"/>
      <c r="X332" s="15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5"/>
      <c r="H333" s="13"/>
      <c r="I333" s="13"/>
      <c r="J333" s="13"/>
      <c r="K333" s="13"/>
      <c r="L333" s="14"/>
      <c r="M333" s="13"/>
      <c r="N333" s="15"/>
      <c r="O333" s="15"/>
      <c r="P333" s="13"/>
      <c r="Q333" s="13"/>
      <c r="R333" s="13"/>
      <c r="S333" s="13"/>
      <c r="T333" s="13"/>
      <c r="U333" s="13"/>
      <c r="V333" s="15"/>
      <c r="W333" s="15"/>
      <c r="X333" s="15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5"/>
      <c r="H334" s="13"/>
      <c r="I334" s="13"/>
      <c r="J334" s="13"/>
      <c r="K334" s="13"/>
      <c r="L334" s="14"/>
      <c r="M334" s="13"/>
      <c r="N334" s="15"/>
      <c r="O334" s="15"/>
      <c r="P334" s="13"/>
      <c r="Q334" s="13"/>
      <c r="R334" s="13"/>
      <c r="S334" s="13"/>
      <c r="T334" s="13"/>
      <c r="U334" s="13"/>
      <c r="V334" s="15"/>
      <c r="W334" s="15"/>
      <c r="X334" s="15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5"/>
      <c r="H335" s="13"/>
      <c r="I335" s="13"/>
      <c r="J335" s="13"/>
      <c r="K335" s="13"/>
      <c r="L335" s="14"/>
      <c r="M335" s="13"/>
      <c r="N335" s="15"/>
      <c r="O335" s="15"/>
      <c r="P335" s="13"/>
      <c r="Q335" s="13"/>
      <c r="R335" s="13"/>
      <c r="S335" s="13"/>
      <c r="T335" s="13"/>
      <c r="U335" s="13"/>
      <c r="V335" s="15"/>
      <c r="W335" s="15"/>
      <c r="X335" s="15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5"/>
      <c r="H336" s="13"/>
      <c r="I336" s="13"/>
      <c r="J336" s="13"/>
      <c r="K336" s="13"/>
      <c r="L336" s="14"/>
      <c r="M336" s="13"/>
      <c r="N336" s="15"/>
      <c r="O336" s="15"/>
      <c r="P336" s="13"/>
      <c r="Q336" s="13"/>
      <c r="R336" s="13"/>
      <c r="S336" s="13"/>
      <c r="T336" s="13"/>
      <c r="U336" s="13"/>
      <c r="V336" s="15"/>
      <c r="W336" s="15"/>
      <c r="X336" s="15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5"/>
      <c r="H337" s="13"/>
      <c r="I337" s="13"/>
      <c r="J337" s="13"/>
      <c r="K337" s="13"/>
      <c r="L337" s="14"/>
      <c r="M337" s="13"/>
      <c r="N337" s="15"/>
      <c r="O337" s="15"/>
      <c r="P337" s="13"/>
      <c r="Q337" s="13"/>
      <c r="R337" s="13"/>
      <c r="S337" s="13"/>
      <c r="T337" s="13"/>
      <c r="U337" s="13"/>
      <c r="V337" s="15"/>
      <c r="W337" s="15"/>
      <c r="X337" s="15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5"/>
      <c r="H338" s="13"/>
      <c r="I338" s="13"/>
      <c r="J338" s="13"/>
      <c r="K338" s="13"/>
      <c r="L338" s="14"/>
      <c r="M338" s="13"/>
      <c r="N338" s="15"/>
      <c r="O338" s="15"/>
      <c r="P338" s="13"/>
      <c r="Q338" s="13"/>
      <c r="R338" s="13"/>
      <c r="S338" s="13"/>
      <c r="T338" s="13"/>
      <c r="U338" s="13"/>
      <c r="V338" s="15"/>
      <c r="W338" s="15"/>
      <c r="X338" s="15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5"/>
      <c r="H339" s="13"/>
      <c r="I339" s="13"/>
      <c r="J339" s="13"/>
      <c r="K339" s="13"/>
      <c r="L339" s="14"/>
      <c r="M339" s="13"/>
      <c r="N339" s="15"/>
      <c r="O339" s="15"/>
      <c r="P339" s="13"/>
      <c r="Q339" s="13"/>
      <c r="R339" s="13"/>
      <c r="S339" s="13"/>
      <c r="T339" s="13"/>
      <c r="U339" s="13"/>
      <c r="V339" s="15"/>
      <c r="W339" s="15"/>
      <c r="X339" s="15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5"/>
      <c r="H340" s="13"/>
      <c r="I340" s="13"/>
      <c r="J340" s="13"/>
      <c r="K340" s="13"/>
      <c r="L340" s="14"/>
      <c r="M340" s="13"/>
      <c r="N340" s="15"/>
      <c r="O340" s="15"/>
      <c r="P340" s="13"/>
      <c r="Q340" s="13"/>
      <c r="R340" s="13"/>
      <c r="S340" s="13"/>
      <c r="T340" s="13"/>
      <c r="U340" s="13"/>
      <c r="V340" s="15"/>
      <c r="W340" s="15"/>
      <c r="X340" s="15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5"/>
      <c r="H341" s="13"/>
      <c r="I341" s="13"/>
      <c r="J341" s="13"/>
      <c r="K341" s="13"/>
      <c r="L341" s="14"/>
      <c r="M341" s="13"/>
      <c r="N341" s="15"/>
      <c r="O341" s="15"/>
      <c r="P341" s="13"/>
      <c r="Q341" s="13"/>
      <c r="R341" s="13"/>
      <c r="S341" s="13"/>
      <c r="T341" s="13"/>
      <c r="U341" s="13"/>
      <c r="V341" s="15"/>
      <c r="W341" s="15"/>
      <c r="X341" s="15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5"/>
      <c r="H342" s="13"/>
      <c r="I342" s="13"/>
      <c r="J342" s="13"/>
      <c r="K342" s="13"/>
      <c r="L342" s="14"/>
      <c r="M342" s="13"/>
      <c r="N342" s="15"/>
      <c r="O342" s="15"/>
      <c r="P342" s="13"/>
      <c r="Q342" s="13"/>
      <c r="R342" s="13"/>
      <c r="S342" s="13"/>
      <c r="T342" s="13"/>
      <c r="U342" s="13"/>
      <c r="V342" s="15"/>
      <c r="W342" s="15"/>
      <c r="X342" s="15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5"/>
      <c r="H343" s="13"/>
      <c r="I343" s="13"/>
      <c r="J343" s="13"/>
      <c r="K343" s="13"/>
      <c r="L343" s="14"/>
      <c r="M343" s="13"/>
      <c r="N343" s="15"/>
      <c r="O343" s="15"/>
      <c r="P343" s="13"/>
      <c r="Q343" s="13"/>
      <c r="R343" s="13"/>
      <c r="S343" s="13"/>
      <c r="T343" s="13"/>
      <c r="U343" s="13"/>
      <c r="V343" s="15"/>
      <c r="W343" s="15"/>
      <c r="X343" s="15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5"/>
      <c r="H344" s="13"/>
      <c r="I344" s="13"/>
      <c r="J344" s="13"/>
      <c r="K344" s="13"/>
      <c r="L344" s="14"/>
      <c r="M344" s="13"/>
      <c r="N344" s="15"/>
      <c r="O344" s="15"/>
      <c r="P344" s="13"/>
      <c r="Q344" s="13"/>
      <c r="R344" s="13"/>
      <c r="S344" s="13"/>
      <c r="T344" s="13"/>
      <c r="U344" s="13"/>
      <c r="V344" s="15"/>
      <c r="W344" s="15"/>
      <c r="X344" s="15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5"/>
      <c r="H345" s="13"/>
      <c r="I345" s="13"/>
      <c r="J345" s="13"/>
      <c r="K345" s="13"/>
      <c r="L345" s="14"/>
      <c r="M345" s="13"/>
      <c r="N345" s="15"/>
      <c r="O345" s="15"/>
      <c r="P345" s="13"/>
      <c r="Q345" s="13"/>
      <c r="R345" s="13"/>
      <c r="S345" s="13"/>
      <c r="T345" s="13"/>
      <c r="U345" s="13"/>
      <c r="V345" s="15"/>
      <c r="W345" s="15"/>
      <c r="X345" s="15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5"/>
      <c r="H346" s="13"/>
      <c r="I346" s="13"/>
      <c r="J346" s="13"/>
      <c r="K346" s="13"/>
      <c r="L346" s="14"/>
      <c r="M346" s="13"/>
      <c r="N346" s="15"/>
      <c r="O346" s="15"/>
      <c r="P346" s="13"/>
      <c r="Q346" s="13"/>
      <c r="R346" s="13"/>
      <c r="S346" s="13"/>
      <c r="T346" s="13"/>
      <c r="U346" s="13"/>
      <c r="V346" s="15"/>
      <c r="W346" s="15"/>
      <c r="X346" s="15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5"/>
      <c r="H347" s="13"/>
      <c r="I347" s="13"/>
      <c r="J347" s="13"/>
      <c r="K347" s="13"/>
      <c r="L347" s="14"/>
      <c r="M347" s="13"/>
      <c r="N347" s="15"/>
      <c r="O347" s="15"/>
      <c r="P347" s="13"/>
      <c r="Q347" s="13"/>
      <c r="R347" s="13"/>
      <c r="S347" s="13"/>
      <c r="T347" s="13"/>
      <c r="U347" s="13"/>
      <c r="V347" s="15"/>
      <c r="W347" s="15"/>
      <c r="X347" s="15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5"/>
      <c r="H348" s="13"/>
      <c r="I348" s="13"/>
      <c r="J348" s="13"/>
      <c r="K348" s="13"/>
      <c r="L348" s="14"/>
      <c r="M348" s="13"/>
      <c r="N348" s="15"/>
      <c r="O348" s="15"/>
      <c r="P348" s="13"/>
      <c r="Q348" s="13"/>
      <c r="R348" s="13"/>
      <c r="S348" s="13"/>
      <c r="T348" s="13"/>
      <c r="U348" s="13"/>
      <c r="V348" s="15"/>
      <c r="W348" s="15"/>
      <c r="X348" s="15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5"/>
      <c r="H349" s="13"/>
      <c r="I349" s="13"/>
      <c r="J349" s="13"/>
      <c r="K349" s="13"/>
      <c r="L349" s="14"/>
      <c r="M349" s="13"/>
      <c r="N349" s="15"/>
      <c r="O349" s="15"/>
      <c r="P349" s="13"/>
      <c r="Q349" s="13"/>
      <c r="R349" s="13"/>
      <c r="S349" s="13"/>
      <c r="T349" s="13"/>
      <c r="U349" s="13"/>
      <c r="V349" s="15"/>
      <c r="W349" s="15"/>
      <c r="X349" s="15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5"/>
      <c r="H350" s="13"/>
      <c r="I350" s="13"/>
      <c r="J350" s="13"/>
      <c r="K350" s="13"/>
      <c r="L350" s="14"/>
      <c r="M350" s="13"/>
      <c r="N350" s="15"/>
      <c r="O350" s="15"/>
      <c r="P350" s="13"/>
      <c r="Q350" s="13"/>
      <c r="R350" s="13"/>
      <c r="S350" s="13"/>
      <c r="T350" s="13"/>
      <c r="U350" s="13"/>
      <c r="V350" s="15"/>
      <c r="W350" s="15"/>
      <c r="X350" s="15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5"/>
      <c r="H351" s="13"/>
      <c r="I351" s="13"/>
      <c r="J351" s="13"/>
      <c r="K351" s="13"/>
      <c r="L351" s="14"/>
      <c r="M351" s="13"/>
      <c r="N351" s="15"/>
      <c r="O351" s="15"/>
      <c r="P351" s="13"/>
      <c r="Q351" s="13"/>
      <c r="R351" s="13"/>
      <c r="S351" s="13"/>
      <c r="T351" s="13"/>
      <c r="U351" s="13"/>
      <c r="V351" s="15"/>
      <c r="W351" s="15"/>
      <c r="X351" s="15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5"/>
      <c r="H352" s="13"/>
      <c r="I352" s="13"/>
      <c r="J352" s="13"/>
      <c r="K352" s="13"/>
      <c r="L352" s="14"/>
      <c r="M352" s="13"/>
      <c r="N352" s="15"/>
      <c r="O352" s="15"/>
      <c r="P352" s="13"/>
      <c r="Q352" s="13"/>
      <c r="R352" s="13"/>
      <c r="S352" s="13"/>
      <c r="T352" s="13"/>
      <c r="U352" s="13"/>
      <c r="V352" s="15"/>
      <c r="W352" s="15"/>
      <c r="X352" s="15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5"/>
      <c r="H353" s="13"/>
      <c r="I353" s="13"/>
      <c r="J353" s="13"/>
      <c r="K353" s="13"/>
      <c r="L353" s="14"/>
      <c r="M353" s="13"/>
      <c r="N353" s="15"/>
      <c r="O353" s="15"/>
      <c r="P353" s="13"/>
      <c r="Q353" s="13"/>
      <c r="R353" s="13"/>
      <c r="S353" s="13"/>
      <c r="T353" s="13"/>
      <c r="U353" s="13"/>
      <c r="V353" s="15"/>
      <c r="W353" s="15"/>
      <c r="X353" s="15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5"/>
      <c r="H354" s="13"/>
      <c r="I354" s="13"/>
      <c r="J354" s="13"/>
      <c r="K354" s="13"/>
      <c r="L354" s="14"/>
      <c r="M354" s="13"/>
      <c r="N354" s="15"/>
      <c r="O354" s="15"/>
      <c r="P354" s="13"/>
      <c r="Q354" s="13"/>
      <c r="R354" s="13"/>
      <c r="S354" s="13"/>
      <c r="T354" s="13"/>
      <c r="U354" s="13"/>
      <c r="V354" s="15"/>
      <c r="W354" s="15"/>
      <c r="X354" s="15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5"/>
      <c r="H355" s="13"/>
      <c r="I355" s="13"/>
      <c r="J355" s="13"/>
      <c r="K355" s="13"/>
      <c r="L355" s="14"/>
      <c r="M355" s="13"/>
      <c r="N355" s="15"/>
      <c r="O355" s="15"/>
      <c r="P355" s="13"/>
      <c r="Q355" s="13"/>
      <c r="R355" s="13"/>
      <c r="S355" s="13"/>
      <c r="T355" s="13"/>
      <c r="U355" s="13"/>
      <c r="V355" s="15"/>
      <c r="W355" s="15"/>
      <c r="X355" s="15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5"/>
      <c r="H356" s="13"/>
      <c r="I356" s="13"/>
      <c r="J356" s="13"/>
      <c r="K356" s="13"/>
      <c r="L356" s="14"/>
      <c r="M356" s="13"/>
      <c r="N356" s="15"/>
      <c r="O356" s="15"/>
      <c r="P356" s="13"/>
      <c r="Q356" s="13"/>
      <c r="R356" s="13"/>
      <c r="S356" s="13"/>
      <c r="T356" s="13"/>
      <c r="U356" s="13"/>
      <c r="V356" s="15"/>
      <c r="W356" s="15"/>
      <c r="X356" s="15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5"/>
      <c r="H357" s="13"/>
      <c r="I357" s="13"/>
      <c r="J357" s="13"/>
      <c r="K357" s="13"/>
      <c r="L357" s="14"/>
      <c r="M357" s="13"/>
      <c r="N357" s="15"/>
      <c r="O357" s="15"/>
      <c r="P357" s="13"/>
      <c r="Q357" s="13"/>
      <c r="R357" s="13"/>
      <c r="S357" s="13"/>
      <c r="T357" s="13"/>
      <c r="U357" s="13"/>
      <c r="V357" s="15"/>
      <c r="W357" s="15"/>
      <c r="X357" s="15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5"/>
      <c r="H358" s="13"/>
      <c r="I358" s="13"/>
      <c r="J358" s="13"/>
      <c r="K358" s="13"/>
      <c r="L358" s="14"/>
      <c r="M358" s="13"/>
      <c r="N358" s="15"/>
      <c r="O358" s="15"/>
      <c r="P358" s="13"/>
      <c r="Q358" s="13"/>
      <c r="R358" s="13"/>
      <c r="S358" s="13"/>
      <c r="T358" s="13"/>
      <c r="U358" s="13"/>
      <c r="V358" s="15"/>
      <c r="W358" s="15"/>
      <c r="X358" s="15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5"/>
      <c r="H359" s="13"/>
      <c r="I359" s="13"/>
      <c r="J359" s="13"/>
      <c r="K359" s="13"/>
      <c r="L359" s="14"/>
      <c r="M359" s="13"/>
      <c r="N359" s="15"/>
      <c r="O359" s="15"/>
      <c r="P359" s="13"/>
      <c r="Q359" s="13"/>
      <c r="R359" s="13"/>
      <c r="S359" s="13"/>
      <c r="T359" s="13"/>
      <c r="U359" s="13"/>
      <c r="V359" s="15"/>
      <c r="W359" s="15"/>
      <c r="X359" s="15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5"/>
      <c r="H360" s="13"/>
      <c r="I360" s="13"/>
      <c r="J360" s="13"/>
      <c r="K360" s="13"/>
      <c r="L360" s="14"/>
      <c r="M360" s="13"/>
      <c r="N360" s="15"/>
      <c r="O360" s="15"/>
      <c r="P360" s="13"/>
      <c r="Q360" s="13"/>
      <c r="R360" s="13"/>
      <c r="S360" s="13"/>
      <c r="T360" s="13"/>
      <c r="U360" s="13"/>
      <c r="V360" s="15"/>
      <c r="W360" s="15"/>
      <c r="X360" s="15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5"/>
      <c r="H361" s="13"/>
      <c r="I361" s="13"/>
      <c r="J361" s="13"/>
      <c r="K361" s="13"/>
      <c r="L361" s="14"/>
      <c r="M361" s="13"/>
      <c r="N361" s="15"/>
      <c r="O361" s="15"/>
      <c r="P361" s="13"/>
      <c r="Q361" s="13"/>
      <c r="R361" s="13"/>
      <c r="S361" s="13"/>
      <c r="T361" s="13"/>
      <c r="U361" s="13"/>
      <c r="V361" s="15"/>
      <c r="W361" s="15"/>
      <c r="X361" s="15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5"/>
      <c r="H362" s="13"/>
      <c r="I362" s="13"/>
      <c r="J362" s="13"/>
      <c r="K362" s="13"/>
      <c r="L362" s="14"/>
      <c r="M362" s="13"/>
      <c r="N362" s="15"/>
      <c r="O362" s="15"/>
      <c r="P362" s="13"/>
      <c r="Q362" s="13"/>
      <c r="R362" s="13"/>
      <c r="S362" s="13"/>
      <c r="T362" s="13"/>
      <c r="U362" s="13"/>
      <c r="V362" s="15"/>
      <c r="W362" s="15"/>
      <c r="X362" s="15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5"/>
      <c r="H363" s="13"/>
      <c r="I363" s="13"/>
      <c r="J363" s="13"/>
      <c r="K363" s="13"/>
      <c r="L363" s="14"/>
      <c r="M363" s="13"/>
      <c r="N363" s="15"/>
      <c r="O363" s="15"/>
      <c r="P363" s="13"/>
      <c r="Q363" s="13"/>
      <c r="R363" s="13"/>
      <c r="S363" s="13"/>
      <c r="T363" s="13"/>
      <c r="U363" s="13"/>
      <c r="V363" s="15"/>
      <c r="W363" s="15"/>
      <c r="X363" s="15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5"/>
      <c r="H364" s="13"/>
      <c r="I364" s="13"/>
      <c r="J364" s="13"/>
      <c r="K364" s="13"/>
      <c r="L364" s="14"/>
      <c r="M364" s="13"/>
      <c r="N364" s="15"/>
      <c r="O364" s="15"/>
      <c r="P364" s="13"/>
      <c r="Q364" s="13"/>
      <c r="R364" s="13"/>
      <c r="S364" s="13"/>
      <c r="T364" s="13"/>
      <c r="U364" s="13"/>
      <c r="V364" s="15"/>
      <c r="W364" s="15"/>
      <c r="X364" s="15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5"/>
      <c r="H365" s="13"/>
      <c r="I365" s="13"/>
      <c r="J365" s="13"/>
      <c r="K365" s="13"/>
      <c r="L365" s="14"/>
      <c r="M365" s="13"/>
      <c r="N365" s="15"/>
      <c r="O365" s="15"/>
      <c r="P365" s="13"/>
      <c r="Q365" s="13"/>
      <c r="R365" s="13"/>
      <c r="S365" s="13"/>
      <c r="T365" s="13"/>
      <c r="U365" s="13"/>
      <c r="V365" s="15"/>
      <c r="W365" s="15"/>
      <c r="X365" s="15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5"/>
      <c r="H366" s="13"/>
      <c r="I366" s="13"/>
      <c r="J366" s="13"/>
      <c r="K366" s="13"/>
      <c r="L366" s="14"/>
      <c r="M366" s="13"/>
      <c r="N366" s="15"/>
      <c r="O366" s="15"/>
      <c r="P366" s="13"/>
      <c r="Q366" s="13"/>
      <c r="R366" s="13"/>
      <c r="S366" s="13"/>
      <c r="T366" s="13"/>
      <c r="U366" s="13"/>
      <c r="V366" s="15"/>
      <c r="W366" s="15"/>
      <c r="X366" s="15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5"/>
      <c r="H367" s="13"/>
      <c r="I367" s="13"/>
      <c r="J367" s="13"/>
      <c r="K367" s="13"/>
      <c r="L367" s="14"/>
      <c r="M367" s="13"/>
      <c r="N367" s="15"/>
      <c r="O367" s="15"/>
      <c r="P367" s="13"/>
      <c r="Q367" s="13"/>
      <c r="R367" s="13"/>
      <c r="S367" s="13"/>
      <c r="T367" s="13"/>
      <c r="U367" s="13"/>
      <c r="V367" s="15"/>
      <c r="W367" s="15"/>
      <c r="X367" s="15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5"/>
      <c r="H368" s="13"/>
      <c r="I368" s="13"/>
      <c r="J368" s="13"/>
      <c r="K368" s="13"/>
      <c r="L368" s="14"/>
      <c r="M368" s="13"/>
      <c r="N368" s="15"/>
      <c r="O368" s="15"/>
      <c r="P368" s="13"/>
      <c r="Q368" s="13"/>
      <c r="R368" s="13"/>
      <c r="S368" s="13"/>
      <c r="T368" s="13"/>
      <c r="U368" s="13"/>
      <c r="V368" s="15"/>
      <c r="W368" s="15"/>
      <c r="X368" s="15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5"/>
      <c r="H369" s="13"/>
      <c r="I369" s="13"/>
      <c r="J369" s="13"/>
      <c r="K369" s="13"/>
      <c r="L369" s="14"/>
      <c r="M369" s="13"/>
      <c r="N369" s="15"/>
      <c r="O369" s="15"/>
      <c r="P369" s="13"/>
      <c r="Q369" s="13"/>
      <c r="R369" s="13"/>
      <c r="S369" s="13"/>
      <c r="T369" s="13"/>
      <c r="U369" s="13"/>
      <c r="V369" s="15"/>
      <c r="W369" s="15"/>
      <c r="X369" s="15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5"/>
      <c r="H370" s="13"/>
      <c r="I370" s="13"/>
      <c r="J370" s="13"/>
      <c r="K370" s="13"/>
      <c r="L370" s="14"/>
      <c r="M370" s="13"/>
      <c r="N370" s="15"/>
      <c r="O370" s="15"/>
      <c r="P370" s="13"/>
      <c r="Q370" s="13"/>
      <c r="R370" s="13"/>
      <c r="S370" s="13"/>
      <c r="T370" s="13"/>
      <c r="U370" s="13"/>
      <c r="V370" s="15"/>
      <c r="W370" s="15"/>
      <c r="X370" s="15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5"/>
      <c r="H371" s="13"/>
      <c r="I371" s="13"/>
      <c r="J371" s="13"/>
      <c r="K371" s="13"/>
      <c r="L371" s="14"/>
      <c r="M371" s="13"/>
      <c r="N371" s="15"/>
      <c r="O371" s="15"/>
      <c r="P371" s="13"/>
      <c r="Q371" s="13"/>
      <c r="R371" s="13"/>
      <c r="S371" s="13"/>
      <c r="T371" s="13"/>
      <c r="U371" s="13"/>
      <c r="V371" s="15"/>
      <c r="W371" s="15"/>
      <c r="X371" s="15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5"/>
      <c r="H372" s="13"/>
      <c r="I372" s="13"/>
      <c r="J372" s="13"/>
      <c r="K372" s="13"/>
      <c r="L372" s="14"/>
      <c r="M372" s="13"/>
      <c r="N372" s="15"/>
      <c r="O372" s="15"/>
      <c r="P372" s="13"/>
      <c r="Q372" s="13"/>
      <c r="R372" s="13"/>
      <c r="S372" s="13"/>
      <c r="T372" s="13"/>
      <c r="U372" s="13"/>
      <c r="V372" s="15"/>
      <c r="W372" s="15"/>
      <c r="X372" s="15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5"/>
      <c r="H373" s="13"/>
      <c r="I373" s="13"/>
      <c r="J373" s="13"/>
      <c r="K373" s="13"/>
      <c r="L373" s="14"/>
      <c r="M373" s="13"/>
      <c r="N373" s="15"/>
      <c r="O373" s="15"/>
      <c r="P373" s="13"/>
      <c r="Q373" s="13"/>
      <c r="R373" s="13"/>
      <c r="S373" s="13"/>
      <c r="T373" s="13"/>
      <c r="U373" s="13"/>
      <c r="V373" s="15"/>
      <c r="W373" s="15"/>
      <c r="X373" s="15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5"/>
      <c r="H374" s="13"/>
      <c r="I374" s="13"/>
      <c r="J374" s="13"/>
      <c r="K374" s="13"/>
      <c r="L374" s="14"/>
      <c r="M374" s="13"/>
      <c r="N374" s="15"/>
      <c r="O374" s="15"/>
      <c r="P374" s="13"/>
      <c r="Q374" s="13"/>
      <c r="R374" s="13"/>
      <c r="S374" s="13"/>
      <c r="T374" s="13"/>
      <c r="U374" s="13"/>
      <c r="V374" s="15"/>
      <c r="W374" s="15"/>
      <c r="X374" s="15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5"/>
      <c r="H375" s="13"/>
      <c r="I375" s="13"/>
      <c r="J375" s="13"/>
      <c r="K375" s="13"/>
      <c r="L375" s="14"/>
      <c r="M375" s="13"/>
      <c r="N375" s="15"/>
      <c r="O375" s="15"/>
      <c r="P375" s="13"/>
      <c r="Q375" s="13"/>
      <c r="R375" s="13"/>
      <c r="S375" s="13"/>
      <c r="T375" s="13"/>
      <c r="U375" s="13"/>
      <c r="V375" s="15"/>
      <c r="W375" s="15"/>
      <c r="X375" s="15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5"/>
      <c r="H376" s="13"/>
      <c r="I376" s="13"/>
      <c r="J376" s="13"/>
      <c r="K376" s="13"/>
      <c r="L376" s="14"/>
      <c r="M376" s="13"/>
      <c r="N376" s="15"/>
      <c r="O376" s="15"/>
      <c r="P376" s="13"/>
      <c r="Q376" s="13"/>
      <c r="R376" s="13"/>
      <c r="S376" s="13"/>
      <c r="T376" s="13"/>
      <c r="U376" s="13"/>
      <c r="V376" s="15"/>
      <c r="W376" s="15"/>
      <c r="X376" s="15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5"/>
      <c r="H377" s="13"/>
      <c r="I377" s="13"/>
      <c r="J377" s="13"/>
      <c r="K377" s="13"/>
      <c r="L377" s="14"/>
      <c r="M377" s="13"/>
      <c r="N377" s="15"/>
      <c r="O377" s="15"/>
      <c r="P377" s="13"/>
      <c r="Q377" s="13"/>
      <c r="R377" s="13"/>
      <c r="S377" s="13"/>
      <c r="T377" s="13"/>
      <c r="U377" s="13"/>
      <c r="V377" s="15"/>
      <c r="W377" s="15"/>
      <c r="X377" s="15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5"/>
      <c r="H378" s="13"/>
      <c r="I378" s="13"/>
      <c r="J378" s="13"/>
      <c r="K378" s="13"/>
      <c r="L378" s="14"/>
      <c r="M378" s="13"/>
      <c r="N378" s="15"/>
      <c r="O378" s="15"/>
      <c r="P378" s="13"/>
      <c r="Q378" s="13"/>
      <c r="R378" s="13"/>
      <c r="S378" s="13"/>
      <c r="T378" s="13"/>
      <c r="U378" s="13"/>
      <c r="V378" s="15"/>
      <c r="W378" s="15"/>
      <c r="X378" s="15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5"/>
      <c r="H379" s="13"/>
      <c r="I379" s="13"/>
      <c r="J379" s="13"/>
      <c r="K379" s="13"/>
      <c r="L379" s="14"/>
      <c r="M379" s="13"/>
      <c r="N379" s="15"/>
      <c r="O379" s="15"/>
      <c r="P379" s="13"/>
      <c r="Q379" s="13"/>
      <c r="R379" s="13"/>
      <c r="S379" s="13"/>
      <c r="T379" s="13"/>
      <c r="U379" s="13"/>
      <c r="V379" s="15"/>
      <c r="W379" s="15"/>
      <c r="X379" s="15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5"/>
      <c r="H380" s="13"/>
      <c r="I380" s="13"/>
      <c r="J380" s="13"/>
      <c r="K380" s="13"/>
      <c r="L380" s="14"/>
      <c r="M380" s="13"/>
      <c r="N380" s="15"/>
      <c r="O380" s="15"/>
      <c r="P380" s="13"/>
      <c r="Q380" s="13"/>
      <c r="R380" s="13"/>
      <c r="S380" s="13"/>
      <c r="T380" s="13"/>
      <c r="U380" s="13"/>
      <c r="V380" s="15"/>
      <c r="W380" s="15"/>
      <c r="X380" s="15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5"/>
      <c r="H381" s="13"/>
      <c r="I381" s="13"/>
      <c r="J381" s="13"/>
      <c r="K381" s="13"/>
      <c r="L381" s="14"/>
      <c r="M381" s="13"/>
      <c r="N381" s="15"/>
      <c r="O381" s="15"/>
      <c r="P381" s="13"/>
      <c r="Q381" s="13"/>
      <c r="R381" s="13"/>
      <c r="S381" s="13"/>
      <c r="T381" s="13"/>
      <c r="U381" s="13"/>
      <c r="V381" s="15"/>
      <c r="W381" s="15"/>
      <c r="X381" s="15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5"/>
      <c r="H382" s="13"/>
      <c r="I382" s="13"/>
      <c r="J382" s="13"/>
      <c r="K382" s="13"/>
      <c r="L382" s="14"/>
      <c r="M382" s="13"/>
      <c r="N382" s="15"/>
      <c r="O382" s="15"/>
      <c r="P382" s="13"/>
      <c r="Q382" s="13"/>
      <c r="R382" s="13"/>
      <c r="S382" s="13"/>
      <c r="T382" s="13"/>
      <c r="U382" s="13"/>
      <c r="V382" s="15"/>
      <c r="W382" s="15"/>
      <c r="X382" s="15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5"/>
      <c r="H383" s="13"/>
      <c r="I383" s="13"/>
      <c r="J383" s="13"/>
      <c r="K383" s="13"/>
      <c r="L383" s="14"/>
      <c r="M383" s="13"/>
      <c r="N383" s="15"/>
      <c r="O383" s="15"/>
      <c r="P383" s="13"/>
      <c r="Q383" s="13"/>
      <c r="R383" s="13"/>
      <c r="S383" s="13"/>
      <c r="T383" s="13"/>
      <c r="U383" s="13"/>
      <c r="V383" s="15"/>
      <c r="W383" s="15"/>
      <c r="X383" s="15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5"/>
      <c r="H384" s="13"/>
      <c r="I384" s="13"/>
      <c r="J384" s="13"/>
      <c r="K384" s="13"/>
      <c r="L384" s="14"/>
      <c r="M384" s="13"/>
      <c r="N384" s="15"/>
      <c r="O384" s="15"/>
      <c r="P384" s="13"/>
      <c r="Q384" s="13"/>
      <c r="R384" s="13"/>
      <c r="S384" s="13"/>
      <c r="T384" s="13"/>
      <c r="U384" s="13"/>
      <c r="V384" s="15"/>
      <c r="W384" s="15"/>
      <c r="X384" s="15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5"/>
      <c r="H385" s="13"/>
      <c r="I385" s="13"/>
      <c r="J385" s="13"/>
      <c r="K385" s="13"/>
      <c r="L385" s="14"/>
      <c r="M385" s="13"/>
      <c r="N385" s="15"/>
      <c r="O385" s="15"/>
      <c r="P385" s="13"/>
      <c r="Q385" s="13"/>
      <c r="R385" s="13"/>
      <c r="S385" s="13"/>
      <c r="T385" s="13"/>
      <c r="U385" s="13"/>
      <c r="V385" s="15"/>
      <c r="W385" s="15"/>
      <c r="X385" s="15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5"/>
      <c r="H386" s="13"/>
      <c r="I386" s="13"/>
      <c r="J386" s="13"/>
      <c r="K386" s="13"/>
      <c r="L386" s="14"/>
      <c r="M386" s="13"/>
      <c r="N386" s="15"/>
      <c r="O386" s="15"/>
      <c r="P386" s="13"/>
      <c r="Q386" s="13"/>
      <c r="R386" s="13"/>
      <c r="S386" s="13"/>
      <c r="T386" s="13"/>
      <c r="U386" s="13"/>
      <c r="V386" s="15"/>
      <c r="W386" s="15"/>
      <c r="X386" s="15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5"/>
      <c r="H387" s="13"/>
      <c r="I387" s="13"/>
      <c r="J387" s="13"/>
      <c r="K387" s="13"/>
      <c r="L387" s="14"/>
      <c r="M387" s="13"/>
      <c r="N387" s="15"/>
      <c r="O387" s="15"/>
      <c r="P387" s="13"/>
      <c r="Q387" s="13"/>
      <c r="R387" s="13"/>
      <c r="S387" s="13"/>
      <c r="T387" s="13"/>
      <c r="U387" s="13"/>
      <c r="V387" s="15"/>
      <c r="W387" s="15"/>
      <c r="X387" s="15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5"/>
      <c r="H388" s="13"/>
      <c r="I388" s="13"/>
      <c r="J388" s="13"/>
      <c r="K388" s="13"/>
      <c r="L388" s="14"/>
      <c r="M388" s="13"/>
      <c r="N388" s="15"/>
      <c r="O388" s="15"/>
      <c r="P388" s="13"/>
      <c r="Q388" s="13"/>
      <c r="R388" s="13"/>
      <c r="S388" s="13"/>
      <c r="T388" s="13"/>
      <c r="U388" s="13"/>
      <c r="V388" s="15"/>
      <c r="W388" s="15"/>
      <c r="X388" s="15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5"/>
      <c r="H389" s="13"/>
      <c r="I389" s="13"/>
      <c r="J389" s="13"/>
      <c r="K389" s="13"/>
      <c r="L389" s="14"/>
      <c r="M389" s="13"/>
      <c r="N389" s="15"/>
      <c r="O389" s="15"/>
      <c r="P389" s="13"/>
      <c r="Q389" s="13"/>
      <c r="R389" s="13"/>
      <c r="S389" s="13"/>
      <c r="T389" s="13"/>
      <c r="U389" s="13"/>
      <c r="V389" s="15"/>
      <c r="W389" s="15"/>
      <c r="X389" s="15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5"/>
      <c r="H390" s="13"/>
      <c r="I390" s="13"/>
      <c r="J390" s="13"/>
      <c r="K390" s="13"/>
      <c r="L390" s="14"/>
      <c r="M390" s="13"/>
      <c r="N390" s="15"/>
      <c r="O390" s="15"/>
      <c r="P390" s="13"/>
      <c r="Q390" s="13"/>
      <c r="R390" s="13"/>
      <c r="S390" s="13"/>
      <c r="T390" s="13"/>
      <c r="U390" s="13"/>
      <c r="V390" s="15"/>
      <c r="W390" s="15"/>
      <c r="X390" s="15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5"/>
      <c r="H391" s="13"/>
      <c r="I391" s="13"/>
      <c r="J391" s="13"/>
      <c r="K391" s="13"/>
      <c r="L391" s="14"/>
      <c r="M391" s="13"/>
      <c r="N391" s="15"/>
      <c r="O391" s="15"/>
      <c r="P391" s="13"/>
      <c r="Q391" s="13"/>
      <c r="R391" s="13"/>
      <c r="S391" s="13"/>
      <c r="T391" s="13"/>
      <c r="U391" s="13"/>
      <c r="V391" s="15"/>
      <c r="W391" s="15"/>
      <c r="X391" s="15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5"/>
      <c r="H392" s="13"/>
      <c r="I392" s="13"/>
      <c r="J392" s="13"/>
      <c r="K392" s="13"/>
      <c r="L392" s="14"/>
      <c r="M392" s="13"/>
      <c r="N392" s="15"/>
      <c r="O392" s="15"/>
      <c r="P392" s="13"/>
      <c r="Q392" s="13"/>
      <c r="R392" s="13"/>
      <c r="S392" s="13"/>
      <c r="T392" s="13"/>
      <c r="U392" s="13"/>
      <c r="V392" s="15"/>
      <c r="W392" s="15"/>
      <c r="X392" s="15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5"/>
      <c r="H393" s="13"/>
      <c r="I393" s="13"/>
      <c r="J393" s="13"/>
      <c r="K393" s="13"/>
      <c r="L393" s="14"/>
      <c r="M393" s="13"/>
      <c r="N393" s="15"/>
      <c r="O393" s="15"/>
      <c r="P393" s="13"/>
      <c r="Q393" s="13"/>
      <c r="R393" s="13"/>
      <c r="S393" s="13"/>
      <c r="T393" s="13"/>
      <c r="U393" s="13"/>
      <c r="V393" s="15"/>
      <c r="W393" s="15"/>
      <c r="X393" s="15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5"/>
      <c r="H394" s="13"/>
      <c r="I394" s="13"/>
      <c r="J394" s="13"/>
      <c r="K394" s="13"/>
      <c r="L394" s="14"/>
      <c r="M394" s="13"/>
      <c r="N394" s="15"/>
      <c r="O394" s="15"/>
      <c r="P394" s="13"/>
      <c r="Q394" s="13"/>
      <c r="R394" s="13"/>
      <c r="S394" s="13"/>
      <c r="T394" s="13"/>
      <c r="U394" s="13"/>
      <c r="V394" s="15"/>
      <c r="W394" s="15"/>
      <c r="X394" s="15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5"/>
      <c r="H395" s="13"/>
      <c r="I395" s="13"/>
      <c r="J395" s="13"/>
      <c r="K395" s="13"/>
      <c r="L395" s="14"/>
      <c r="M395" s="13"/>
      <c r="N395" s="15"/>
      <c r="O395" s="15"/>
      <c r="P395" s="13"/>
      <c r="Q395" s="13"/>
      <c r="R395" s="13"/>
      <c r="S395" s="13"/>
      <c r="T395" s="13"/>
      <c r="U395" s="13"/>
      <c r="V395" s="15"/>
      <c r="W395" s="15"/>
      <c r="X395" s="15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5"/>
      <c r="H396" s="13"/>
      <c r="I396" s="13"/>
      <c r="J396" s="13"/>
      <c r="K396" s="13"/>
      <c r="L396" s="14"/>
      <c r="M396" s="13"/>
      <c r="N396" s="15"/>
      <c r="O396" s="15"/>
      <c r="P396" s="13"/>
      <c r="Q396" s="13"/>
      <c r="R396" s="13"/>
      <c r="S396" s="13"/>
      <c r="T396" s="13"/>
      <c r="U396" s="13"/>
      <c r="V396" s="15"/>
      <c r="W396" s="15"/>
      <c r="X396" s="15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5"/>
      <c r="H397" s="13"/>
      <c r="I397" s="13"/>
      <c r="J397" s="13"/>
      <c r="K397" s="13"/>
      <c r="L397" s="14"/>
      <c r="M397" s="13"/>
      <c r="N397" s="15"/>
      <c r="O397" s="15"/>
      <c r="P397" s="13"/>
      <c r="Q397" s="13"/>
      <c r="R397" s="13"/>
      <c r="S397" s="13"/>
      <c r="T397" s="13"/>
      <c r="U397" s="13"/>
      <c r="V397" s="15"/>
      <c r="W397" s="15"/>
      <c r="X397" s="15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5"/>
      <c r="H398" s="13"/>
      <c r="I398" s="13"/>
      <c r="J398" s="13"/>
      <c r="K398" s="13"/>
      <c r="L398" s="14"/>
      <c r="M398" s="13"/>
      <c r="N398" s="15"/>
      <c r="O398" s="15"/>
      <c r="P398" s="13"/>
      <c r="Q398" s="13"/>
      <c r="R398" s="13"/>
      <c r="S398" s="13"/>
      <c r="T398" s="13"/>
      <c r="U398" s="13"/>
      <c r="V398" s="15"/>
      <c r="W398" s="15"/>
      <c r="X398" s="15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5"/>
      <c r="H399" s="13"/>
      <c r="I399" s="13"/>
      <c r="J399" s="13"/>
      <c r="K399" s="13"/>
      <c r="L399" s="14"/>
      <c r="M399" s="13"/>
      <c r="N399" s="15"/>
      <c r="O399" s="15"/>
      <c r="P399" s="13"/>
      <c r="Q399" s="13"/>
      <c r="R399" s="13"/>
      <c r="S399" s="13"/>
      <c r="T399" s="13"/>
      <c r="U399" s="13"/>
      <c r="V399" s="15"/>
      <c r="W399" s="15"/>
      <c r="X399" s="15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5"/>
      <c r="H400" s="13"/>
      <c r="I400" s="13"/>
      <c r="J400" s="13"/>
      <c r="K400" s="13"/>
      <c r="L400" s="14"/>
      <c r="M400" s="13"/>
      <c r="N400" s="15"/>
      <c r="O400" s="15"/>
      <c r="P400" s="13"/>
      <c r="Q400" s="13"/>
      <c r="R400" s="13"/>
      <c r="S400" s="13"/>
      <c r="T400" s="13"/>
      <c r="U400" s="13"/>
      <c r="V400" s="15"/>
      <c r="W400" s="15"/>
      <c r="X400" s="15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5"/>
      <c r="H401" s="13"/>
      <c r="I401" s="13"/>
      <c r="J401" s="13"/>
      <c r="K401" s="13"/>
      <c r="L401" s="14"/>
      <c r="M401" s="13"/>
      <c r="N401" s="15"/>
      <c r="O401" s="15"/>
      <c r="P401" s="13"/>
      <c r="Q401" s="13"/>
      <c r="R401" s="13"/>
      <c r="S401" s="13"/>
      <c r="T401" s="13"/>
      <c r="U401" s="13"/>
      <c r="V401" s="15"/>
      <c r="W401" s="15"/>
      <c r="X401" s="15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5"/>
      <c r="H402" s="13"/>
      <c r="I402" s="13"/>
      <c r="J402" s="13"/>
      <c r="K402" s="13"/>
      <c r="L402" s="14"/>
      <c r="M402" s="13"/>
      <c r="N402" s="15"/>
      <c r="O402" s="15"/>
      <c r="P402" s="13"/>
      <c r="Q402" s="13"/>
      <c r="R402" s="13"/>
      <c r="S402" s="13"/>
      <c r="T402" s="13"/>
      <c r="U402" s="13"/>
      <c r="V402" s="15"/>
      <c r="W402" s="15"/>
      <c r="X402" s="15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5"/>
      <c r="H403" s="13"/>
      <c r="I403" s="13"/>
      <c r="J403" s="13"/>
      <c r="K403" s="13"/>
      <c r="L403" s="14"/>
      <c r="M403" s="13"/>
      <c r="N403" s="15"/>
      <c r="O403" s="15"/>
      <c r="P403" s="13"/>
      <c r="Q403" s="13"/>
      <c r="R403" s="13"/>
      <c r="S403" s="13"/>
      <c r="T403" s="13"/>
      <c r="U403" s="13"/>
      <c r="V403" s="15"/>
      <c r="W403" s="15"/>
      <c r="X403" s="15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5"/>
      <c r="H404" s="13"/>
      <c r="I404" s="13"/>
      <c r="J404" s="13"/>
      <c r="K404" s="13"/>
      <c r="L404" s="14"/>
      <c r="M404" s="13"/>
      <c r="N404" s="15"/>
      <c r="O404" s="15"/>
      <c r="P404" s="13"/>
      <c r="Q404" s="13"/>
      <c r="R404" s="13"/>
      <c r="S404" s="13"/>
      <c r="T404" s="13"/>
      <c r="U404" s="13"/>
      <c r="V404" s="15"/>
      <c r="W404" s="15"/>
      <c r="X404" s="15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5"/>
      <c r="H405" s="13"/>
      <c r="I405" s="13"/>
      <c r="J405" s="13"/>
      <c r="K405" s="13"/>
      <c r="L405" s="14"/>
      <c r="M405" s="13"/>
      <c r="N405" s="15"/>
      <c r="O405" s="15"/>
      <c r="P405" s="13"/>
      <c r="Q405" s="13"/>
      <c r="R405" s="13"/>
      <c r="S405" s="13"/>
      <c r="T405" s="13"/>
      <c r="U405" s="13"/>
      <c r="V405" s="15"/>
      <c r="W405" s="15"/>
      <c r="X405" s="15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5"/>
      <c r="H406" s="13"/>
      <c r="I406" s="13"/>
      <c r="J406" s="13"/>
      <c r="K406" s="13"/>
      <c r="L406" s="14"/>
      <c r="M406" s="13"/>
      <c r="N406" s="15"/>
      <c r="O406" s="15"/>
      <c r="P406" s="13"/>
      <c r="Q406" s="13"/>
      <c r="R406" s="13"/>
      <c r="S406" s="13"/>
      <c r="T406" s="13"/>
      <c r="U406" s="13"/>
      <c r="V406" s="15"/>
      <c r="W406" s="15"/>
      <c r="X406" s="15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5"/>
      <c r="H407" s="13"/>
      <c r="I407" s="13"/>
      <c r="J407" s="13"/>
      <c r="K407" s="13"/>
      <c r="L407" s="14"/>
      <c r="M407" s="13"/>
      <c r="N407" s="15"/>
      <c r="O407" s="15"/>
      <c r="P407" s="13"/>
      <c r="Q407" s="13"/>
      <c r="R407" s="13"/>
      <c r="S407" s="13"/>
      <c r="T407" s="13"/>
      <c r="U407" s="13"/>
      <c r="V407" s="15"/>
      <c r="W407" s="15"/>
      <c r="X407" s="15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5"/>
      <c r="H408" s="13"/>
      <c r="I408" s="13"/>
      <c r="J408" s="13"/>
      <c r="K408" s="13"/>
      <c r="L408" s="14"/>
      <c r="M408" s="13"/>
      <c r="N408" s="15"/>
      <c r="O408" s="15"/>
      <c r="P408" s="13"/>
      <c r="Q408" s="13"/>
      <c r="R408" s="13"/>
      <c r="S408" s="13"/>
      <c r="T408" s="13"/>
      <c r="U408" s="13"/>
      <c r="V408" s="15"/>
      <c r="W408" s="15"/>
      <c r="X408" s="15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5"/>
      <c r="H409" s="13"/>
      <c r="I409" s="13"/>
      <c r="J409" s="13"/>
      <c r="K409" s="13"/>
      <c r="L409" s="14"/>
      <c r="M409" s="13"/>
      <c r="N409" s="15"/>
      <c r="O409" s="15"/>
      <c r="P409" s="13"/>
      <c r="Q409" s="13"/>
      <c r="R409" s="13"/>
      <c r="S409" s="13"/>
      <c r="T409" s="13"/>
      <c r="U409" s="13"/>
      <c r="V409" s="15"/>
      <c r="W409" s="15"/>
      <c r="X409" s="15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5"/>
      <c r="H410" s="13"/>
      <c r="I410" s="13"/>
      <c r="J410" s="13"/>
      <c r="K410" s="13"/>
      <c r="L410" s="14"/>
      <c r="M410" s="13"/>
      <c r="N410" s="15"/>
      <c r="O410" s="15"/>
      <c r="P410" s="13"/>
      <c r="Q410" s="13"/>
      <c r="R410" s="13"/>
      <c r="S410" s="13"/>
      <c r="T410" s="13"/>
      <c r="U410" s="13"/>
      <c r="V410" s="15"/>
      <c r="W410" s="15"/>
      <c r="X410" s="15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5"/>
      <c r="H411" s="13"/>
      <c r="I411" s="13"/>
      <c r="J411" s="13"/>
      <c r="K411" s="13"/>
      <c r="L411" s="14"/>
      <c r="M411" s="13"/>
      <c r="N411" s="15"/>
      <c r="O411" s="15"/>
      <c r="P411" s="13"/>
      <c r="Q411" s="13"/>
      <c r="R411" s="13"/>
      <c r="S411" s="13"/>
      <c r="T411" s="13"/>
      <c r="U411" s="13"/>
      <c r="V411" s="15"/>
      <c r="W411" s="15"/>
      <c r="X411" s="15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5"/>
      <c r="H412" s="13"/>
      <c r="I412" s="13"/>
      <c r="J412" s="13"/>
      <c r="K412" s="13"/>
      <c r="L412" s="14"/>
      <c r="M412" s="13"/>
      <c r="N412" s="15"/>
      <c r="O412" s="15"/>
      <c r="P412" s="13"/>
      <c r="Q412" s="13"/>
      <c r="R412" s="13"/>
      <c r="S412" s="13"/>
      <c r="T412" s="13"/>
      <c r="U412" s="13"/>
      <c r="V412" s="15"/>
      <c r="W412" s="15"/>
      <c r="X412" s="15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5"/>
      <c r="H413" s="13"/>
      <c r="I413" s="13"/>
      <c r="J413" s="13"/>
      <c r="K413" s="13"/>
      <c r="L413" s="14"/>
      <c r="M413" s="13"/>
      <c r="N413" s="15"/>
      <c r="O413" s="15"/>
      <c r="P413" s="13"/>
      <c r="Q413" s="13"/>
      <c r="R413" s="13"/>
      <c r="S413" s="13"/>
      <c r="T413" s="13"/>
      <c r="U413" s="13"/>
      <c r="V413" s="15"/>
      <c r="W413" s="15"/>
      <c r="X413" s="15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5"/>
      <c r="H414" s="13"/>
      <c r="I414" s="13"/>
      <c r="J414" s="13"/>
      <c r="K414" s="13"/>
      <c r="L414" s="14"/>
      <c r="M414" s="13"/>
      <c r="N414" s="15"/>
      <c r="O414" s="15"/>
      <c r="P414" s="13"/>
      <c r="Q414" s="13"/>
      <c r="R414" s="13"/>
      <c r="S414" s="13"/>
      <c r="T414" s="13"/>
      <c r="U414" s="13"/>
      <c r="V414" s="15"/>
      <c r="W414" s="15"/>
      <c r="X414" s="15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5"/>
      <c r="H415" s="13"/>
      <c r="I415" s="13"/>
      <c r="J415" s="13"/>
      <c r="K415" s="13"/>
      <c r="L415" s="14"/>
      <c r="M415" s="13"/>
      <c r="N415" s="15"/>
      <c r="O415" s="15"/>
      <c r="P415" s="13"/>
      <c r="Q415" s="13"/>
      <c r="R415" s="13"/>
      <c r="S415" s="13"/>
      <c r="T415" s="13"/>
      <c r="U415" s="13"/>
      <c r="V415" s="15"/>
      <c r="W415" s="15"/>
      <c r="X415" s="15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5"/>
      <c r="H416" s="13"/>
      <c r="I416" s="13"/>
      <c r="J416" s="13"/>
      <c r="K416" s="13"/>
      <c r="L416" s="14"/>
      <c r="M416" s="13"/>
      <c r="N416" s="15"/>
      <c r="O416" s="15"/>
      <c r="P416" s="13"/>
      <c r="Q416" s="13"/>
      <c r="R416" s="13"/>
      <c r="S416" s="13"/>
      <c r="T416" s="13"/>
      <c r="U416" s="13"/>
      <c r="V416" s="15"/>
      <c r="W416" s="15"/>
      <c r="X416" s="15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5"/>
      <c r="H417" s="13"/>
      <c r="I417" s="13"/>
      <c r="J417" s="13"/>
      <c r="K417" s="13"/>
      <c r="L417" s="14"/>
      <c r="M417" s="13"/>
      <c r="N417" s="15"/>
      <c r="O417" s="15"/>
      <c r="P417" s="13"/>
      <c r="Q417" s="13"/>
      <c r="R417" s="13"/>
      <c r="S417" s="13"/>
      <c r="T417" s="13"/>
      <c r="U417" s="13"/>
      <c r="V417" s="15"/>
      <c r="W417" s="15"/>
      <c r="X417" s="15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5"/>
      <c r="H418" s="13"/>
      <c r="I418" s="13"/>
      <c r="J418" s="13"/>
      <c r="K418" s="13"/>
      <c r="L418" s="14"/>
      <c r="M418" s="13"/>
      <c r="N418" s="15"/>
      <c r="O418" s="15"/>
      <c r="P418" s="13"/>
      <c r="Q418" s="13"/>
      <c r="R418" s="13"/>
      <c r="S418" s="13"/>
      <c r="T418" s="13"/>
      <c r="U418" s="13"/>
      <c r="V418" s="15"/>
      <c r="W418" s="15"/>
      <c r="X418" s="15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5"/>
      <c r="H419" s="13"/>
      <c r="I419" s="13"/>
      <c r="J419" s="13"/>
      <c r="K419" s="13"/>
      <c r="L419" s="14"/>
      <c r="M419" s="13"/>
      <c r="N419" s="15"/>
      <c r="O419" s="15"/>
      <c r="P419" s="13"/>
      <c r="Q419" s="13"/>
      <c r="R419" s="13"/>
      <c r="S419" s="13"/>
      <c r="T419" s="13"/>
      <c r="U419" s="13"/>
      <c r="V419" s="15"/>
      <c r="W419" s="15"/>
      <c r="X419" s="15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5"/>
      <c r="H420" s="13"/>
      <c r="I420" s="13"/>
      <c r="J420" s="13"/>
      <c r="K420" s="13"/>
      <c r="L420" s="14"/>
      <c r="M420" s="13"/>
      <c r="N420" s="15"/>
      <c r="O420" s="15"/>
      <c r="P420" s="13"/>
      <c r="Q420" s="13"/>
      <c r="R420" s="13"/>
      <c r="S420" s="13"/>
      <c r="T420" s="13"/>
      <c r="U420" s="13"/>
      <c r="V420" s="15"/>
      <c r="W420" s="15"/>
      <c r="X420" s="15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5"/>
      <c r="H421" s="13"/>
      <c r="I421" s="13"/>
      <c r="J421" s="13"/>
      <c r="K421" s="13"/>
      <c r="L421" s="14"/>
      <c r="M421" s="13"/>
      <c r="N421" s="15"/>
      <c r="O421" s="15"/>
      <c r="P421" s="13"/>
      <c r="Q421" s="13"/>
      <c r="R421" s="13"/>
      <c r="S421" s="13"/>
      <c r="T421" s="13"/>
      <c r="U421" s="13"/>
      <c r="V421" s="15"/>
      <c r="W421" s="15"/>
      <c r="X421" s="15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5"/>
      <c r="H422" s="13"/>
      <c r="I422" s="13"/>
      <c r="J422" s="13"/>
      <c r="K422" s="13"/>
      <c r="L422" s="14"/>
      <c r="M422" s="13"/>
      <c r="N422" s="15"/>
      <c r="O422" s="15"/>
      <c r="P422" s="13"/>
      <c r="Q422" s="13"/>
      <c r="R422" s="13"/>
      <c r="S422" s="13"/>
      <c r="T422" s="13"/>
      <c r="U422" s="13"/>
      <c r="V422" s="15"/>
      <c r="W422" s="15"/>
      <c r="X422" s="15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5"/>
      <c r="H423" s="13"/>
      <c r="I423" s="13"/>
      <c r="J423" s="13"/>
      <c r="K423" s="13"/>
      <c r="L423" s="14"/>
      <c r="M423" s="13"/>
      <c r="N423" s="15"/>
      <c r="O423" s="15"/>
      <c r="P423" s="13"/>
      <c r="Q423" s="13"/>
      <c r="R423" s="13"/>
      <c r="S423" s="13"/>
      <c r="T423" s="13"/>
      <c r="U423" s="13"/>
      <c r="V423" s="15"/>
      <c r="W423" s="15"/>
      <c r="X423" s="15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5"/>
      <c r="H424" s="13"/>
      <c r="I424" s="13"/>
      <c r="J424" s="13"/>
      <c r="K424" s="13"/>
      <c r="L424" s="14"/>
      <c r="M424" s="13"/>
      <c r="N424" s="15"/>
      <c r="O424" s="15"/>
      <c r="P424" s="13"/>
      <c r="Q424" s="13"/>
      <c r="R424" s="13"/>
      <c r="S424" s="13"/>
      <c r="T424" s="13"/>
      <c r="U424" s="13"/>
      <c r="V424" s="15"/>
      <c r="W424" s="15"/>
      <c r="X424" s="15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5"/>
      <c r="H425" s="13"/>
      <c r="I425" s="13"/>
      <c r="J425" s="13"/>
      <c r="K425" s="13"/>
      <c r="L425" s="14"/>
      <c r="M425" s="13"/>
      <c r="N425" s="15"/>
      <c r="O425" s="15"/>
      <c r="P425" s="13"/>
      <c r="Q425" s="13"/>
      <c r="R425" s="13"/>
      <c r="S425" s="13"/>
      <c r="T425" s="13"/>
      <c r="U425" s="13"/>
      <c r="V425" s="15"/>
      <c r="W425" s="15"/>
      <c r="X425" s="15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5"/>
      <c r="H426" s="13"/>
      <c r="I426" s="13"/>
      <c r="J426" s="13"/>
      <c r="K426" s="13"/>
      <c r="L426" s="14"/>
      <c r="M426" s="13"/>
      <c r="N426" s="15"/>
      <c r="O426" s="15"/>
      <c r="P426" s="13"/>
      <c r="Q426" s="13"/>
      <c r="R426" s="13"/>
      <c r="S426" s="13"/>
      <c r="T426" s="13"/>
      <c r="U426" s="13"/>
      <c r="V426" s="15"/>
      <c r="W426" s="15"/>
      <c r="X426" s="15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5"/>
      <c r="H427" s="13"/>
      <c r="I427" s="13"/>
      <c r="J427" s="13"/>
      <c r="K427" s="13"/>
      <c r="L427" s="14"/>
      <c r="M427" s="13"/>
      <c r="N427" s="15"/>
      <c r="O427" s="15"/>
      <c r="P427" s="13"/>
      <c r="Q427" s="13"/>
      <c r="R427" s="13"/>
      <c r="S427" s="13"/>
      <c r="T427" s="13"/>
      <c r="U427" s="13"/>
      <c r="V427" s="15"/>
      <c r="W427" s="15"/>
      <c r="X427" s="15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5"/>
      <c r="H428" s="13"/>
      <c r="I428" s="13"/>
      <c r="J428" s="13"/>
      <c r="K428" s="13"/>
      <c r="L428" s="14"/>
      <c r="M428" s="13"/>
      <c r="N428" s="15"/>
      <c r="O428" s="15"/>
      <c r="P428" s="13"/>
      <c r="Q428" s="13"/>
      <c r="R428" s="13"/>
      <c r="S428" s="13"/>
      <c r="T428" s="13"/>
      <c r="U428" s="13"/>
      <c r="V428" s="15"/>
      <c r="W428" s="15"/>
      <c r="X428" s="15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5"/>
      <c r="H429" s="13"/>
      <c r="I429" s="13"/>
      <c r="J429" s="13"/>
      <c r="K429" s="13"/>
      <c r="L429" s="14"/>
      <c r="M429" s="13"/>
      <c r="N429" s="15"/>
      <c r="O429" s="15"/>
      <c r="P429" s="13"/>
      <c r="Q429" s="13"/>
      <c r="R429" s="13"/>
      <c r="S429" s="13"/>
      <c r="T429" s="13"/>
      <c r="U429" s="13"/>
      <c r="V429" s="15"/>
      <c r="W429" s="15"/>
      <c r="X429" s="15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5"/>
      <c r="H430" s="13"/>
      <c r="I430" s="13"/>
      <c r="J430" s="13"/>
      <c r="K430" s="13"/>
      <c r="L430" s="14"/>
      <c r="M430" s="13"/>
      <c r="N430" s="15"/>
      <c r="O430" s="15"/>
      <c r="P430" s="13"/>
      <c r="Q430" s="13"/>
      <c r="R430" s="13"/>
      <c r="S430" s="13"/>
      <c r="T430" s="13"/>
      <c r="U430" s="13"/>
      <c r="V430" s="15"/>
      <c r="W430" s="15"/>
      <c r="X430" s="15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5"/>
      <c r="H431" s="13"/>
      <c r="I431" s="13"/>
      <c r="J431" s="13"/>
      <c r="K431" s="13"/>
      <c r="L431" s="14"/>
      <c r="M431" s="13"/>
      <c r="N431" s="15"/>
      <c r="O431" s="15"/>
      <c r="P431" s="13"/>
      <c r="Q431" s="13"/>
      <c r="R431" s="13"/>
      <c r="S431" s="13"/>
      <c r="T431" s="13"/>
      <c r="U431" s="13"/>
      <c r="V431" s="15"/>
      <c r="W431" s="15"/>
      <c r="X431" s="15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5"/>
      <c r="H432" s="13"/>
      <c r="I432" s="13"/>
      <c r="J432" s="13"/>
      <c r="K432" s="13"/>
      <c r="L432" s="14"/>
      <c r="M432" s="13"/>
      <c r="N432" s="15"/>
      <c r="O432" s="15"/>
      <c r="P432" s="13"/>
      <c r="Q432" s="13"/>
      <c r="R432" s="13"/>
      <c r="S432" s="13"/>
      <c r="T432" s="13"/>
      <c r="U432" s="13"/>
      <c r="V432" s="15"/>
      <c r="W432" s="15"/>
      <c r="X432" s="15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5"/>
      <c r="H433" s="13"/>
      <c r="I433" s="13"/>
      <c r="J433" s="13"/>
      <c r="K433" s="13"/>
      <c r="L433" s="14"/>
      <c r="M433" s="13"/>
      <c r="N433" s="15"/>
      <c r="O433" s="15"/>
      <c r="P433" s="13"/>
      <c r="Q433" s="13"/>
      <c r="R433" s="13"/>
      <c r="S433" s="13"/>
      <c r="T433" s="13"/>
      <c r="U433" s="13"/>
      <c r="V433" s="15"/>
      <c r="W433" s="15"/>
      <c r="X433" s="15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5"/>
      <c r="H434" s="13"/>
      <c r="I434" s="13"/>
      <c r="J434" s="13"/>
      <c r="K434" s="13"/>
      <c r="L434" s="14"/>
      <c r="M434" s="13"/>
      <c r="N434" s="15"/>
      <c r="O434" s="15"/>
      <c r="P434" s="13"/>
      <c r="Q434" s="13"/>
      <c r="R434" s="13"/>
      <c r="S434" s="13"/>
      <c r="T434" s="13"/>
      <c r="U434" s="13"/>
      <c r="V434" s="15"/>
      <c r="W434" s="15"/>
      <c r="X434" s="15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5"/>
      <c r="H435" s="13"/>
      <c r="I435" s="13"/>
      <c r="J435" s="13"/>
      <c r="K435" s="13"/>
      <c r="L435" s="14"/>
      <c r="M435" s="13"/>
      <c r="N435" s="15"/>
      <c r="O435" s="15"/>
      <c r="P435" s="13"/>
      <c r="Q435" s="13"/>
      <c r="R435" s="13"/>
      <c r="S435" s="13"/>
      <c r="T435" s="13"/>
      <c r="U435" s="13"/>
      <c r="V435" s="15"/>
      <c r="W435" s="15"/>
      <c r="X435" s="15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5"/>
      <c r="H436" s="13"/>
      <c r="I436" s="13"/>
      <c r="J436" s="13"/>
      <c r="K436" s="13"/>
      <c r="L436" s="14"/>
      <c r="M436" s="13"/>
      <c r="N436" s="15"/>
      <c r="O436" s="15"/>
      <c r="P436" s="13"/>
      <c r="Q436" s="13"/>
      <c r="R436" s="13"/>
      <c r="S436" s="13"/>
      <c r="T436" s="13"/>
      <c r="U436" s="13"/>
      <c r="V436" s="15"/>
      <c r="W436" s="15"/>
      <c r="X436" s="15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5"/>
      <c r="H437" s="13"/>
      <c r="I437" s="13"/>
      <c r="J437" s="13"/>
      <c r="K437" s="13"/>
      <c r="L437" s="14"/>
      <c r="M437" s="13"/>
      <c r="N437" s="15"/>
      <c r="O437" s="15"/>
      <c r="P437" s="13"/>
      <c r="Q437" s="13"/>
      <c r="R437" s="13"/>
      <c r="S437" s="13"/>
      <c r="T437" s="13"/>
      <c r="U437" s="13"/>
      <c r="V437" s="15"/>
      <c r="W437" s="15"/>
      <c r="X437" s="15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5"/>
      <c r="H438" s="13"/>
      <c r="I438" s="13"/>
      <c r="J438" s="13"/>
      <c r="K438" s="13"/>
      <c r="L438" s="14"/>
      <c r="M438" s="13"/>
      <c r="N438" s="15"/>
      <c r="O438" s="15"/>
      <c r="P438" s="13"/>
      <c r="Q438" s="13"/>
      <c r="R438" s="13"/>
      <c r="S438" s="13"/>
      <c r="T438" s="13"/>
      <c r="U438" s="13"/>
      <c r="V438" s="15"/>
      <c r="W438" s="15"/>
      <c r="X438" s="15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5"/>
      <c r="H439" s="13"/>
      <c r="I439" s="13"/>
      <c r="J439" s="13"/>
      <c r="K439" s="13"/>
      <c r="L439" s="14"/>
      <c r="M439" s="13"/>
      <c r="N439" s="15"/>
      <c r="O439" s="15"/>
      <c r="P439" s="13"/>
      <c r="Q439" s="13"/>
      <c r="R439" s="13"/>
      <c r="S439" s="13"/>
      <c r="T439" s="13"/>
      <c r="U439" s="13"/>
      <c r="V439" s="15"/>
      <c r="W439" s="15"/>
      <c r="X439" s="15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5"/>
      <c r="H440" s="13"/>
      <c r="I440" s="13"/>
      <c r="J440" s="13"/>
      <c r="K440" s="13"/>
      <c r="L440" s="14"/>
      <c r="M440" s="13"/>
      <c r="N440" s="15"/>
      <c r="O440" s="15"/>
      <c r="P440" s="13"/>
      <c r="Q440" s="13"/>
      <c r="R440" s="13"/>
      <c r="S440" s="13"/>
      <c r="T440" s="13"/>
      <c r="U440" s="13"/>
      <c r="V440" s="15"/>
      <c r="W440" s="15"/>
      <c r="X440" s="15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5"/>
      <c r="H441" s="13"/>
      <c r="I441" s="13"/>
      <c r="J441" s="13"/>
      <c r="K441" s="13"/>
      <c r="L441" s="14"/>
      <c r="M441" s="13"/>
      <c r="N441" s="15"/>
      <c r="O441" s="15"/>
      <c r="P441" s="13"/>
      <c r="Q441" s="13"/>
      <c r="R441" s="13"/>
      <c r="S441" s="13"/>
      <c r="T441" s="13"/>
      <c r="U441" s="13"/>
      <c r="V441" s="15"/>
      <c r="W441" s="15"/>
      <c r="X441" s="15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5"/>
      <c r="H442" s="13"/>
      <c r="I442" s="13"/>
      <c r="J442" s="13"/>
      <c r="K442" s="13"/>
      <c r="L442" s="14"/>
      <c r="M442" s="13"/>
      <c r="N442" s="15"/>
      <c r="O442" s="15"/>
      <c r="P442" s="13"/>
      <c r="Q442" s="13"/>
      <c r="R442" s="13"/>
      <c r="S442" s="13"/>
      <c r="T442" s="13"/>
      <c r="U442" s="13"/>
      <c r="V442" s="15"/>
      <c r="W442" s="15"/>
      <c r="X442" s="15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5"/>
      <c r="H443" s="13"/>
      <c r="I443" s="13"/>
      <c r="J443" s="13"/>
      <c r="K443" s="13"/>
      <c r="L443" s="14"/>
      <c r="M443" s="13"/>
      <c r="N443" s="15"/>
      <c r="O443" s="15"/>
      <c r="P443" s="13"/>
      <c r="Q443" s="13"/>
      <c r="R443" s="13"/>
      <c r="S443" s="13"/>
      <c r="T443" s="13"/>
      <c r="U443" s="13"/>
      <c r="V443" s="15"/>
      <c r="W443" s="15"/>
      <c r="X443" s="15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5"/>
      <c r="H444" s="13"/>
      <c r="I444" s="13"/>
      <c r="J444" s="13"/>
      <c r="K444" s="13"/>
      <c r="L444" s="14"/>
      <c r="M444" s="13"/>
      <c r="N444" s="15"/>
      <c r="O444" s="15"/>
      <c r="P444" s="13"/>
      <c r="Q444" s="13"/>
      <c r="R444" s="13"/>
      <c r="S444" s="13"/>
      <c r="T444" s="13"/>
      <c r="U444" s="13"/>
      <c r="V444" s="15"/>
      <c r="W444" s="15"/>
      <c r="X444" s="15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5"/>
      <c r="H445" s="13"/>
      <c r="I445" s="13"/>
      <c r="J445" s="13"/>
      <c r="K445" s="13"/>
      <c r="L445" s="14"/>
      <c r="M445" s="13"/>
      <c r="N445" s="15"/>
      <c r="O445" s="15"/>
      <c r="P445" s="13"/>
      <c r="Q445" s="13"/>
      <c r="R445" s="13"/>
      <c r="S445" s="13"/>
      <c r="T445" s="13"/>
      <c r="U445" s="13"/>
      <c r="V445" s="15"/>
      <c r="W445" s="15"/>
      <c r="X445" s="15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5"/>
      <c r="H446" s="13"/>
      <c r="I446" s="13"/>
      <c r="J446" s="13"/>
      <c r="K446" s="13"/>
      <c r="L446" s="14"/>
      <c r="M446" s="13"/>
      <c r="N446" s="15"/>
      <c r="O446" s="15"/>
      <c r="P446" s="13"/>
      <c r="Q446" s="13"/>
      <c r="R446" s="13"/>
      <c r="S446" s="13"/>
      <c r="T446" s="13"/>
      <c r="U446" s="13"/>
      <c r="V446" s="15"/>
      <c r="W446" s="15"/>
      <c r="X446" s="15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5"/>
      <c r="H447" s="13"/>
      <c r="I447" s="13"/>
      <c r="J447" s="13"/>
      <c r="K447" s="13"/>
      <c r="L447" s="14"/>
      <c r="M447" s="13"/>
      <c r="N447" s="15"/>
      <c r="O447" s="15"/>
      <c r="P447" s="13"/>
      <c r="Q447" s="13"/>
      <c r="R447" s="13"/>
      <c r="S447" s="13"/>
      <c r="T447" s="13"/>
      <c r="U447" s="13"/>
      <c r="V447" s="15"/>
      <c r="W447" s="15"/>
      <c r="X447" s="15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5"/>
      <c r="H448" s="13"/>
      <c r="I448" s="13"/>
      <c r="J448" s="13"/>
      <c r="K448" s="13"/>
      <c r="L448" s="14"/>
      <c r="M448" s="13"/>
      <c r="N448" s="15"/>
      <c r="O448" s="15"/>
      <c r="P448" s="13"/>
      <c r="Q448" s="13"/>
      <c r="R448" s="13"/>
      <c r="S448" s="13"/>
      <c r="T448" s="13"/>
      <c r="U448" s="13"/>
      <c r="V448" s="15"/>
      <c r="W448" s="15"/>
      <c r="X448" s="15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5"/>
      <c r="H449" s="13"/>
      <c r="I449" s="13"/>
      <c r="J449" s="13"/>
      <c r="K449" s="13"/>
      <c r="L449" s="14"/>
      <c r="M449" s="13"/>
      <c r="N449" s="15"/>
      <c r="O449" s="15"/>
      <c r="P449" s="13"/>
      <c r="Q449" s="13"/>
      <c r="R449" s="13"/>
      <c r="S449" s="13"/>
      <c r="T449" s="13"/>
      <c r="U449" s="13"/>
      <c r="V449" s="15"/>
      <c r="W449" s="15"/>
      <c r="X449" s="15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5"/>
      <c r="H450" s="13"/>
      <c r="I450" s="13"/>
      <c r="J450" s="13"/>
      <c r="K450" s="13"/>
      <c r="L450" s="14"/>
      <c r="M450" s="13"/>
      <c r="N450" s="15"/>
      <c r="O450" s="15"/>
      <c r="P450" s="13"/>
      <c r="Q450" s="13"/>
      <c r="R450" s="13"/>
      <c r="S450" s="13"/>
      <c r="T450" s="13"/>
      <c r="U450" s="13"/>
      <c r="V450" s="15"/>
      <c r="W450" s="15"/>
      <c r="X450" s="15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5"/>
      <c r="H451" s="13"/>
      <c r="I451" s="13"/>
      <c r="J451" s="13"/>
      <c r="K451" s="13"/>
      <c r="L451" s="14"/>
      <c r="M451" s="13"/>
      <c r="N451" s="15"/>
      <c r="O451" s="15"/>
      <c r="P451" s="13"/>
      <c r="Q451" s="13"/>
      <c r="R451" s="13"/>
      <c r="S451" s="13"/>
      <c r="T451" s="13"/>
      <c r="U451" s="13"/>
      <c r="V451" s="15"/>
      <c r="W451" s="15"/>
      <c r="X451" s="15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5"/>
      <c r="H452" s="13"/>
      <c r="I452" s="13"/>
      <c r="J452" s="13"/>
      <c r="K452" s="13"/>
      <c r="L452" s="14"/>
      <c r="M452" s="13"/>
      <c r="N452" s="15"/>
      <c r="O452" s="15"/>
      <c r="P452" s="13"/>
      <c r="Q452" s="13"/>
      <c r="R452" s="13"/>
      <c r="S452" s="13"/>
      <c r="T452" s="13"/>
      <c r="U452" s="13"/>
      <c r="V452" s="15"/>
      <c r="W452" s="15"/>
      <c r="X452" s="15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5"/>
      <c r="H453" s="13"/>
      <c r="I453" s="13"/>
      <c r="J453" s="13"/>
      <c r="K453" s="13"/>
      <c r="L453" s="14"/>
      <c r="M453" s="13"/>
      <c r="N453" s="15"/>
      <c r="O453" s="15"/>
      <c r="P453" s="13"/>
      <c r="Q453" s="13"/>
      <c r="R453" s="13"/>
      <c r="S453" s="13"/>
      <c r="T453" s="13"/>
      <c r="U453" s="13"/>
      <c r="V453" s="15"/>
      <c r="W453" s="15"/>
      <c r="X453" s="15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5"/>
      <c r="H454" s="13"/>
      <c r="I454" s="13"/>
      <c r="J454" s="13"/>
      <c r="K454" s="13"/>
      <c r="L454" s="14"/>
      <c r="M454" s="13"/>
      <c r="N454" s="15"/>
      <c r="O454" s="15"/>
      <c r="P454" s="13"/>
      <c r="Q454" s="13"/>
      <c r="R454" s="13"/>
      <c r="S454" s="13"/>
      <c r="T454" s="13"/>
      <c r="U454" s="13"/>
      <c r="V454" s="15"/>
      <c r="W454" s="15"/>
      <c r="X454" s="15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5"/>
      <c r="H455" s="13"/>
      <c r="I455" s="13"/>
      <c r="J455" s="13"/>
      <c r="K455" s="13"/>
      <c r="L455" s="14"/>
      <c r="M455" s="13"/>
      <c r="N455" s="15"/>
      <c r="O455" s="15"/>
      <c r="P455" s="13"/>
      <c r="Q455" s="13"/>
      <c r="R455" s="13"/>
      <c r="S455" s="13"/>
      <c r="T455" s="13"/>
      <c r="U455" s="13"/>
      <c r="V455" s="15"/>
      <c r="W455" s="15"/>
      <c r="X455" s="15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5"/>
      <c r="H456" s="13"/>
      <c r="I456" s="13"/>
      <c r="J456" s="13"/>
      <c r="K456" s="13"/>
      <c r="L456" s="14"/>
      <c r="M456" s="13"/>
      <c r="N456" s="15"/>
      <c r="O456" s="15"/>
      <c r="P456" s="13"/>
      <c r="Q456" s="13"/>
      <c r="R456" s="13"/>
      <c r="S456" s="13"/>
      <c r="T456" s="13"/>
      <c r="U456" s="13"/>
      <c r="V456" s="15"/>
      <c r="W456" s="15"/>
      <c r="X456" s="15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5"/>
      <c r="H457" s="13"/>
      <c r="I457" s="13"/>
      <c r="J457" s="13"/>
      <c r="K457" s="13"/>
      <c r="L457" s="14"/>
      <c r="M457" s="13"/>
      <c r="N457" s="15"/>
      <c r="O457" s="15"/>
      <c r="P457" s="13"/>
      <c r="Q457" s="13"/>
      <c r="R457" s="13"/>
      <c r="S457" s="13"/>
      <c r="T457" s="13"/>
      <c r="U457" s="13"/>
      <c r="V457" s="15"/>
      <c r="W457" s="15"/>
      <c r="X457" s="15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5"/>
      <c r="H458" s="13"/>
      <c r="I458" s="13"/>
      <c r="J458" s="13"/>
      <c r="K458" s="13"/>
      <c r="L458" s="14"/>
      <c r="M458" s="13"/>
      <c r="N458" s="15"/>
      <c r="O458" s="15"/>
      <c r="P458" s="13"/>
      <c r="Q458" s="13"/>
      <c r="R458" s="13"/>
      <c r="S458" s="13"/>
      <c r="T458" s="13"/>
      <c r="U458" s="13"/>
      <c r="V458" s="15"/>
      <c r="W458" s="15"/>
      <c r="X458" s="15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5"/>
      <c r="H459" s="13"/>
      <c r="I459" s="13"/>
      <c r="J459" s="13"/>
      <c r="K459" s="13"/>
      <c r="L459" s="14"/>
      <c r="M459" s="13"/>
      <c r="N459" s="15"/>
      <c r="O459" s="15"/>
      <c r="P459" s="13"/>
      <c r="Q459" s="13"/>
      <c r="R459" s="13"/>
      <c r="S459" s="13"/>
      <c r="T459" s="13"/>
      <c r="U459" s="13"/>
      <c r="V459" s="15"/>
      <c r="W459" s="15"/>
      <c r="X459" s="15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5"/>
      <c r="H460" s="13"/>
      <c r="I460" s="13"/>
      <c r="J460" s="13"/>
      <c r="K460" s="13"/>
      <c r="L460" s="14"/>
      <c r="M460" s="13"/>
      <c r="N460" s="15"/>
      <c r="O460" s="15"/>
      <c r="P460" s="13"/>
      <c r="Q460" s="13"/>
      <c r="R460" s="13"/>
      <c r="S460" s="13"/>
      <c r="T460" s="13"/>
      <c r="U460" s="13"/>
      <c r="V460" s="15"/>
      <c r="W460" s="15"/>
      <c r="X460" s="15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5"/>
      <c r="H461" s="13"/>
      <c r="I461" s="13"/>
      <c r="J461" s="13"/>
      <c r="K461" s="13"/>
      <c r="L461" s="14"/>
      <c r="M461" s="13"/>
      <c r="N461" s="15"/>
      <c r="O461" s="15"/>
      <c r="P461" s="13"/>
      <c r="Q461" s="13"/>
      <c r="R461" s="13"/>
      <c r="S461" s="13"/>
      <c r="T461" s="13"/>
      <c r="U461" s="13"/>
      <c r="V461" s="15"/>
      <c r="W461" s="15"/>
      <c r="X461" s="15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5"/>
      <c r="H462" s="13"/>
      <c r="I462" s="13"/>
      <c r="J462" s="13"/>
      <c r="K462" s="13"/>
      <c r="L462" s="14"/>
      <c r="M462" s="13"/>
      <c r="N462" s="15"/>
      <c r="O462" s="15"/>
      <c r="P462" s="13"/>
      <c r="Q462" s="13"/>
      <c r="R462" s="13"/>
      <c r="S462" s="13"/>
      <c r="T462" s="13"/>
      <c r="U462" s="13"/>
      <c r="V462" s="15"/>
      <c r="W462" s="15"/>
      <c r="X462" s="15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5"/>
      <c r="H463" s="13"/>
      <c r="I463" s="13"/>
      <c r="J463" s="13"/>
      <c r="K463" s="13"/>
      <c r="L463" s="14"/>
      <c r="M463" s="13"/>
      <c r="N463" s="15"/>
      <c r="O463" s="15"/>
      <c r="P463" s="13"/>
      <c r="Q463" s="13"/>
      <c r="R463" s="13"/>
      <c r="S463" s="13"/>
      <c r="T463" s="13"/>
      <c r="U463" s="13"/>
      <c r="V463" s="15"/>
      <c r="W463" s="15"/>
      <c r="X463" s="15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5"/>
      <c r="H464" s="13"/>
      <c r="I464" s="13"/>
      <c r="J464" s="13"/>
      <c r="K464" s="13"/>
      <c r="L464" s="14"/>
      <c r="M464" s="13"/>
      <c r="N464" s="15"/>
      <c r="O464" s="15"/>
      <c r="P464" s="13"/>
      <c r="Q464" s="13"/>
      <c r="R464" s="13"/>
      <c r="S464" s="13"/>
      <c r="T464" s="13"/>
      <c r="U464" s="13"/>
      <c r="V464" s="15"/>
      <c r="W464" s="15"/>
      <c r="X464" s="15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5"/>
      <c r="H465" s="13"/>
      <c r="I465" s="13"/>
      <c r="J465" s="13"/>
      <c r="K465" s="13"/>
      <c r="L465" s="14"/>
      <c r="M465" s="13"/>
      <c r="N465" s="15"/>
      <c r="O465" s="15"/>
      <c r="P465" s="13"/>
      <c r="Q465" s="13"/>
      <c r="R465" s="13"/>
      <c r="S465" s="13"/>
      <c r="T465" s="13"/>
      <c r="U465" s="13"/>
      <c r="V465" s="15"/>
      <c r="W465" s="15"/>
      <c r="X465" s="15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5"/>
      <c r="H466" s="13"/>
      <c r="I466" s="13"/>
      <c r="J466" s="13"/>
      <c r="K466" s="13"/>
      <c r="L466" s="14"/>
      <c r="M466" s="13"/>
      <c r="N466" s="15"/>
      <c r="O466" s="15"/>
      <c r="P466" s="13"/>
      <c r="Q466" s="13"/>
      <c r="R466" s="13"/>
      <c r="S466" s="13"/>
      <c r="T466" s="13"/>
      <c r="U466" s="13"/>
      <c r="V466" s="15"/>
      <c r="W466" s="15"/>
      <c r="X466" s="15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5"/>
      <c r="H467" s="13"/>
      <c r="I467" s="13"/>
      <c r="J467" s="13"/>
      <c r="K467" s="13"/>
      <c r="L467" s="14"/>
      <c r="M467" s="13"/>
      <c r="N467" s="15"/>
      <c r="O467" s="15"/>
      <c r="P467" s="13"/>
      <c r="Q467" s="13"/>
      <c r="R467" s="13"/>
      <c r="S467" s="13"/>
      <c r="T467" s="13"/>
      <c r="U467" s="13"/>
      <c r="V467" s="15"/>
      <c r="W467" s="15"/>
      <c r="X467" s="15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5"/>
      <c r="H468" s="13"/>
      <c r="I468" s="13"/>
      <c r="J468" s="13"/>
      <c r="K468" s="13"/>
      <c r="L468" s="14"/>
      <c r="M468" s="13"/>
      <c r="N468" s="15"/>
      <c r="O468" s="15"/>
      <c r="P468" s="13"/>
      <c r="Q468" s="13"/>
      <c r="R468" s="13"/>
      <c r="S468" s="13"/>
      <c r="T468" s="13"/>
      <c r="U468" s="13"/>
      <c r="V468" s="15"/>
      <c r="W468" s="15"/>
      <c r="X468" s="15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5"/>
      <c r="H469" s="13"/>
      <c r="I469" s="13"/>
      <c r="J469" s="13"/>
      <c r="K469" s="13"/>
      <c r="L469" s="14"/>
      <c r="M469" s="13"/>
      <c r="N469" s="15"/>
      <c r="O469" s="15"/>
      <c r="P469" s="13"/>
      <c r="Q469" s="13"/>
      <c r="R469" s="13"/>
      <c r="S469" s="13"/>
      <c r="T469" s="13"/>
      <c r="U469" s="13"/>
      <c r="V469" s="15"/>
      <c r="W469" s="15"/>
      <c r="X469" s="15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5"/>
      <c r="H470" s="13"/>
      <c r="I470" s="13"/>
      <c r="J470" s="13"/>
      <c r="K470" s="13"/>
      <c r="L470" s="14"/>
      <c r="M470" s="13"/>
      <c r="N470" s="15"/>
      <c r="O470" s="15"/>
      <c r="P470" s="13"/>
      <c r="Q470" s="13"/>
      <c r="R470" s="13"/>
      <c r="S470" s="13"/>
      <c r="T470" s="13"/>
      <c r="U470" s="13"/>
      <c r="V470" s="15"/>
      <c r="W470" s="15"/>
      <c r="X470" s="15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5"/>
      <c r="H471" s="13"/>
      <c r="I471" s="13"/>
      <c r="J471" s="13"/>
      <c r="K471" s="13"/>
      <c r="L471" s="14"/>
      <c r="M471" s="13"/>
      <c r="N471" s="15"/>
      <c r="O471" s="15"/>
      <c r="P471" s="13"/>
      <c r="Q471" s="13"/>
      <c r="R471" s="13"/>
      <c r="S471" s="13"/>
      <c r="T471" s="13"/>
      <c r="U471" s="13"/>
      <c r="V471" s="15"/>
      <c r="W471" s="15"/>
      <c r="X471" s="15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5"/>
      <c r="H472" s="13"/>
      <c r="I472" s="13"/>
      <c r="J472" s="13"/>
      <c r="K472" s="13"/>
      <c r="L472" s="14"/>
      <c r="M472" s="13"/>
      <c r="N472" s="15"/>
      <c r="O472" s="15"/>
      <c r="P472" s="13"/>
      <c r="Q472" s="13"/>
      <c r="R472" s="13"/>
      <c r="S472" s="13"/>
      <c r="T472" s="13"/>
      <c r="U472" s="13"/>
      <c r="V472" s="15"/>
      <c r="W472" s="15"/>
      <c r="X472" s="15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5"/>
      <c r="H473" s="13"/>
      <c r="I473" s="13"/>
      <c r="J473" s="13"/>
      <c r="K473" s="13"/>
      <c r="L473" s="14"/>
      <c r="M473" s="13"/>
      <c r="N473" s="15"/>
      <c r="O473" s="15"/>
      <c r="P473" s="13"/>
      <c r="Q473" s="13"/>
      <c r="R473" s="13"/>
      <c r="S473" s="13"/>
      <c r="T473" s="13"/>
      <c r="U473" s="13"/>
      <c r="V473" s="15"/>
      <c r="W473" s="15"/>
      <c r="X473" s="15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5"/>
      <c r="H474" s="13"/>
      <c r="I474" s="13"/>
      <c r="J474" s="13"/>
      <c r="K474" s="13"/>
      <c r="L474" s="14"/>
      <c r="M474" s="13"/>
      <c r="N474" s="15"/>
      <c r="O474" s="15"/>
      <c r="P474" s="13"/>
      <c r="Q474" s="13"/>
      <c r="R474" s="13"/>
      <c r="S474" s="13"/>
      <c r="T474" s="13"/>
      <c r="U474" s="13"/>
      <c r="V474" s="15"/>
      <c r="W474" s="15"/>
      <c r="X474" s="15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5"/>
      <c r="H475" s="13"/>
      <c r="I475" s="13"/>
      <c r="J475" s="13"/>
      <c r="K475" s="13"/>
      <c r="L475" s="14"/>
      <c r="M475" s="13"/>
      <c r="N475" s="15"/>
      <c r="O475" s="15"/>
      <c r="P475" s="13"/>
      <c r="Q475" s="13"/>
      <c r="R475" s="13"/>
      <c r="S475" s="13"/>
      <c r="T475" s="13"/>
      <c r="U475" s="13"/>
      <c r="V475" s="15"/>
      <c r="W475" s="15"/>
      <c r="X475" s="15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5"/>
      <c r="H476" s="13"/>
      <c r="I476" s="13"/>
      <c r="J476" s="13"/>
      <c r="K476" s="13"/>
      <c r="L476" s="14"/>
      <c r="M476" s="13"/>
      <c r="N476" s="15"/>
      <c r="O476" s="15"/>
      <c r="P476" s="13"/>
      <c r="Q476" s="13"/>
      <c r="R476" s="13"/>
      <c r="S476" s="13"/>
      <c r="T476" s="13"/>
      <c r="U476" s="13"/>
      <c r="V476" s="15"/>
      <c r="W476" s="15"/>
      <c r="X476" s="15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5"/>
      <c r="H477" s="13"/>
      <c r="I477" s="13"/>
      <c r="J477" s="13"/>
      <c r="K477" s="13"/>
      <c r="L477" s="14"/>
      <c r="M477" s="13"/>
      <c r="N477" s="15"/>
      <c r="O477" s="15"/>
      <c r="P477" s="13"/>
      <c r="Q477" s="13"/>
      <c r="R477" s="13"/>
      <c r="S477" s="13"/>
      <c r="T477" s="13"/>
      <c r="U477" s="13"/>
      <c r="V477" s="15"/>
      <c r="W477" s="15"/>
      <c r="X477" s="15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5"/>
      <c r="H478" s="13"/>
      <c r="I478" s="13"/>
      <c r="J478" s="13"/>
      <c r="K478" s="13"/>
      <c r="L478" s="14"/>
      <c r="M478" s="13"/>
      <c r="N478" s="15"/>
      <c r="O478" s="15"/>
      <c r="P478" s="13"/>
      <c r="Q478" s="13"/>
      <c r="R478" s="13"/>
      <c r="S478" s="13"/>
      <c r="T478" s="13"/>
      <c r="U478" s="13"/>
      <c r="V478" s="15"/>
      <c r="W478" s="15"/>
      <c r="X478" s="15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5"/>
      <c r="H479" s="13"/>
      <c r="I479" s="13"/>
      <c r="J479" s="13"/>
      <c r="K479" s="13"/>
      <c r="L479" s="14"/>
      <c r="M479" s="13"/>
      <c r="N479" s="15"/>
      <c r="O479" s="15"/>
      <c r="P479" s="13"/>
      <c r="Q479" s="13"/>
      <c r="R479" s="13"/>
      <c r="S479" s="13"/>
      <c r="T479" s="13"/>
      <c r="U479" s="13"/>
      <c r="V479" s="15"/>
      <c r="W479" s="15"/>
      <c r="X479" s="15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5"/>
      <c r="H480" s="13"/>
      <c r="I480" s="13"/>
      <c r="J480" s="13"/>
      <c r="K480" s="13"/>
      <c r="L480" s="14"/>
      <c r="M480" s="13"/>
      <c r="N480" s="15"/>
      <c r="O480" s="15"/>
      <c r="P480" s="13"/>
      <c r="Q480" s="13"/>
      <c r="R480" s="13"/>
      <c r="S480" s="13"/>
      <c r="T480" s="13"/>
      <c r="U480" s="13"/>
      <c r="V480" s="15"/>
      <c r="W480" s="15"/>
      <c r="X480" s="15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5"/>
      <c r="H481" s="13"/>
      <c r="I481" s="13"/>
      <c r="J481" s="13"/>
      <c r="K481" s="13"/>
      <c r="L481" s="14"/>
      <c r="M481" s="13"/>
      <c r="N481" s="15"/>
      <c r="O481" s="15"/>
      <c r="P481" s="13"/>
      <c r="Q481" s="13"/>
      <c r="R481" s="13"/>
      <c r="S481" s="13"/>
      <c r="T481" s="13"/>
      <c r="U481" s="13"/>
      <c r="V481" s="15"/>
      <c r="W481" s="15"/>
      <c r="X481" s="15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5"/>
      <c r="H482" s="13"/>
      <c r="I482" s="13"/>
      <c r="J482" s="13"/>
      <c r="K482" s="13"/>
      <c r="L482" s="14"/>
      <c r="M482" s="13"/>
      <c r="N482" s="15"/>
      <c r="O482" s="15"/>
      <c r="P482" s="13"/>
      <c r="Q482" s="13"/>
      <c r="R482" s="13"/>
      <c r="S482" s="13"/>
      <c r="T482" s="13"/>
      <c r="U482" s="13"/>
      <c r="V482" s="15"/>
      <c r="W482" s="15"/>
      <c r="X482" s="15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5"/>
      <c r="H483" s="13"/>
      <c r="I483" s="13"/>
      <c r="J483" s="13"/>
      <c r="K483" s="13"/>
      <c r="L483" s="14"/>
      <c r="M483" s="13"/>
      <c r="N483" s="15"/>
      <c r="O483" s="15"/>
      <c r="P483" s="13"/>
      <c r="Q483" s="13"/>
      <c r="R483" s="13"/>
      <c r="S483" s="13"/>
      <c r="T483" s="13"/>
      <c r="U483" s="13"/>
      <c r="V483" s="15"/>
      <c r="W483" s="15"/>
      <c r="X483" s="15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5"/>
      <c r="H484" s="13"/>
      <c r="I484" s="13"/>
      <c r="J484" s="13"/>
      <c r="K484" s="13"/>
      <c r="L484" s="14"/>
      <c r="M484" s="13"/>
      <c r="N484" s="15"/>
      <c r="O484" s="15"/>
      <c r="P484" s="13"/>
      <c r="Q484" s="13"/>
      <c r="R484" s="13"/>
      <c r="S484" s="13"/>
      <c r="T484" s="13"/>
      <c r="U484" s="13"/>
      <c r="V484" s="15"/>
      <c r="W484" s="15"/>
      <c r="X484" s="15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5"/>
      <c r="H485" s="13"/>
      <c r="I485" s="13"/>
      <c r="J485" s="13"/>
      <c r="K485" s="13"/>
      <c r="L485" s="14"/>
      <c r="M485" s="13"/>
      <c r="N485" s="15"/>
      <c r="O485" s="15"/>
      <c r="P485" s="13"/>
      <c r="Q485" s="13"/>
      <c r="R485" s="13"/>
      <c r="S485" s="13"/>
      <c r="T485" s="13"/>
      <c r="U485" s="13"/>
      <c r="V485" s="15"/>
      <c r="W485" s="15"/>
      <c r="X485" s="15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5"/>
      <c r="H486" s="13"/>
      <c r="I486" s="13"/>
      <c r="J486" s="13"/>
      <c r="K486" s="13"/>
      <c r="L486" s="14"/>
      <c r="M486" s="13"/>
      <c r="N486" s="15"/>
      <c r="O486" s="15"/>
      <c r="P486" s="13"/>
      <c r="Q486" s="13"/>
      <c r="R486" s="13"/>
      <c r="S486" s="13"/>
      <c r="T486" s="13"/>
      <c r="U486" s="13"/>
      <c r="V486" s="15"/>
      <c r="W486" s="15"/>
      <c r="X486" s="15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5"/>
      <c r="H487" s="13"/>
      <c r="I487" s="13"/>
      <c r="J487" s="13"/>
      <c r="K487" s="13"/>
      <c r="L487" s="14"/>
      <c r="M487" s="13"/>
      <c r="N487" s="15"/>
      <c r="O487" s="15"/>
      <c r="P487" s="13"/>
      <c r="Q487" s="13"/>
      <c r="R487" s="13"/>
      <c r="S487" s="13"/>
      <c r="T487" s="13"/>
      <c r="U487" s="13"/>
      <c r="V487" s="15"/>
      <c r="W487" s="15"/>
      <c r="X487" s="15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5"/>
      <c r="H488" s="13"/>
      <c r="I488" s="13"/>
      <c r="J488" s="13"/>
      <c r="K488" s="13"/>
      <c r="L488" s="14"/>
      <c r="M488" s="13"/>
      <c r="N488" s="15"/>
      <c r="O488" s="15"/>
      <c r="P488" s="13"/>
      <c r="Q488" s="13"/>
      <c r="R488" s="13"/>
      <c r="S488" s="13"/>
      <c r="T488" s="13"/>
      <c r="U488" s="13"/>
      <c r="V488" s="15"/>
      <c r="W488" s="15"/>
      <c r="X488" s="15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5"/>
      <c r="H489" s="13"/>
      <c r="I489" s="13"/>
      <c r="J489" s="13"/>
      <c r="K489" s="13"/>
      <c r="L489" s="14"/>
      <c r="M489" s="13"/>
      <c r="N489" s="15"/>
      <c r="O489" s="15"/>
      <c r="P489" s="13"/>
      <c r="Q489" s="13"/>
      <c r="R489" s="13"/>
      <c r="S489" s="13"/>
      <c r="T489" s="13"/>
      <c r="U489" s="13"/>
      <c r="V489" s="15"/>
      <c r="W489" s="15"/>
      <c r="X489" s="15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5"/>
      <c r="H490" s="13"/>
      <c r="I490" s="13"/>
      <c r="J490" s="13"/>
      <c r="K490" s="13"/>
      <c r="L490" s="14"/>
      <c r="M490" s="13"/>
      <c r="N490" s="15"/>
      <c r="O490" s="15"/>
      <c r="P490" s="13"/>
      <c r="Q490" s="13"/>
      <c r="R490" s="13"/>
      <c r="S490" s="13"/>
      <c r="T490" s="13"/>
      <c r="U490" s="13"/>
      <c r="V490" s="15"/>
      <c r="W490" s="15"/>
      <c r="X490" s="15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5"/>
      <c r="H491" s="13"/>
      <c r="I491" s="13"/>
      <c r="J491" s="13"/>
      <c r="K491" s="13"/>
      <c r="L491" s="14"/>
      <c r="M491" s="13"/>
      <c r="N491" s="15"/>
      <c r="O491" s="15"/>
      <c r="P491" s="13"/>
      <c r="Q491" s="13"/>
      <c r="R491" s="13"/>
      <c r="S491" s="13"/>
      <c r="T491" s="13"/>
      <c r="U491" s="13"/>
      <c r="V491" s="15"/>
      <c r="W491" s="15"/>
      <c r="X491" s="15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5"/>
      <c r="H492" s="13"/>
      <c r="I492" s="13"/>
      <c r="J492" s="13"/>
      <c r="K492" s="13"/>
      <c r="L492" s="14"/>
      <c r="M492" s="13"/>
      <c r="N492" s="15"/>
      <c r="O492" s="15"/>
      <c r="P492" s="13"/>
      <c r="Q492" s="13"/>
      <c r="R492" s="13"/>
      <c r="S492" s="13"/>
      <c r="T492" s="13"/>
      <c r="U492" s="13"/>
      <c r="V492" s="15"/>
      <c r="W492" s="15"/>
      <c r="X492" s="15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5"/>
      <c r="H493" s="13"/>
      <c r="I493" s="13"/>
      <c r="J493" s="13"/>
      <c r="K493" s="13"/>
      <c r="L493" s="14"/>
      <c r="M493" s="13"/>
      <c r="N493" s="15"/>
      <c r="O493" s="15"/>
      <c r="P493" s="13"/>
      <c r="Q493" s="13"/>
      <c r="R493" s="13"/>
      <c r="S493" s="13"/>
      <c r="T493" s="13"/>
      <c r="U493" s="13"/>
      <c r="V493" s="15"/>
      <c r="W493" s="15"/>
      <c r="X493" s="15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5"/>
      <c r="H494" s="13"/>
      <c r="I494" s="13"/>
      <c r="J494" s="13"/>
      <c r="K494" s="13"/>
      <c r="L494" s="14"/>
      <c r="M494" s="13"/>
      <c r="N494" s="15"/>
      <c r="O494" s="15"/>
      <c r="P494" s="13"/>
      <c r="Q494" s="13"/>
      <c r="R494" s="13"/>
      <c r="S494" s="13"/>
      <c r="T494" s="13"/>
      <c r="U494" s="13"/>
      <c r="V494" s="15"/>
      <c r="W494" s="15"/>
      <c r="X494" s="15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5"/>
      <c r="H495" s="13"/>
      <c r="I495" s="13"/>
      <c r="J495" s="13"/>
      <c r="K495" s="13"/>
      <c r="L495" s="14"/>
      <c r="M495" s="13"/>
      <c r="N495" s="15"/>
      <c r="O495" s="15"/>
      <c r="P495" s="13"/>
      <c r="Q495" s="13"/>
      <c r="R495" s="13"/>
      <c r="S495" s="13"/>
      <c r="T495" s="13"/>
      <c r="U495" s="13"/>
      <c r="V495" s="15"/>
      <c r="W495" s="15"/>
      <c r="X495" s="15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5"/>
      <c r="H496" s="13"/>
      <c r="I496" s="13"/>
      <c r="J496" s="13"/>
      <c r="K496" s="13"/>
      <c r="L496" s="14"/>
      <c r="M496" s="13"/>
      <c r="N496" s="15"/>
      <c r="O496" s="15"/>
      <c r="P496" s="13"/>
      <c r="Q496" s="13"/>
      <c r="R496" s="13"/>
      <c r="S496" s="13"/>
      <c r="T496" s="13"/>
      <c r="U496" s="13"/>
      <c r="V496" s="15"/>
      <c r="W496" s="15"/>
      <c r="X496" s="15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5"/>
      <c r="H497" s="13"/>
      <c r="I497" s="13"/>
      <c r="J497" s="13"/>
      <c r="K497" s="13"/>
      <c r="L497" s="14"/>
      <c r="M497" s="13"/>
      <c r="N497" s="15"/>
      <c r="O497" s="15"/>
      <c r="P497" s="13"/>
      <c r="Q497" s="13"/>
      <c r="R497" s="13"/>
      <c r="S497" s="13"/>
      <c r="T497" s="13"/>
      <c r="U497" s="13"/>
      <c r="V497" s="15"/>
      <c r="W497" s="15"/>
      <c r="X497" s="15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5"/>
      <c r="H498" s="13"/>
      <c r="I498" s="13"/>
      <c r="J498" s="13"/>
      <c r="K498" s="13"/>
      <c r="L498" s="14"/>
      <c r="M498" s="13"/>
      <c r="N498" s="15"/>
      <c r="O498" s="15"/>
      <c r="P498" s="13"/>
      <c r="Q498" s="13"/>
      <c r="R498" s="13"/>
      <c r="S498" s="13"/>
      <c r="T498" s="13"/>
      <c r="U498" s="13"/>
      <c r="V498" s="15"/>
      <c r="W498" s="15"/>
      <c r="X498" s="15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5"/>
      <c r="H499" s="13"/>
      <c r="I499" s="13"/>
      <c r="J499" s="13"/>
      <c r="K499" s="13"/>
      <c r="L499" s="14"/>
      <c r="M499" s="13"/>
      <c r="N499" s="15"/>
      <c r="O499" s="15"/>
      <c r="P499" s="13"/>
      <c r="Q499" s="13"/>
      <c r="R499" s="13"/>
      <c r="S499" s="13"/>
      <c r="T499" s="13"/>
      <c r="U499" s="13"/>
      <c r="V499" s="15"/>
      <c r="W499" s="15"/>
      <c r="X499" s="15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5"/>
      <c r="H500" s="13"/>
      <c r="I500" s="13"/>
      <c r="J500" s="13"/>
      <c r="K500" s="13"/>
      <c r="L500" s="14"/>
      <c r="M500" s="13"/>
      <c r="N500" s="15"/>
      <c r="O500" s="15"/>
      <c r="P500" s="13"/>
      <c r="Q500" s="13"/>
      <c r="R500" s="13"/>
      <c r="S500" s="13"/>
      <c r="T500" s="13"/>
      <c r="U500" s="13"/>
      <c r="V500" s="15"/>
      <c r="W500" s="15"/>
      <c r="X500" s="15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5"/>
      <c r="H501" s="13"/>
      <c r="I501" s="13"/>
      <c r="J501" s="13"/>
      <c r="K501" s="13"/>
      <c r="L501" s="14"/>
      <c r="M501" s="13"/>
      <c r="N501" s="15"/>
      <c r="O501" s="15"/>
      <c r="P501" s="13"/>
      <c r="Q501" s="13"/>
      <c r="R501" s="13"/>
      <c r="S501" s="13"/>
      <c r="T501" s="13"/>
      <c r="U501" s="13"/>
      <c r="V501" s="15"/>
      <c r="W501" s="15"/>
      <c r="X501" s="15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5"/>
      <c r="H502" s="13"/>
      <c r="I502" s="13"/>
      <c r="J502" s="13"/>
      <c r="K502" s="13"/>
      <c r="L502" s="14"/>
      <c r="M502" s="13"/>
      <c r="N502" s="15"/>
      <c r="O502" s="15"/>
      <c r="P502" s="13"/>
      <c r="Q502" s="13"/>
      <c r="R502" s="13"/>
      <c r="S502" s="13"/>
      <c r="T502" s="13"/>
      <c r="U502" s="13"/>
      <c r="V502" s="15"/>
      <c r="W502" s="15"/>
      <c r="X502" s="15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5"/>
      <c r="H503" s="13"/>
      <c r="I503" s="13"/>
      <c r="J503" s="13"/>
      <c r="K503" s="13"/>
      <c r="L503" s="14"/>
      <c r="M503" s="13"/>
      <c r="N503" s="15"/>
      <c r="O503" s="15"/>
      <c r="P503" s="13"/>
      <c r="Q503" s="13"/>
      <c r="R503" s="13"/>
      <c r="S503" s="13"/>
      <c r="T503" s="13"/>
      <c r="U503" s="13"/>
      <c r="V503" s="15"/>
      <c r="W503" s="15"/>
      <c r="X503" s="15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5"/>
      <c r="H504" s="13"/>
      <c r="I504" s="13"/>
      <c r="J504" s="13"/>
      <c r="K504" s="13"/>
      <c r="L504" s="14"/>
      <c r="M504" s="13"/>
      <c r="N504" s="15"/>
      <c r="O504" s="15"/>
      <c r="P504" s="13"/>
      <c r="Q504" s="13"/>
      <c r="R504" s="13"/>
      <c r="S504" s="13"/>
      <c r="T504" s="13"/>
      <c r="U504" s="13"/>
      <c r="V504" s="15"/>
      <c r="W504" s="15"/>
      <c r="X504" s="15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5"/>
      <c r="H505" s="13"/>
      <c r="I505" s="13"/>
      <c r="J505" s="13"/>
      <c r="K505" s="13"/>
      <c r="L505" s="14"/>
      <c r="M505" s="13"/>
      <c r="N505" s="15"/>
      <c r="O505" s="15"/>
      <c r="P505" s="13"/>
      <c r="Q505" s="13"/>
      <c r="R505" s="13"/>
      <c r="S505" s="13"/>
      <c r="T505" s="13"/>
      <c r="U505" s="13"/>
      <c r="V505" s="15"/>
      <c r="W505" s="15"/>
      <c r="X505" s="15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5"/>
      <c r="H506" s="13"/>
      <c r="I506" s="13"/>
      <c r="J506" s="13"/>
      <c r="K506" s="13"/>
      <c r="L506" s="14"/>
      <c r="M506" s="13"/>
      <c r="N506" s="15"/>
      <c r="O506" s="15"/>
      <c r="P506" s="13"/>
      <c r="Q506" s="13"/>
      <c r="R506" s="13"/>
      <c r="S506" s="13"/>
      <c r="T506" s="13"/>
      <c r="U506" s="13"/>
      <c r="V506" s="15"/>
      <c r="W506" s="15"/>
      <c r="X506" s="15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5"/>
      <c r="H507" s="13"/>
      <c r="I507" s="13"/>
      <c r="J507" s="13"/>
      <c r="K507" s="13"/>
      <c r="L507" s="14"/>
      <c r="M507" s="13"/>
      <c r="N507" s="15"/>
      <c r="O507" s="15"/>
      <c r="P507" s="13"/>
      <c r="Q507" s="13"/>
      <c r="R507" s="13"/>
      <c r="S507" s="13"/>
      <c r="T507" s="13"/>
      <c r="U507" s="13"/>
      <c r="V507" s="15"/>
      <c r="W507" s="15"/>
      <c r="X507" s="15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5"/>
      <c r="H508" s="13"/>
      <c r="I508" s="13"/>
      <c r="J508" s="13"/>
      <c r="K508" s="13"/>
      <c r="L508" s="14"/>
      <c r="M508" s="13"/>
      <c r="N508" s="15"/>
      <c r="O508" s="15"/>
      <c r="P508" s="13"/>
      <c r="Q508" s="13"/>
      <c r="R508" s="13"/>
      <c r="S508" s="13"/>
      <c r="T508" s="13"/>
      <c r="U508" s="13"/>
      <c r="V508" s="15"/>
      <c r="W508" s="15"/>
      <c r="X508" s="15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5"/>
      <c r="H509" s="13"/>
      <c r="I509" s="13"/>
      <c r="J509" s="13"/>
      <c r="K509" s="13"/>
      <c r="L509" s="14"/>
      <c r="M509" s="13"/>
      <c r="N509" s="15"/>
      <c r="O509" s="15"/>
      <c r="P509" s="13"/>
      <c r="Q509" s="13"/>
      <c r="R509" s="13"/>
      <c r="S509" s="13"/>
      <c r="T509" s="13"/>
      <c r="U509" s="13"/>
      <c r="V509" s="15"/>
      <c r="W509" s="15"/>
      <c r="X509" s="15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5"/>
      <c r="H510" s="13"/>
      <c r="I510" s="13"/>
      <c r="J510" s="13"/>
      <c r="K510" s="13"/>
      <c r="L510" s="14"/>
      <c r="M510" s="13"/>
      <c r="N510" s="15"/>
      <c r="O510" s="15"/>
      <c r="P510" s="13"/>
      <c r="Q510" s="13"/>
      <c r="R510" s="13"/>
      <c r="S510" s="13"/>
      <c r="T510" s="13"/>
      <c r="U510" s="13"/>
      <c r="V510" s="15"/>
      <c r="W510" s="15"/>
      <c r="X510" s="15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5"/>
      <c r="H511" s="13"/>
      <c r="I511" s="13"/>
      <c r="J511" s="13"/>
      <c r="K511" s="13"/>
      <c r="L511" s="14"/>
      <c r="M511" s="13"/>
      <c r="N511" s="15"/>
      <c r="O511" s="15"/>
      <c r="P511" s="13"/>
      <c r="Q511" s="13"/>
      <c r="R511" s="13"/>
      <c r="S511" s="13"/>
      <c r="T511" s="13"/>
      <c r="U511" s="13"/>
      <c r="V511" s="15"/>
      <c r="W511" s="15"/>
      <c r="X511" s="15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5"/>
      <c r="H512" s="13"/>
      <c r="I512" s="13"/>
      <c r="J512" s="13"/>
      <c r="K512" s="13"/>
      <c r="L512" s="14"/>
      <c r="M512" s="13"/>
      <c r="N512" s="15"/>
      <c r="O512" s="15"/>
      <c r="P512" s="13"/>
      <c r="Q512" s="13"/>
      <c r="R512" s="13"/>
      <c r="S512" s="13"/>
      <c r="T512" s="13"/>
      <c r="U512" s="13"/>
      <c r="V512" s="15"/>
      <c r="W512" s="15"/>
      <c r="X512" s="15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5"/>
      <c r="H513" s="13"/>
      <c r="I513" s="13"/>
      <c r="J513" s="13"/>
      <c r="K513" s="13"/>
      <c r="L513" s="14"/>
      <c r="M513" s="13"/>
      <c r="N513" s="15"/>
      <c r="O513" s="15"/>
      <c r="P513" s="13"/>
      <c r="Q513" s="13"/>
      <c r="R513" s="13"/>
      <c r="S513" s="13"/>
      <c r="T513" s="13"/>
      <c r="U513" s="13"/>
      <c r="V513" s="15"/>
      <c r="W513" s="15"/>
      <c r="X513" s="15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5"/>
      <c r="H514" s="13"/>
      <c r="I514" s="13"/>
      <c r="J514" s="13"/>
      <c r="K514" s="13"/>
      <c r="L514" s="14"/>
      <c r="M514" s="13"/>
      <c r="N514" s="15"/>
      <c r="O514" s="15"/>
      <c r="P514" s="13"/>
      <c r="Q514" s="13"/>
      <c r="R514" s="13"/>
      <c r="S514" s="13"/>
      <c r="T514" s="13"/>
      <c r="U514" s="13"/>
      <c r="V514" s="15"/>
      <c r="W514" s="15"/>
      <c r="X514" s="15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5"/>
      <c r="H515" s="13"/>
      <c r="I515" s="13"/>
      <c r="J515" s="13"/>
      <c r="K515" s="13"/>
      <c r="L515" s="14"/>
      <c r="M515" s="13"/>
      <c r="N515" s="15"/>
      <c r="O515" s="15"/>
      <c r="P515" s="13"/>
      <c r="Q515" s="13"/>
      <c r="R515" s="13"/>
      <c r="S515" s="13"/>
      <c r="T515" s="13"/>
      <c r="U515" s="13"/>
      <c r="V515" s="15"/>
      <c r="W515" s="15"/>
      <c r="X515" s="15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5"/>
      <c r="H516" s="13"/>
      <c r="I516" s="13"/>
      <c r="J516" s="13"/>
      <c r="K516" s="13"/>
      <c r="L516" s="14"/>
      <c r="M516" s="13"/>
      <c r="N516" s="15"/>
      <c r="O516" s="15"/>
      <c r="P516" s="13"/>
      <c r="Q516" s="13"/>
      <c r="R516" s="13"/>
      <c r="S516" s="13"/>
      <c r="T516" s="13"/>
      <c r="U516" s="13"/>
      <c r="V516" s="15"/>
      <c r="W516" s="15"/>
      <c r="X516" s="15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5"/>
      <c r="H517" s="13"/>
      <c r="I517" s="13"/>
      <c r="J517" s="13"/>
      <c r="K517" s="13"/>
      <c r="L517" s="14"/>
      <c r="M517" s="13"/>
      <c r="N517" s="15"/>
      <c r="O517" s="15"/>
      <c r="P517" s="13"/>
      <c r="Q517" s="13"/>
      <c r="R517" s="13"/>
      <c r="S517" s="13"/>
      <c r="T517" s="13"/>
      <c r="U517" s="13"/>
      <c r="V517" s="15"/>
      <c r="W517" s="15"/>
      <c r="X517" s="15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5"/>
      <c r="H518" s="13"/>
      <c r="I518" s="13"/>
      <c r="J518" s="13"/>
      <c r="K518" s="13"/>
      <c r="L518" s="14"/>
      <c r="M518" s="13"/>
      <c r="N518" s="15"/>
      <c r="O518" s="15"/>
      <c r="P518" s="13"/>
      <c r="Q518" s="13"/>
      <c r="R518" s="13"/>
      <c r="S518" s="13"/>
      <c r="T518" s="13"/>
      <c r="U518" s="13"/>
      <c r="V518" s="15"/>
      <c r="W518" s="15"/>
      <c r="X518" s="15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5"/>
      <c r="H519" s="13"/>
      <c r="I519" s="13"/>
      <c r="J519" s="13"/>
      <c r="K519" s="13"/>
      <c r="L519" s="14"/>
      <c r="M519" s="13"/>
      <c r="N519" s="15"/>
      <c r="O519" s="15"/>
      <c r="P519" s="13"/>
      <c r="Q519" s="13"/>
      <c r="R519" s="13"/>
      <c r="S519" s="13"/>
      <c r="T519" s="13"/>
      <c r="U519" s="13"/>
      <c r="V519" s="15"/>
      <c r="W519" s="15"/>
      <c r="X519" s="15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5"/>
      <c r="H520" s="13"/>
      <c r="I520" s="13"/>
      <c r="J520" s="13"/>
      <c r="K520" s="13"/>
      <c r="L520" s="14"/>
      <c r="M520" s="13"/>
      <c r="N520" s="15"/>
      <c r="O520" s="15"/>
      <c r="P520" s="13"/>
      <c r="Q520" s="13"/>
      <c r="R520" s="13"/>
      <c r="S520" s="13"/>
      <c r="T520" s="13"/>
      <c r="U520" s="13"/>
      <c r="V520" s="15"/>
      <c r="W520" s="15"/>
      <c r="X520" s="15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5"/>
      <c r="H521" s="13"/>
      <c r="I521" s="13"/>
      <c r="J521" s="13"/>
      <c r="K521" s="13"/>
      <c r="L521" s="14"/>
      <c r="M521" s="13"/>
      <c r="N521" s="15"/>
      <c r="O521" s="15"/>
      <c r="P521" s="13"/>
      <c r="Q521" s="13"/>
      <c r="R521" s="13"/>
      <c r="S521" s="13"/>
      <c r="T521" s="13"/>
      <c r="U521" s="13"/>
      <c r="V521" s="15"/>
      <c r="W521" s="15"/>
      <c r="X521" s="15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5"/>
      <c r="H522" s="13"/>
      <c r="I522" s="13"/>
      <c r="J522" s="13"/>
      <c r="K522" s="13"/>
      <c r="L522" s="14"/>
      <c r="M522" s="13"/>
      <c r="N522" s="15"/>
      <c r="O522" s="15"/>
      <c r="P522" s="13"/>
      <c r="Q522" s="13"/>
      <c r="R522" s="13"/>
      <c r="S522" s="13"/>
      <c r="T522" s="13"/>
      <c r="U522" s="13"/>
      <c r="V522" s="15"/>
      <c r="W522" s="15"/>
      <c r="X522" s="15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5"/>
      <c r="H523" s="13"/>
      <c r="I523" s="13"/>
      <c r="J523" s="13"/>
      <c r="K523" s="13"/>
      <c r="L523" s="14"/>
      <c r="M523" s="13"/>
      <c r="N523" s="15"/>
      <c r="O523" s="15"/>
      <c r="P523" s="13"/>
      <c r="Q523" s="13"/>
      <c r="R523" s="13"/>
      <c r="S523" s="13"/>
      <c r="T523" s="13"/>
      <c r="U523" s="13"/>
      <c r="V523" s="15"/>
      <c r="W523" s="15"/>
      <c r="X523" s="15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5"/>
      <c r="H524" s="13"/>
      <c r="I524" s="13"/>
      <c r="J524" s="13"/>
      <c r="K524" s="13"/>
      <c r="L524" s="14"/>
      <c r="M524" s="13"/>
      <c r="N524" s="15"/>
      <c r="O524" s="15"/>
      <c r="P524" s="13"/>
      <c r="Q524" s="13"/>
      <c r="R524" s="13"/>
      <c r="S524" s="13"/>
      <c r="T524" s="13"/>
      <c r="U524" s="13"/>
      <c r="V524" s="15"/>
      <c r="W524" s="15"/>
      <c r="X524" s="15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5"/>
      <c r="H525" s="13"/>
      <c r="I525" s="13"/>
      <c r="J525" s="13"/>
      <c r="K525" s="13"/>
      <c r="L525" s="14"/>
      <c r="M525" s="13"/>
      <c r="N525" s="15"/>
      <c r="O525" s="15"/>
      <c r="P525" s="13"/>
      <c r="Q525" s="13"/>
      <c r="R525" s="13"/>
      <c r="S525" s="13"/>
      <c r="T525" s="13"/>
      <c r="U525" s="13"/>
      <c r="V525" s="15"/>
      <c r="W525" s="15"/>
      <c r="X525" s="15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5"/>
      <c r="H526" s="13"/>
      <c r="I526" s="13"/>
      <c r="J526" s="13"/>
      <c r="K526" s="13"/>
      <c r="L526" s="14"/>
      <c r="M526" s="13"/>
      <c r="N526" s="15"/>
      <c r="O526" s="15"/>
      <c r="P526" s="13"/>
      <c r="Q526" s="13"/>
      <c r="R526" s="13"/>
      <c r="S526" s="13"/>
      <c r="T526" s="13"/>
      <c r="U526" s="13"/>
      <c r="V526" s="15"/>
      <c r="W526" s="15"/>
      <c r="X526" s="15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5"/>
      <c r="H527" s="13"/>
      <c r="I527" s="13"/>
      <c r="J527" s="13"/>
      <c r="K527" s="13"/>
      <c r="L527" s="14"/>
      <c r="M527" s="13"/>
      <c r="N527" s="15"/>
      <c r="O527" s="15"/>
      <c r="P527" s="13"/>
      <c r="Q527" s="13"/>
      <c r="R527" s="13"/>
      <c r="S527" s="13"/>
      <c r="T527" s="13"/>
      <c r="U527" s="13"/>
      <c r="V527" s="15"/>
      <c r="W527" s="15"/>
      <c r="X527" s="15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5"/>
      <c r="H528" s="13"/>
      <c r="I528" s="13"/>
      <c r="J528" s="13"/>
      <c r="K528" s="13"/>
      <c r="L528" s="14"/>
      <c r="M528" s="13"/>
      <c r="N528" s="15"/>
      <c r="O528" s="15"/>
      <c r="P528" s="13"/>
      <c r="Q528" s="13"/>
      <c r="R528" s="13"/>
      <c r="S528" s="13"/>
      <c r="T528" s="13"/>
      <c r="U528" s="13"/>
      <c r="V528" s="15"/>
      <c r="W528" s="15"/>
      <c r="X528" s="15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5"/>
      <c r="H529" s="13"/>
      <c r="I529" s="13"/>
      <c r="J529" s="13"/>
      <c r="K529" s="13"/>
      <c r="L529" s="14"/>
      <c r="M529" s="13"/>
      <c r="N529" s="15"/>
      <c r="O529" s="15"/>
      <c r="P529" s="13"/>
      <c r="Q529" s="13"/>
      <c r="R529" s="13"/>
      <c r="S529" s="13"/>
      <c r="T529" s="13"/>
      <c r="U529" s="13"/>
      <c r="V529" s="15"/>
      <c r="W529" s="15"/>
      <c r="X529" s="15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5"/>
      <c r="H530" s="13"/>
      <c r="I530" s="13"/>
      <c r="J530" s="13"/>
      <c r="K530" s="13"/>
      <c r="L530" s="14"/>
      <c r="M530" s="13"/>
      <c r="N530" s="15"/>
      <c r="O530" s="15"/>
      <c r="P530" s="13"/>
      <c r="Q530" s="13"/>
      <c r="R530" s="13"/>
      <c r="S530" s="13"/>
      <c r="T530" s="13"/>
      <c r="U530" s="13"/>
      <c r="V530" s="15"/>
      <c r="W530" s="15"/>
      <c r="X530" s="15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5"/>
      <c r="H531" s="13"/>
      <c r="I531" s="13"/>
      <c r="J531" s="13"/>
      <c r="K531" s="13"/>
      <c r="L531" s="14"/>
      <c r="M531" s="13"/>
      <c r="N531" s="15"/>
      <c r="O531" s="15"/>
      <c r="P531" s="13"/>
      <c r="Q531" s="13"/>
      <c r="R531" s="13"/>
      <c r="S531" s="13"/>
      <c r="T531" s="13"/>
      <c r="U531" s="13"/>
      <c r="V531" s="15"/>
      <c r="W531" s="15"/>
      <c r="X531" s="15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5"/>
      <c r="H532" s="13"/>
      <c r="I532" s="13"/>
      <c r="J532" s="13"/>
      <c r="K532" s="13"/>
      <c r="L532" s="14"/>
      <c r="M532" s="13"/>
      <c r="N532" s="15"/>
      <c r="O532" s="15"/>
      <c r="P532" s="13"/>
      <c r="Q532" s="13"/>
      <c r="R532" s="13"/>
      <c r="S532" s="13"/>
      <c r="T532" s="13"/>
      <c r="U532" s="13"/>
      <c r="V532" s="15"/>
      <c r="W532" s="15"/>
      <c r="X532" s="15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5"/>
      <c r="H533" s="13"/>
      <c r="I533" s="13"/>
      <c r="J533" s="13"/>
      <c r="K533" s="13"/>
      <c r="L533" s="14"/>
      <c r="M533" s="13"/>
      <c r="N533" s="15"/>
      <c r="O533" s="15"/>
      <c r="P533" s="13"/>
      <c r="Q533" s="13"/>
      <c r="R533" s="13"/>
      <c r="S533" s="13"/>
      <c r="T533" s="13"/>
      <c r="U533" s="13"/>
      <c r="V533" s="15"/>
      <c r="W533" s="15"/>
      <c r="X533" s="15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5"/>
      <c r="H534" s="13"/>
      <c r="I534" s="13"/>
      <c r="J534" s="13"/>
      <c r="K534" s="13"/>
      <c r="L534" s="14"/>
      <c r="M534" s="13"/>
      <c r="N534" s="15"/>
      <c r="O534" s="15"/>
      <c r="P534" s="13"/>
      <c r="Q534" s="13"/>
      <c r="R534" s="13"/>
      <c r="S534" s="13"/>
      <c r="T534" s="13"/>
      <c r="U534" s="13"/>
      <c r="V534" s="15"/>
      <c r="W534" s="15"/>
      <c r="X534" s="15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5"/>
      <c r="H535" s="13"/>
      <c r="I535" s="13"/>
      <c r="J535" s="13"/>
      <c r="K535" s="13"/>
      <c r="L535" s="14"/>
      <c r="M535" s="13"/>
      <c r="N535" s="15"/>
      <c r="O535" s="15"/>
      <c r="P535" s="13"/>
      <c r="Q535" s="13"/>
      <c r="R535" s="13"/>
      <c r="S535" s="13"/>
      <c r="T535" s="13"/>
      <c r="U535" s="13"/>
      <c r="V535" s="15"/>
      <c r="W535" s="15"/>
      <c r="X535" s="15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5"/>
      <c r="H536" s="13"/>
      <c r="I536" s="13"/>
      <c r="J536" s="13"/>
      <c r="K536" s="13"/>
      <c r="L536" s="14"/>
      <c r="M536" s="13"/>
      <c r="N536" s="15"/>
      <c r="O536" s="15"/>
      <c r="P536" s="13"/>
      <c r="Q536" s="13"/>
      <c r="R536" s="13"/>
      <c r="S536" s="13"/>
      <c r="T536" s="13"/>
      <c r="U536" s="13"/>
      <c r="V536" s="15"/>
      <c r="W536" s="15"/>
      <c r="X536" s="15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5"/>
      <c r="H537" s="13"/>
      <c r="I537" s="13"/>
      <c r="J537" s="13"/>
      <c r="K537" s="13"/>
      <c r="L537" s="14"/>
      <c r="M537" s="13"/>
      <c r="N537" s="15"/>
      <c r="O537" s="15"/>
      <c r="P537" s="13"/>
      <c r="Q537" s="13"/>
      <c r="R537" s="13"/>
      <c r="S537" s="13"/>
      <c r="T537" s="13"/>
      <c r="U537" s="13"/>
      <c r="V537" s="15"/>
      <c r="W537" s="15"/>
      <c r="X537" s="15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5"/>
      <c r="H538" s="13"/>
      <c r="I538" s="13"/>
      <c r="J538" s="13"/>
      <c r="K538" s="13"/>
      <c r="L538" s="14"/>
      <c r="M538" s="13"/>
      <c r="N538" s="15"/>
      <c r="O538" s="15"/>
      <c r="P538" s="13"/>
      <c r="Q538" s="13"/>
      <c r="R538" s="13"/>
      <c r="S538" s="13"/>
      <c r="T538" s="13"/>
      <c r="U538" s="13"/>
      <c r="V538" s="15"/>
      <c r="W538" s="15"/>
      <c r="X538" s="15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5"/>
      <c r="H539" s="13"/>
      <c r="I539" s="13"/>
      <c r="J539" s="13"/>
      <c r="K539" s="13"/>
      <c r="L539" s="14"/>
      <c r="M539" s="13"/>
      <c r="N539" s="15"/>
      <c r="O539" s="15"/>
      <c r="P539" s="13"/>
      <c r="Q539" s="13"/>
      <c r="R539" s="13"/>
      <c r="S539" s="13"/>
      <c r="T539" s="13"/>
      <c r="U539" s="13"/>
      <c r="V539" s="15"/>
      <c r="W539" s="15"/>
      <c r="X539" s="15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5"/>
      <c r="H540" s="13"/>
      <c r="I540" s="13"/>
      <c r="J540" s="13"/>
      <c r="K540" s="13"/>
      <c r="L540" s="14"/>
      <c r="M540" s="13"/>
      <c r="N540" s="15"/>
      <c r="O540" s="15"/>
      <c r="P540" s="13"/>
      <c r="Q540" s="13"/>
      <c r="R540" s="13"/>
      <c r="S540" s="13"/>
      <c r="T540" s="13"/>
      <c r="U540" s="13"/>
      <c r="V540" s="15"/>
      <c r="W540" s="15"/>
      <c r="X540" s="15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5"/>
      <c r="H541" s="13"/>
      <c r="I541" s="13"/>
      <c r="J541" s="13"/>
      <c r="K541" s="13"/>
      <c r="L541" s="14"/>
      <c r="M541" s="13"/>
      <c r="N541" s="15"/>
      <c r="O541" s="15"/>
      <c r="P541" s="13"/>
      <c r="Q541" s="13"/>
      <c r="R541" s="13"/>
      <c r="S541" s="13"/>
      <c r="T541" s="13"/>
      <c r="U541" s="13"/>
      <c r="V541" s="15"/>
      <c r="W541" s="15"/>
      <c r="X541" s="15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5"/>
      <c r="H542" s="13"/>
      <c r="I542" s="13"/>
      <c r="J542" s="13"/>
      <c r="K542" s="13"/>
      <c r="L542" s="14"/>
      <c r="M542" s="13"/>
      <c r="N542" s="15"/>
      <c r="O542" s="15"/>
      <c r="P542" s="13"/>
      <c r="Q542" s="13"/>
      <c r="R542" s="13"/>
      <c r="S542" s="13"/>
      <c r="T542" s="13"/>
      <c r="U542" s="13"/>
      <c r="V542" s="15"/>
      <c r="W542" s="15"/>
      <c r="X542" s="15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5"/>
      <c r="H543" s="13"/>
      <c r="I543" s="13"/>
      <c r="J543" s="13"/>
      <c r="K543" s="13"/>
      <c r="L543" s="14"/>
      <c r="M543" s="13"/>
      <c r="N543" s="15"/>
      <c r="O543" s="15"/>
      <c r="P543" s="13"/>
      <c r="Q543" s="13"/>
      <c r="R543" s="13"/>
      <c r="S543" s="13"/>
      <c r="T543" s="13"/>
      <c r="U543" s="13"/>
      <c r="V543" s="15"/>
      <c r="W543" s="15"/>
      <c r="X543" s="15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5"/>
      <c r="H544" s="13"/>
      <c r="I544" s="13"/>
      <c r="J544" s="13"/>
      <c r="K544" s="13"/>
      <c r="L544" s="14"/>
      <c r="M544" s="13"/>
      <c r="N544" s="15"/>
      <c r="O544" s="15"/>
      <c r="P544" s="13"/>
      <c r="Q544" s="13"/>
      <c r="R544" s="13"/>
      <c r="S544" s="13"/>
      <c r="T544" s="13"/>
      <c r="U544" s="13"/>
      <c r="V544" s="15"/>
      <c r="W544" s="15"/>
      <c r="X544" s="15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5"/>
      <c r="H545" s="13"/>
      <c r="I545" s="13"/>
      <c r="J545" s="13"/>
      <c r="K545" s="13"/>
      <c r="L545" s="14"/>
      <c r="M545" s="13"/>
      <c r="N545" s="15"/>
      <c r="O545" s="15"/>
      <c r="P545" s="13"/>
      <c r="Q545" s="13"/>
      <c r="R545" s="13"/>
      <c r="S545" s="13"/>
      <c r="T545" s="13"/>
      <c r="U545" s="13"/>
      <c r="V545" s="15"/>
      <c r="W545" s="15"/>
      <c r="X545" s="15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5"/>
      <c r="H546" s="13"/>
      <c r="I546" s="13"/>
      <c r="J546" s="13"/>
      <c r="K546" s="13"/>
      <c r="L546" s="14"/>
      <c r="M546" s="13"/>
      <c r="N546" s="15"/>
      <c r="O546" s="15"/>
      <c r="P546" s="13"/>
      <c r="Q546" s="13"/>
      <c r="R546" s="13"/>
      <c r="S546" s="13"/>
      <c r="T546" s="13"/>
      <c r="U546" s="13"/>
      <c r="V546" s="15"/>
      <c r="W546" s="15"/>
      <c r="X546" s="15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5"/>
      <c r="H547" s="13"/>
      <c r="I547" s="13"/>
      <c r="J547" s="13"/>
      <c r="K547" s="13"/>
      <c r="L547" s="14"/>
      <c r="M547" s="13"/>
      <c r="N547" s="15"/>
      <c r="O547" s="15"/>
      <c r="P547" s="13"/>
      <c r="Q547" s="13"/>
      <c r="R547" s="13"/>
      <c r="S547" s="13"/>
      <c r="T547" s="13"/>
      <c r="U547" s="13"/>
      <c r="V547" s="15"/>
      <c r="W547" s="15"/>
      <c r="X547" s="15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5"/>
      <c r="H548" s="13"/>
      <c r="I548" s="13"/>
      <c r="J548" s="13"/>
      <c r="K548" s="13"/>
      <c r="L548" s="14"/>
      <c r="M548" s="13"/>
      <c r="N548" s="15"/>
      <c r="O548" s="15"/>
      <c r="P548" s="13"/>
      <c r="Q548" s="13"/>
      <c r="R548" s="13"/>
      <c r="S548" s="13"/>
      <c r="T548" s="13"/>
      <c r="U548" s="13"/>
      <c r="V548" s="15"/>
      <c r="W548" s="15"/>
      <c r="X548" s="15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5"/>
      <c r="H549" s="13"/>
      <c r="I549" s="13"/>
      <c r="J549" s="13"/>
      <c r="K549" s="13"/>
      <c r="L549" s="14"/>
      <c r="M549" s="13"/>
      <c r="N549" s="15"/>
      <c r="O549" s="15"/>
      <c r="P549" s="13"/>
      <c r="Q549" s="13"/>
      <c r="R549" s="13"/>
      <c r="S549" s="13"/>
      <c r="T549" s="13"/>
      <c r="U549" s="13"/>
      <c r="V549" s="15"/>
      <c r="W549" s="15"/>
      <c r="X549" s="15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5"/>
      <c r="H550" s="13"/>
      <c r="I550" s="13"/>
      <c r="J550" s="13"/>
      <c r="K550" s="13"/>
      <c r="L550" s="14"/>
      <c r="M550" s="13"/>
      <c r="N550" s="15"/>
      <c r="O550" s="15"/>
      <c r="P550" s="13"/>
      <c r="Q550" s="13"/>
      <c r="R550" s="13"/>
      <c r="S550" s="13"/>
      <c r="T550" s="13"/>
      <c r="U550" s="13"/>
      <c r="V550" s="15"/>
      <c r="W550" s="15"/>
      <c r="X550" s="15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5"/>
      <c r="H551" s="13"/>
      <c r="I551" s="13"/>
      <c r="J551" s="13"/>
      <c r="K551" s="13"/>
      <c r="L551" s="14"/>
      <c r="M551" s="13"/>
      <c r="N551" s="15"/>
      <c r="O551" s="15"/>
      <c r="P551" s="13"/>
      <c r="Q551" s="13"/>
      <c r="R551" s="13"/>
      <c r="S551" s="13"/>
      <c r="T551" s="13"/>
      <c r="U551" s="13"/>
      <c r="V551" s="15"/>
      <c r="W551" s="15"/>
      <c r="X551" s="15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5"/>
      <c r="H552" s="13"/>
      <c r="I552" s="13"/>
      <c r="J552" s="13"/>
      <c r="K552" s="13"/>
      <c r="L552" s="14"/>
      <c r="M552" s="13"/>
      <c r="N552" s="15"/>
      <c r="O552" s="15"/>
      <c r="P552" s="13"/>
      <c r="Q552" s="13"/>
      <c r="R552" s="13"/>
      <c r="S552" s="13"/>
      <c r="T552" s="13"/>
      <c r="U552" s="13"/>
      <c r="V552" s="15"/>
      <c r="W552" s="15"/>
      <c r="X552" s="15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5"/>
      <c r="H553" s="13"/>
      <c r="I553" s="13"/>
      <c r="J553" s="13"/>
      <c r="K553" s="13"/>
      <c r="L553" s="14"/>
      <c r="M553" s="13"/>
      <c r="N553" s="15"/>
      <c r="O553" s="15"/>
      <c r="P553" s="13"/>
      <c r="Q553" s="13"/>
      <c r="R553" s="13"/>
      <c r="S553" s="13"/>
      <c r="T553" s="13"/>
      <c r="U553" s="13"/>
      <c r="V553" s="15"/>
      <c r="W553" s="15"/>
      <c r="X553" s="15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5"/>
      <c r="H554" s="13"/>
      <c r="I554" s="13"/>
      <c r="J554" s="13"/>
      <c r="K554" s="13"/>
      <c r="L554" s="14"/>
      <c r="M554" s="13"/>
      <c r="N554" s="15"/>
      <c r="O554" s="15"/>
      <c r="P554" s="13"/>
      <c r="Q554" s="13"/>
      <c r="R554" s="13"/>
      <c r="S554" s="13"/>
      <c r="T554" s="13"/>
      <c r="U554" s="13"/>
      <c r="V554" s="15"/>
      <c r="W554" s="15"/>
      <c r="X554" s="15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5"/>
      <c r="H555" s="13"/>
      <c r="I555" s="13"/>
      <c r="J555" s="13"/>
      <c r="K555" s="13"/>
      <c r="L555" s="14"/>
      <c r="M555" s="13"/>
      <c r="N555" s="15"/>
      <c r="O555" s="15"/>
      <c r="P555" s="13"/>
      <c r="Q555" s="13"/>
      <c r="R555" s="13"/>
      <c r="S555" s="13"/>
      <c r="T555" s="13"/>
      <c r="U555" s="13"/>
      <c r="V555" s="15"/>
      <c r="W555" s="15"/>
      <c r="X555" s="15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5"/>
      <c r="H556" s="13"/>
      <c r="I556" s="13"/>
      <c r="J556" s="13"/>
      <c r="K556" s="13"/>
      <c r="L556" s="14"/>
      <c r="M556" s="13"/>
      <c r="N556" s="15"/>
      <c r="O556" s="15"/>
      <c r="P556" s="13"/>
      <c r="Q556" s="13"/>
      <c r="R556" s="13"/>
      <c r="S556" s="13"/>
      <c r="T556" s="13"/>
      <c r="U556" s="13"/>
      <c r="V556" s="15"/>
      <c r="W556" s="15"/>
      <c r="X556" s="15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5"/>
      <c r="H557" s="13"/>
      <c r="I557" s="13"/>
      <c r="J557" s="13"/>
      <c r="K557" s="13"/>
      <c r="L557" s="14"/>
      <c r="M557" s="13"/>
      <c r="N557" s="15"/>
      <c r="O557" s="15"/>
      <c r="P557" s="13"/>
      <c r="Q557" s="13"/>
      <c r="R557" s="13"/>
      <c r="S557" s="13"/>
      <c r="T557" s="13"/>
      <c r="U557" s="13"/>
      <c r="V557" s="15"/>
      <c r="W557" s="15"/>
      <c r="X557" s="15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5"/>
      <c r="H558" s="13"/>
      <c r="I558" s="13"/>
      <c r="J558" s="13"/>
      <c r="K558" s="13"/>
      <c r="L558" s="14"/>
      <c r="M558" s="13"/>
      <c r="N558" s="15"/>
      <c r="O558" s="15"/>
      <c r="P558" s="13"/>
      <c r="Q558" s="13"/>
      <c r="R558" s="13"/>
      <c r="S558" s="13"/>
      <c r="T558" s="13"/>
      <c r="U558" s="13"/>
      <c r="V558" s="15"/>
      <c r="W558" s="15"/>
      <c r="X558" s="15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5"/>
      <c r="H559" s="13"/>
      <c r="I559" s="13"/>
      <c r="J559" s="13"/>
      <c r="K559" s="13"/>
      <c r="L559" s="14"/>
      <c r="M559" s="13"/>
      <c r="N559" s="15"/>
      <c r="O559" s="15"/>
      <c r="P559" s="13"/>
      <c r="Q559" s="13"/>
      <c r="R559" s="13"/>
      <c r="S559" s="13"/>
      <c r="T559" s="13"/>
      <c r="U559" s="13"/>
      <c r="V559" s="15"/>
      <c r="W559" s="15"/>
      <c r="X559" s="15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5"/>
      <c r="H560" s="13"/>
      <c r="I560" s="13"/>
      <c r="J560" s="13"/>
      <c r="K560" s="13"/>
      <c r="L560" s="14"/>
      <c r="M560" s="13"/>
      <c r="N560" s="15"/>
      <c r="O560" s="15"/>
      <c r="P560" s="13"/>
      <c r="Q560" s="13"/>
      <c r="R560" s="13"/>
      <c r="S560" s="13"/>
      <c r="T560" s="13"/>
      <c r="U560" s="13"/>
      <c r="V560" s="15"/>
      <c r="W560" s="15"/>
      <c r="X560" s="15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5"/>
      <c r="H561" s="13"/>
      <c r="I561" s="13"/>
      <c r="J561" s="13"/>
      <c r="K561" s="13"/>
      <c r="L561" s="14"/>
      <c r="M561" s="13"/>
      <c r="N561" s="15"/>
      <c r="O561" s="15"/>
      <c r="P561" s="13"/>
      <c r="Q561" s="13"/>
      <c r="R561" s="13"/>
      <c r="S561" s="13"/>
      <c r="T561" s="13"/>
      <c r="U561" s="13"/>
      <c r="V561" s="15"/>
      <c r="W561" s="15"/>
      <c r="X561" s="15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5"/>
      <c r="H562" s="13"/>
      <c r="I562" s="13"/>
      <c r="J562" s="13"/>
      <c r="K562" s="13"/>
      <c r="L562" s="14"/>
      <c r="M562" s="13"/>
      <c r="N562" s="15"/>
      <c r="O562" s="15"/>
      <c r="P562" s="13"/>
      <c r="Q562" s="13"/>
      <c r="R562" s="13"/>
      <c r="S562" s="13"/>
      <c r="T562" s="13"/>
      <c r="U562" s="13"/>
      <c r="V562" s="15"/>
      <c r="W562" s="15"/>
      <c r="X562" s="15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5"/>
      <c r="H563" s="13"/>
      <c r="I563" s="13"/>
      <c r="J563" s="13"/>
      <c r="K563" s="13"/>
      <c r="L563" s="14"/>
      <c r="M563" s="13"/>
      <c r="N563" s="15"/>
      <c r="O563" s="15"/>
      <c r="P563" s="13"/>
      <c r="Q563" s="13"/>
      <c r="R563" s="13"/>
      <c r="S563" s="13"/>
      <c r="T563" s="13"/>
      <c r="U563" s="13"/>
      <c r="V563" s="15"/>
      <c r="W563" s="15"/>
      <c r="X563" s="15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5"/>
      <c r="H564" s="13"/>
      <c r="I564" s="13"/>
      <c r="J564" s="13"/>
      <c r="K564" s="13"/>
      <c r="L564" s="14"/>
      <c r="M564" s="13"/>
      <c r="N564" s="15"/>
      <c r="O564" s="15"/>
      <c r="P564" s="13"/>
      <c r="Q564" s="13"/>
      <c r="R564" s="13"/>
      <c r="S564" s="13"/>
      <c r="T564" s="13"/>
      <c r="U564" s="13"/>
      <c r="V564" s="15"/>
      <c r="W564" s="15"/>
      <c r="X564" s="15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5"/>
      <c r="H565" s="13"/>
      <c r="I565" s="13"/>
      <c r="J565" s="13"/>
      <c r="K565" s="13"/>
      <c r="L565" s="14"/>
      <c r="M565" s="13"/>
      <c r="N565" s="15"/>
      <c r="O565" s="15"/>
      <c r="P565" s="13"/>
      <c r="Q565" s="13"/>
      <c r="R565" s="13"/>
      <c r="S565" s="13"/>
      <c r="T565" s="13"/>
      <c r="U565" s="13"/>
      <c r="V565" s="15"/>
      <c r="W565" s="15"/>
      <c r="X565" s="15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5"/>
      <c r="H566" s="13"/>
      <c r="I566" s="13"/>
      <c r="J566" s="13"/>
      <c r="K566" s="13"/>
      <c r="L566" s="14"/>
      <c r="M566" s="13"/>
      <c r="N566" s="15"/>
      <c r="O566" s="15"/>
      <c r="P566" s="13"/>
      <c r="Q566" s="13"/>
      <c r="R566" s="13"/>
      <c r="S566" s="13"/>
      <c r="T566" s="13"/>
      <c r="U566" s="13"/>
      <c r="V566" s="15"/>
      <c r="W566" s="15"/>
      <c r="X566" s="15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5"/>
      <c r="H567" s="13"/>
      <c r="I567" s="13"/>
      <c r="J567" s="13"/>
      <c r="K567" s="13"/>
      <c r="L567" s="14"/>
      <c r="M567" s="13"/>
      <c r="N567" s="15"/>
      <c r="O567" s="15"/>
      <c r="P567" s="13"/>
      <c r="Q567" s="13"/>
      <c r="R567" s="13"/>
      <c r="S567" s="13"/>
      <c r="T567" s="13"/>
      <c r="U567" s="13"/>
      <c r="V567" s="15"/>
      <c r="W567" s="15"/>
      <c r="X567" s="15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5"/>
      <c r="H568" s="13"/>
      <c r="I568" s="13"/>
      <c r="J568" s="13"/>
      <c r="K568" s="13"/>
      <c r="L568" s="14"/>
      <c r="M568" s="13"/>
      <c r="N568" s="15"/>
      <c r="O568" s="15"/>
      <c r="P568" s="13"/>
      <c r="Q568" s="13"/>
      <c r="R568" s="13"/>
      <c r="S568" s="13"/>
      <c r="T568" s="13"/>
      <c r="U568" s="13"/>
      <c r="V568" s="15"/>
      <c r="W568" s="15"/>
      <c r="X568" s="15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5"/>
      <c r="H569" s="13"/>
      <c r="I569" s="13"/>
      <c r="J569" s="13"/>
      <c r="K569" s="13"/>
      <c r="L569" s="14"/>
      <c r="M569" s="13"/>
      <c r="N569" s="15"/>
      <c r="O569" s="15"/>
      <c r="P569" s="13"/>
      <c r="Q569" s="13"/>
      <c r="R569" s="13"/>
      <c r="S569" s="13"/>
      <c r="T569" s="13"/>
      <c r="U569" s="13"/>
      <c r="V569" s="15"/>
      <c r="W569" s="15"/>
      <c r="X569" s="15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5"/>
      <c r="H570" s="13"/>
      <c r="I570" s="13"/>
      <c r="J570" s="13"/>
      <c r="K570" s="13"/>
      <c r="L570" s="14"/>
      <c r="M570" s="13"/>
      <c r="N570" s="15"/>
      <c r="O570" s="15"/>
      <c r="P570" s="13"/>
      <c r="Q570" s="13"/>
      <c r="R570" s="13"/>
      <c r="S570" s="13"/>
      <c r="T570" s="13"/>
      <c r="U570" s="13"/>
      <c r="V570" s="15"/>
      <c r="W570" s="15"/>
      <c r="X570" s="15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5"/>
      <c r="H571" s="13"/>
      <c r="I571" s="13"/>
      <c r="J571" s="13"/>
      <c r="K571" s="13"/>
      <c r="L571" s="14"/>
      <c r="M571" s="13"/>
      <c r="N571" s="15"/>
      <c r="O571" s="15"/>
      <c r="P571" s="13"/>
      <c r="Q571" s="13"/>
      <c r="R571" s="13"/>
      <c r="S571" s="13"/>
      <c r="T571" s="13"/>
      <c r="U571" s="13"/>
      <c r="V571" s="15"/>
      <c r="W571" s="15"/>
      <c r="X571" s="15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5"/>
      <c r="H572" s="13"/>
      <c r="I572" s="13"/>
      <c r="J572" s="13"/>
      <c r="K572" s="13"/>
      <c r="L572" s="14"/>
      <c r="M572" s="13"/>
      <c r="N572" s="15"/>
      <c r="O572" s="15"/>
      <c r="P572" s="13"/>
      <c r="Q572" s="13"/>
      <c r="R572" s="13"/>
      <c r="S572" s="13"/>
      <c r="T572" s="13"/>
      <c r="U572" s="13"/>
      <c r="V572" s="15"/>
      <c r="W572" s="15"/>
      <c r="X572" s="15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5"/>
      <c r="H573" s="13"/>
      <c r="I573" s="13"/>
      <c r="J573" s="13"/>
      <c r="K573" s="13"/>
      <c r="L573" s="14"/>
      <c r="M573" s="13"/>
      <c r="N573" s="15"/>
      <c r="O573" s="15"/>
      <c r="P573" s="13"/>
      <c r="Q573" s="13"/>
      <c r="R573" s="13"/>
      <c r="S573" s="13"/>
      <c r="T573" s="13"/>
      <c r="U573" s="13"/>
      <c r="V573" s="15"/>
      <c r="W573" s="15"/>
      <c r="X573" s="15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5"/>
      <c r="H574" s="13"/>
      <c r="I574" s="13"/>
      <c r="J574" s="13"/>
      <c r="K574" s="13"/>
      <c r="L574" s="14"/>
      <c r="M574" s="13"/>
      <c r="N574" s="15"/>
      <c r="O574" s="15"/>
      <c r="P574" s="13"/>
      <c r="Q574" s="13"/>
      <c r="R574" s="13"/>
      <c r="S574" s="13"/>
      <c r="T574" s="13"/>
      <c r="U574" s="13"/>
      <c r="V574" s="15"/>
      <c r="W574" s="15"/>
      <c r="X574" s="15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5"/>
      <c r="H575" s="13"/>
      <c r="I575" s="13"/>
      <c r="J575" s="13"/>
      <c r="K575" s="13"/>
      <c r="L575" s="14"/>
      <c r="M575" s="13"/>
      <c r="N575" s="15"/>
      <c r="O575" s="15"/>
      <c r="P575" s="13"/>
      <c r="Q575" s="13"/>
      <c r="R575" s="13"/>
      <c r="S575" s="13"/>
      <c r="T575" s="13"/>
      <c r="U575" s="13"/>
      <c r="V575" s="15"/>
      <c r="W575" s="15"/>
      <c r="X575" s="15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5"/>
      <c r="H576" s="13"/>
      <c r="I576" s="13"/>
      <c r="J576" s="13"/>
      <c r="K576" s="13"/>
      <c r="L576" s="14"/>
      <c r="M576" s="13"/>
      <c r="N576" s="15"/>
      <c r="O576" s="15"/>
      <c r="P576" s="13"/>
      <c r="Q576" s="13"/>
      <c r="R576" s="13"/>
      <c r="S576" s="13"/>
      <c r="T576" s="13"/>
      <c r="U576" s="13"/>
      <c r="V576" s="15"/>
      <c r="W576" s="15"/>
      <c r="X576" s="15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5"/>
      <c r="H577" s="13"/>
      <c r="I577" s="13"/>
      <c r="J577" s="13"/>
      <c r="K577" s="13"/>
      <c r="L577" s="14"/>
      <c r="M577" s="13"/>
      <c r="N577" s="15"/>
      <c r="O577" s="15"/>
      <c r="P577" s="13"/>
      <c r="Q577" s="13"/>
      <c r="R577" s="13"/>
      <c r="S577" s="13"/>
      <c r="T577" s="13"/>
      <c r="U577" s="13"/>
      <c r="V577" s="15"/>
      <c r="W577" s="15"/>
      <c r="X577" s="15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5"/>
      <c r="H578" s="13"/>
      <c r="I578" s="13"/>
      <c r="J578" s="13"/>
      <c r="K578" s="13"/>
      <c r="L578" s="14"/>
      <c r="M578" s="13"/>
      <c r="N578" s="15"/>
      <c r="O578" s="15"/>
      <c r="P578" s="13"/>
      <c r="Q578" s="13"/>
      <c r="R578" s="13"/>
      <c r="S578" s="13"/>
      <c r="T578" s="13"/>
      <c r="U578" s="13"/>
      <c r="V578" s="15"/>
      <c r="W578" s="15"/>
      <c r="X578" s="15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5"/>
      <c r="H579" s="13"/>
      <c r="I579" s="13"/>
      <c r="J579" s="13"/>
      <c r="K579" s="13"/>
      <c r="L579" s="14"/>
      <c r="M579" s="13"/>
      <c r="N579" s="15"/>
      <c r="O579" s="15"/>
      <c r="P579" s="13"/>
      <c r="Q579" s="13"/>
      <c r="R579" s="13"/>
      <c r="S579" s="13"/>
      <c r="T579" s="13"/>
      <c r="U579" s="13"/>
      <c r="V579" s="15"/>
      <c r="W579" s="15"/>
      <c r="X579" s="15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5"/>
      <c r="H580" s="13"/>
      <c r="I580" s="13"/>
      <c r="J580" s="13"/>
      <c r="K580" s="13"/>
      <c r="L580" s="14"/>
      <c r="M580" s="13"/>
      <c r="N580" s="15"/>
      <c r="O580" s="15"/>
      <c r="P580" s="13"/>
      <c r="Q580" s="13"/>
      <c r="R580" s="13"/>
      <c r="S580" s="13"/>
      <c r="T580" s="13"/>
      <c r="U580" s="13"/>
      <c r="V580" s="15"/>
      <c r="W580" s="15"/>
      <c r="X580" s="15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5"/>
      <c r="H581" s="13"/>
      <c r="I581" s="13"/>
      <c r="J581" s="13"/>
      <c r="K581" s="13"/>
      <c r="L581" s="14"/>
      <c r="M581" s="13"/>
      <c r="N581" s="15"/>
      <c r="O581" s="15"/>
      <c r="P581" s="13"/>
      <c r="Q581" s="13"/>
      <c r="R581" s="13"/>
      <c r="S581" s="13"/>
      <c r="T581" s="13"/>
      <c r="U581" s="13"/>
      <c r="V581" s="15"/>
      <c r="W581" s="15"/>
      <c r="X581" s="15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5"/>
      <c r="H582" s="13"/>
      <c r="I582" s="13"/>
      <c r="J582" s="13"/>
      <c r="K582" s="13"/>
      <c r="L582" s="14"/>
      <c r="M582" s="13"/>
      <c r="N582" s="15"/>
      <c r="O582" s="15"/>
      <c r="P582" s="13"/>
      <c r="Q582" s="13"/>
      <c r="R582" s="13"/>
      <c r="S582" s="13"/>
      <c r="T582" s="13"/>
      <c r="U582" s="13"/>
      <c r="V582" s="15"/>
      <c r="W582" s="15"/>
      <c r="X582" s="15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5"/>
      <c r="H583" s="13"/>
      <c r="I583" s="13"/>
      <c r="J583" s="13"/>
      <c r="K583" s="13"/>
      <c r="L583" s="14"/>
      <c r="M583" s="13"/>
      <c r="N583" s="15"/>
      <c r="O583" s="15"/>
      <c r="P583" s="13"/>
      <c r="Q583" s="13"/>
      <c r="R583" s="13"/>
      <c r="S583" s="13"/>
      <c r="T583" s="13"/>
      <c r="U583" s="13"/>
      <c r="V583" s="15"/>
      <c r="W583" s="15"/>
      <c r="X583" s="15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5"/>
      <c r="H584" s="13"/>
      <c r="I584" s="13"/>
      <c r="J584" s="13"/>
      <c r="K584" s="13"/>
      <c r="L584" s="14"/>
      <c r="M584" s="13"/>
      <c r="N584" s="15"/>
      <c r="O584" s="15"/>
      <c r="P584" s="13"/>
      <c r="Q584" s="13"/>
      <c r="R584" s="13"/>
      <c r="S584" s="13"/>
      <c r="T584" s="13"/>
      <c r="U584" s="13"/>
      <c r="V584" s="15"/>
      <c r="W584" s="15"/>
      <c r="X584" s="15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5"/>
      <c r="H585" s="13"/>
      <c r="I585" s="13"/>
      <c r="J585" s="13"/>
      <c r="K585" s="13"/>
      <c r="L585" s="14"/>
      <c r="M585" s="13"/>
      <c r="N585" s="15"/>
      <c r="O585" s="15"/>
      <c r="P585" s="13"/>
      <c r="Q585" s="13"/>
      <c r="R585" s="13"/>
      <c r="S585" s="13"/>
      <c r="T585" s="13"/>
      <c r="U585" s="13"/>
      <c r="V585" s="15"/>
      <c r="W585" s="15"/>
      <c r="X585" s="15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5"/>
      <c r="H586" s="13"/>
      <c r="I586" s="13"/>
      <c r="J586" s="13"/>
      <c r="K586" s="13"/>
      <c r="L586" s="14"/>
      <c r="M586" s="13"/>
      <c r="N586" s="15"/>
      <c r="O586" s="15"/>
      <c r="P586" s="13"/>
      <c r="Q586" s="13"/>
      <c r="R586" s="13"/>
      <c r="S586" s="13"/>
      <c r="T586" s="13"/>
      <c r="U586" s="13"/>
      <c r="V586" s="15"/>
      <c r="W586" s="15"/>
      <c r="X586" s="15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5"/>
      <c r="H587" s="13"/>
      <c r="I587" s="13"/>
      <c r="J587" s="13"/>
      <c r="K587" s="13"/>
      <c r="L587" s="14"/>
      <c r="M587" s="13"/>
      <c r="N587" s="15"/>
      <c r="O587" s="15"/>
      <c r="P587" s="13"/>
      <c r="Q587" s="13"/>
      <c r="R587" s="13"/>
      <c r="S587" s="13"/>
      <c r="T587" s="13"/>
      <c r="U587" s="13"/>
      <c r="V587" s="15"/>
      <c r="W587" s="15"/>
      <c r="X587" s="15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5"/>
      <c r="H588" s="13"/>
      <c r="I588" s="13"/>
      <c r="J588" s="13"/>
      <c r="K588" s="13"/>
      <c r="L588" s="14"/>
      <c r="M588" s="13"/>
      <c r="N588" s="15"/>
      <c r="O588" s="15"/>
      <c r="P588" s="13"/>
      <c r="Q588" s="13"/>
      <c r="R588" s="13"/>
      <c r="S588" s="13"/>
      <c r="T588" s="13"/>
      <c r="U588" s="13"/>
      <c r="V588" s="15"/>
      <c r="W588" s="15"/>
      <c r="X588" s="15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5"/>
      <c r="H589" s="13"/>
      <c r="I589" s="13"/>
      <c r="J589" s="13"/>
      <c r="K589" s="13"/>
      <c r="L589" s="14"/>
      <c r="M589" s="13"/>
      <c r="N589" s="15"/>
      <c r="O589" s="15"/>
      <c r="P589" s="13"/>
      <c r="Q589" s="13"/>
      <c r="R589" s="13"/>
      <c r="S589" s="13"/>
      <c r="T589" s="13"/>
      <c r="U589" s="13"/>
      <c r="V589" s="15"/>
      <c r="W589" s="15"/>
      <c r="X589" s="15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5"/>
      <c r="H590" s="13"/>
      <c r="I590" s="13"/>
      <c r="J590" s="13"/>
      <c r="K590" s="13"/>
      <c r="L590" s="14"/>
      <c r="M590" s="13"/>
      <c r="N590" s="15"/>
      <c r="O590" s="15"/>
      <c r="P590" s="13"/>
      <c r="Q590" s="13"/>
      <c r="R590" s="13"/>
      <c r="S590" s="13"/>
      <c r="T590" s="13"/>
      <c r="U590" s="13"/>
      <c r="V590" s="15"/>
      <c r="W590" s="15"/>
      <c r="X590" s="15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5"/>
      <c r="H591" s="13"/>
      <c r="I591" s="13"/>
      <c r="J591" s="13"/>
      <c r="K591" s="13"/>
      <c r="L591" s="14"/>
      <c r="M591" s="13"/>
      <c r="N591" s="15"/>
      <c r="O591" s="15"/>
      <c r="P591" s="13"/>
      <c r="Q591" s="13"/>
      <c r="R591" s="13"/>
      <c r="S591" s="13"/>
      <c r="T591" s="13"/>
      <c r="U591" s="13"/>
      <c r="V591" s="15"/>
      <c r="W591" s="15"/>
      <c r="X591" s="15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5"/>
      <c r="H592" s="13"/>
      <c r="I592" s="13"/>
      <c r="J592" s="13"/>
      <c r="K592" s="13"/>
      <c r="L592" s="14"/>
      <c r="M592" s="13"/>
      <c r="N592" s="15"/>
      <c r="O592" s="15"/>
      <c r="P592" s="13"/>
      <c r="Q592" s="13"/>
      <c r="R592" s="13"/>
      <c r="S592" s="13"/>
      <c r="T592" s="13"/>
      <c r="U592" s="13"/>
      <c r="V592" s="15"/>
      <c r="W592" s="15"/>
      <c r="X592" s="15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5"/>
      <c r="H593" s="13"/>
      <c r="I593" s="13"/>
      <c r="J593" s="13"/>
      <c r="K593" s="13"/>
      <c r="L593" s="14"/>
      <c r="M593" s="13"/>
      <c r="N593" s="15"/>
      <c r="O593" s="15"/>
      <c r="P593" s="13"/>
      <c r="Q593" s="13"/>
      <c r="R593" s="13"/>
      <c r="S593" s="13"/>
      <c r="T593" s="13"/>
      <c r="U593" s="13"/>
      <c r="V593" s="15"/>
      <c r="W593" s="15"/>
      <c r="X593" s="15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5"/>
      <c r="H594" s="13"/>
      <c r="I594" s="13"/>
      <c r="J594" s="13"/>
      <c r="K594" s="13"/>
      <c r="L594" s="14"/>
      <c r="M594" s="13"/>
      <c r="N594" s="15"/>
      <c r="O594" s="15"/>
      <c r="P594" s="13"/>
      <c r="Q594" s="13"/>
      <c r="R594" s="13"/>
      <c r="S594" s="13"/>
      <c r="T594" s="13"/>
      <c r="U594" s="13"/>
      <c r="V594" s="15"/>
      <c r="W594" s="15"/>
      <c r="X594" s="15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5"/>
      <c r="H595" s="13"/>
      <c r="I595" s="13"/>
      <c r="J595" s="13"/>
      <c r="K595" s="13"/>
      <c r="L595" s="14"/>
      <c r="M595" s="13"/>
      <c r="N595" s="15"/>
      <c r="O595" s="15"/>
      <c r="P595" s="13"/>
      <c r="Q595" s="13"/>
      <c r="R595" s="13"/>
      <c r="S595" s="13"/>
      <c r="T595" s="13"/>
      <c r="U595" s="13"/>
      <c r="V595" s="15"/>
      <c r="W595" s="15"/>
      <c r="X595" s="15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5"/>
      <c r="H596" s="13"/>
      <c r="I596" s="13"/>
      <c r="J596" s="13"/>
      <c r="K596" s="13"/>
      <c r="L596" s="14"/>
      <c r="M596" s="13"/>
      <c r="N596" s="15"/>
      <c r="O596" s="15"/>
      <c r="P596" s="13"/>
      <c r="Q596" s="13"/>
      <c r="R596" s="13"/>
      <c r="S596" s="13"/>
      <c r="T596" s="13"/>
      <c r="U596" s="13"/>
      <c r="V596" s="15"/>
      <c r="W596" s="15"/>
      <c r="X596" s="15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5"/>
      <c r="H597" s="13"/>
      <c r="I597" s="13"/>
      <c r="J597" s="13"/>
      <c r="K597" s="13"/>
      <c r="L597" s="14"/>
      <c r="M597" s="13"/>
      <c r="N597" s="15"/>
      <c r="O597" s="15"/>
      <c r="P597" s="13"/>
      <c r="Q597" s="13"/>
      <c r="R597" s="13"/>
      <c r="S597" s="13"/>
      <c r="T597" s="13"/>
      <c r="U597" s="13"/>
      <c r="V597" s="15"/>
      <c r="W597" s="15"/>
      <c r="X597" s="15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5"/>
      <c r="H598" s="13"/>
      <c r="I598" s="13"/>
      <c r="J598" s="13"/>
      <c r="K598" s="13"/>
      <c r="L598" s="14"/>
      <c r="M598" s="13"/>
      <c r="N598" s="15"/>
      <c r="O598" s="15"/>
      <c r="P598" s="13"/>
      <c r="Q598" s="13"/>
      <c r="R598" s="13"/>
      <c r="S598" s="13"/>
      <c r="T598" s="13"/>
      <c r="U598" s="13"/>
      <c r="V598" s="15"/>
      <c r="W598" s="15"/>
      <c r="X598" s="15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5"/>
      <c r="H599" s="13"/>
      <c r="I599" s="13"/>
      <c r="J599" s="13"/>
      <c r="K599" s="13"/>
      <c r="L599" s="14"/>
      <c r="M599" s="13"/>
      <c r="N599" s="15"/>
      <c r="O599" s="15"/>
      <c r="P599" s="13"/>
      <c r="Q599" s="13"/>
      <c r="R599" s="13"/>
      <c r="S599" s="13"/>
      <c r="T599" s="13"/>
      <c r="U599" s="13"/>
      <c r="V599" s="15"/>
      <c r="W599" s="15"/>
      <c r="X599" s="15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5"/>
      <c r="H600" s="13"/>
      <c r="I600" s="13"/>
      <c r="J600" s="13"/>
      <c r="K600" s="13"/>
      <c r="L600" s="14"/>
      <c r="M600" s="13"/>
      <c r="N600" s="15"/>
      <c r="O600" s="15"/>
      <c r="P600" s="13"/>
      <c r="Q600" s="13"/>
      <c r="R600" s="13"/>
      <c r="S600" s="13"/>
      <c r="T600" s="13"/>
      <c r="U600" s="13"/>
      <c r="V600" s="15"/>
      <c r="W600" s="15"/>
      <c r="X600" s="15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5"/>
      <c r="H601" s="13"/>
      <c r="I601" s="13"/>
      <c r="J601" s="13"/>
      <c r="K601" s="13"/>
      <c r="L601" s="14"/>
      <c r="M601" s="13"/>
      <c r="N601" s="15"/>
      <c r="O601" s="15"/>
      <c r="P601" s="13"/>
      <c r="Q601" s="13"/>
      <c r="R601" s="13"/>
      <c r="S601" s="13"/>
      <c r="T601" s="13"/>
      <c r="U601" s="13"/>
      <c r="V601" s="15"/>
      <c r="W601" s="15"/>
      <c r="X601" s="15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5"/>
      <c r="H602" s="13"/>
      <c r="I602" s="13"/>
      <c r="J602" s="13"/>
      <c r="K602" s="13"/>
      <c r="L602" s="14"/>
      <c r="M602" s="13"/>
      <c r="N602" s="15"/>
      <c r="O602" s="15"/>
      <c r="P602" s="13"/>
      <c r="Q602" s="13"/>
      <c r="R602" s="13"/>
      <c r="S602" s="13"/>
      <c r="T602" s="13"/>
      <c r="U602" s="13"/>
      <c r="V602" s="15"/>
      <c r="W602" s="15"/>
      <c r="X602" s="15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5"/>
      <c r="H603" s="13"/>
      <c r="I603" s="13"/>
      <c r="J603" s="13"/>
      <c r="K603" s="13"/>
      <c r="L603" s="14"/>
      <c r="M603" s="13"/>
      <c r="N603" s="15"/>
      <c r="O603" s="15"/>
      <c r="P603" s="13"/>
      <c r="Q603" s="13"/>
      <c r="R603" s="13"/>
      <c r="S603" s="13"/>
      <c r="T603" s="13"/>
      <c r="U603" s="13"/>
      <c r="V603" s="15"/>
      <c r="W603" s="15"/>
      <c r="X603" s="15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5"/>
      <c r="H604" s="13"/>
      <c r="I604" s="13"/>
      <c r="J604" s="13"/>
      <c r="K604" s="13"/>
      <c r="L604" s="14"/>
      <c r="M604" s="13"/>
      <c r="N604" s="15"/>
      <c r="O604" s="15"/>
      <c r="P604" s="13"/>
      <c r="Q604" s="13"/>
      <c r="R604" s="13"/>
      <c r="S604" s="13"/>
      <c r="T604" s="13"/>
      <c r="U604" s="13"/>
      <c r="V604" s="15"/>
      <c r="W604" s="15"/>
      <c r="X604" s="15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5"/>
      <c r="H605" s="13"/>
      <c r="I605" s="13"/>
      <c r="J605" s="13"/>
      <c r="K605" s="13"/>
      <c r="L605" s="14"/>
      <c r="M605" s="13"/>
      <c r="N605" s="15"/>
      <c r="O605" s="15"/>
      <c r="P605" s="13"/>
      <c r="Q605" s="13"/>
      <c r="R605" s="13"/>
      <c r="S605" s="13"/>
      <c r="T605" s="13"/>
      <c r="U605" s="13"/>
      <c r="V605" s="15"/>
      <c r="W605" s="15"/>
      <c r="X605" s="15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5"/>
      <c r="H606" s="13"/>
      <c r="I606" s="13"/>
      <c r="J606" s="13"/>
      <c r="K606" s="13"/>
      <c r="L606" s="14"/>
      <c r="M606" s="13"/>
      <c r="N606" s="15"/>
      <c r="O606" s="15"/>
      <c r="P606" s="13"/>
      <c r="Q606" s="13"/>
      <c r="R606" s="13"/>
      <c r="S606" s="13"/>
      <c r="T606" s="13"/>
      <c r="U606" s="13"/>
      <c r="V606" s="15"/>
      <c r="W606" s="15"/>
      <c r="X606" s="15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5"/>
      <c r="H607" s="13"/>
      <c r="I607" s="13"/>
      <c r="J607" s="13"/>
      <c r="K607" s="13"/>
      <c r="L607" s="14"/>
      <c r="M607" s="13"/>
      <c r="N607" s="15"/>
      <c r="O607" s="15"/>
      <c r="P607" s="13"/>
      <c r="Q607" s="13"/>
      <c r="R607" s="13"/>
      <c r="S607" s="13"/>
      <c r="T607" s="13"/>
      <c r="U607" s="13"/>
      <c r="V607" s="15"/>
      <c r="W607" s="15"/>
      <c r="X607" s="15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5"/>
      <c r="H608" s="13"/>
      <c r="I608" s="13"/>
      <c r="J608" s="13"/>
      <c r="K608" s="13"/>
      <c r="L608" s="14"/>
      <c r="M608" s="13"/>
      <c r="N608" s="15"/>
      <c r="O608" s="15"/>
      <c r="P608" s="13"/>
      <c r="Q608" s="13"/>
      <c r="R608" s="13"/>
      <c r="S608" s="13"/>
      <c r="T608" s="13"/>
      <c r="U608" s="13"/>
      <c r="V608" s="15"/>
      <c r="W608" s="15"/>
      <c r="X608" s="15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5"/>
      <c r="H609" s="13"/>
      <c r="I609" s="13"/>
      <c r="J609" s="13"/>
      <c r="K609" s="13"/>
      <c r="L609" s="14"/>
      <c r="M609" s="13"/>
      <c r="N609" s="15"/>
      <c r="O609" s="15"/>
      <c r="P609" s="13"/>
      <c r="Q609" s="13"/>
      <c r="R609" s="13"/>
      <c r="S609" s="13"/>
      <c r="T609" s="13"/>
      <c r="U609" s="13"/>
      <c r="V609" s="15"/>
      <c r="W609" s="15"/>
      <c r="X609" s="15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5"/>
      <c r="H610" s="13"/>
      <c r="I610" s="13"/>
      <c r="J610" s="13"/>
      <c r="K610" s="13"/>
      <c r="L610" s="14"/>
      <c r="M610" s="13"/>
      <c r="N610" s="15"/>
      <c r="O610" s="15"/>
      <c r="P610" s="13"/>
      <c r="Q610" s="13"/>
      <c r="R610" s="13"/>
      <c r="S610" s="13"/>
      <c r="T610" s="13"/>
      <c r="U610" s="13"/>
      <c r="V610" s="15"/>
      <c r="W610" s="15"/>
      <c r="X610" s="15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5"/>
      <c r="H611" s="13"/>
      <c r="I611" s="13"/>
      <c r="J611" s="13"/>
      <c r="K611" s="13"/>
      <c r="L611" s="14"/>
      <c r="M611" s="13"/>
      <c r="N611" s="15"/>
      <c r="O611" s="15"/>
      <c r="P611" s="13"/>
      <c r="Q611" s="13"/>
      <c r="R611" s="13"/>
      <c r="S611" s="13"/>
      <c r="T611" s="13"/>
      <c r="U611" s="13"/>
      <c r="V611" s="15"/>
      <c r="W611" s="15"/>
      <c r="X611" s="15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5"/>
      <c r="H612" s="13"/>
      <c r="I612" s="13"/>
      <c r="J612" s="13"/>
      <c r="K612" s="13"/>
      <c r="L612" s="14"/>
      <c r="M612" s="13"/>
      <c r="N612" s="15"/>
      <c r="O612" s="15"/>
      <c r="P612" s="13"/>
      <c r="Q612" s="13"/>
      <c r="R612" s="13"/>
      <c r="S612" s="13"/>
      <c r="T612" s="13"/>
      <c r="U612" s="13"/>
      <c r="V612" s="15"/>
      <c r="W612" s="15"/>
      <c r="X612" s="15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5"/>
      <c r="H613" s="13"/>
      <c r="I613" s="13"/>
      <c r="J613" s="13"/>
      <c r="K613" s="13"/>
      <c r="L613" s="14"/>
      <c r="M613" s="13"/>
      <c r="N613" s="15"/>
      <c r="O613" s="15"/>
      <c r="P613" s="13"/>
      <c r="Q613" s="13"/>
      <c r="R613" s="13"/>
      <c r="S613" s="13"/>
      <c r="T613" s="13"/>
      <c r="U613" s="13"/>
      <c r="V613" s="15"/>
      <c r="W613" s="15"/>
      <c r="X613" s="15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5"/>
      <c r="H614" s="13"/>
      <c r="I614" s="13"/>
      <c r="J614" s="13"/>
      <c r="K614" s="13"/>
      <c r="L614" s="14"/>
      <c r="M614" s="13"/>
      <c r="N614" s="15"/>
      <c r="O614" s="15"/>
      <c r="P614" s="13"/>
      <c r="Q614" s="13"/>
      <c r="R614" s="13"/>
      <c r="S614" s="13"/>
      <c r="T614" s="13"/>
      <c r="U614" s="13"/>
      <c r="V614" s="15"/>
      <c r="W614" s="15"/>
      <c r="X614" s="15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5"/>
      <c r="H615" s="13"/>
      <c r="I615" s="13"/>
      <c r="J615" s="13"/>
      <c r="K615" s="13"/>
      <c r="L615" s="14"/>
      <c r="M615" s="13"/>
      <c r="N615" s="15"/>
      <c r="O615" s="15"/>
      <c r="P615" s="13"/>
      <c r="Q615" s="13"/>
      <c r="R615" s="13"/>
      <c r="S615" s="13"/>
      <c r="T615" s="13"/>
      <c r="U615" s="13"/>
      <c r="V615" s="15"/>
      <c r="W615" s="15"/>
      <c r="X615" s="15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5"/>
      <c r="H616" s="13"/>
      <c r="I616" s="13"/>
      <c r="J616" s="13"/>
      <c r="K616" s="13"/>
      <c r="L616" s="14"/>
      <c r="M616" s="13"/>
      <c r="N616" s="15"/>
      <c r="O616" s="15"/>
      <c r="P616" s="13"/>
      <c r="Q616" s="13"/>
      <c r="R616" s="13"/>
      <c r="S616" s="13"/>
      <c r="T616" s="13"/>
      <c r="U616" s="13"/>
      <c r="V616" s="15"/>
      <c r="W616" s="15"/>
      <c r="X616" s="15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5"/>
      <c r="H617" s="13"/>
      <c r="I617" s="13"/>
      <c r="J617" s="13"/>
      <c r="K617" s="13"/>
      <c r="L617" s="14"/>
      <c r="M617" s="13"/>
      <c r="N617" s="15"/>
      <c r="O617" s="15"/>
      <c r="P617" s="13"/>
      <c r="Q617" s="13"/>
      <c r="R617" s="13"/>
      <c r="S617" s="13"/>
      <c r="T617" s="13"/>
      <c r="U617" s="13"/>
      <c r="V617" s="15"/>
      <c r="W617" s="15"/>
      <c r="X617" s="15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5"/>
      <c r="H618" s="13"/>
      <c r="I618" s="13"/>
      <c r="J618" s="13"/>
      <c r="K618" s="13"/>
      <c r="L618" s="14"/>
      <c r="M618" s="13"/>
      <c r="N618" s="15"/>
      <c r="O618" s="15"/>
      <c r="P618" s="13"/>
      <c r="Q618" s="13"/>
      <c r="R618" s="13"/>
      <c r="S618" s="13"/>
      <c r="T618" s="13"/>
      <c r="U618" s="13"/>
      <c r="V618" s="15"/>
      <c r="W618" s="15"/>
      <c r="X618" s="15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5"/>
      <c r="H619" s="13"/>
      <c r="I619" s="13"/>
      <c r="J619" s="13"/>
      <c r="K619" s="13"/>
      <c r="L619" s="14"/>
      <c r="M619" s="13"/>
      <c r="N619" s="15"/>
      <c r="O619" s="15"/>
      <c r="P619" s="13"/>
      <c r="Q619" s="13"/>
      <c r="R619" s="13"/>
      <c r="S619" s="13"/>
      <c r="T619" s="13"/>
      <c r="U619" s="13"/>
      <c r="V619" s="15"/>
      <c r="W619" s="15"/>
      <c r="X619" s="15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5"/>
      <c r="H620" s="13"/>
      <c r="I620" s="13"/>
      <c r="J620" s="13"/>
      <c r="K620" s="13"/>
      <c r="L620" s="14"/>
      <c r="M620" s="13"/>
      <c r="N620" s="15"/>
      <c r="O620" s="15"/>
      <c r="P620" s="13"/>
      <c r="Q620" s="13"/>
      <c r="R620" s="13"/>
      <c r="S620" s="13"/>
      <c r="T620" s="13"/>
      <c r="U620" s="13"/>
      <c r="V620" s="15"/>
      <c r="W620" s="15"/>
      <c r="X620" s="15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5"/>
      <c r="H621" s="13"/>
      <c r="I621" s="13"/>
      <c r="J621" s="13"/>
      <c r="K621" s="13"/>
      <c r="L621" s="14"/>
      <c r="M621" s="13"/>
      <c r="N621" s="15"/>
      <c r="O621" s="15"/>
      <c r="P621" s="13"/>
      <c r="Q621" s="13"/>
      <c r="R621" s="13"/>
      <c r="S621" s="13"/>
      <c r="T621" s="13"/>
      <c r="U621" s="13"/>
      <c r="V621" s="15"/>
      <c r="W621" s="15"/>
      <c r="X621" s="15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5"/>
      <c r="H622" s="13"/>
      <c r="I622" s="13"/>
      <c r="J622" s="13"/>
      <c r="K622" s="13"/>
      <c r="L622" s="14"/>
      <c r="M622" s="13"/>
      <c r="N622" s="15"/>
      <c r="O622" s="15"/>
      <c r="P622" s="13"/>
      <c r="Q622" s="13"/>
      <c r="R622" s="13"/>
      <c r="S622" s="13"/>
      <c r="T622" s="13"/>
      <c r="U622" s="13"/>
      <c r="V622" s="15"/>
      <c r="W622" s="15"/>
      <c r="X622" s="15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5"/>
      <c r="H623" s="13"/>
      <c r="I623" s="13"/>
      <c r="J623" s="13"/>
      <c r="K623" s="13"/>
      <c r="L623" s="14"/>
      <c r="M623" s="13"/>
      <c r="N623" s="15"/>
      <c r="O623" s="15"/>
      <c r="P623" s="13"/>
      <c r="Q623" s="13"/>
      <c r="R623" s="13"/>
      <c r="S623" s="13"/>
      <c r="T623" s="13"/>
      <c r="U623" s="13"/>
      <c r="V623" s="15"/>
      <c r="W623" s="15"/>
      <c r="X623" s="15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5"/>
      <c r="H624" s="13"/>
      <c r="I624" s="13"/>
      <c r="J624" s="13"/>
      <c r="K624" s="13"/>
      <c r="L624" s="14"/>
      <c r="M624" s="13"/>
      <c r="N624" s="15"/>
      <c r="O624" s="15"/>
      <c r="P624" s="13"/>
      <c r="Q624" s="13"/>
      <c r="R624" s="13"/>
      <c r="S624" s="13"/>
      <c r="T624" s="13"/>
      <c r="U624" s="13"/>
      <c r="V624" s="15"/>
      <c r="W624" s="15"/>
      <c r="X624" s="15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5"/>
      <c r="H625" s="13"/>
      <c r="I625" s="13"/>
      <c r="J625" s="13"/>
      <c r="K625" s="13"/>
      <c r="L625" s="14"/>
      <c r="M625" s="13"/>
      <c r="N625" s="15"/>
      <c r="O625" s="15"/>
      <c r="P625" s="13"/>
      <c r="Q625" s="13"/>
      <c r="R625" s="13"/>
      <c r="S625" s="13"/>
      <c r="T625" s="13"/>
      <c r="U625" s="13"/>
      <c r="V625" s="15"/>
      <c r="W625" s="15"/>
      <c r="X625" s="15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5"/>
      <c r="H626" s="13"/>
      <c r="I626" s="13"/>
      <c r="J626" s="13"/>
      <c r="K626" s="13"/>
      <c r="L626" s="14"/>
      <c r="M626" s="13"/>
      <c r="N626" s="15"/>
      <c r="O626" s="15"/>
      <c r="P626" s="13"/>
      <c r="Q626" s="13"/>
      <c r="R626" s="13"/>
      <c r="S626" s="13"/>
      <c r="T626" s="13"/>
      <c r="U626" s="13"/>
      <c r="V626" s="15"/>
      <c r="W626" s="15"/>
      <c r="X626" s="15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5"/>
      <c r="H627" s="13"/>
      <c r="I627" s="13"/>
      <c r="J627" s="13"/>
      <c r="K627" s="13"/>
      <c r="L627" s="14"/>
      <c r="M627" s="13"/>
      <c r="N627" s="15"/>
      <c r="O627" s="15"/>
      <c r="P627" s="13"/>
      <c r="Q627" s="13"/>
      <c r="R627" s="13"/>
      <c r="S627" s="13"/>
      <c r="T627" s="13"/>
      <c r="U627" s="13"/>
      <c r="V627" s="15"/>
      <c r="W627" s="15"/>
      <c r="X627" s="15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5"/>
      <c r="H628" s="13"/>
      <c r="I628" s="13"/>
      <c r="J628" s="13"/>
      <c r="K628" s="13"/>
      <c r="L628" s="14"/>
      <c r="M628" s="13"/>
      <c r="N628" s="15"/>
      <c r="O628" s="15"/>
      <c r="P628" s="13"/>
      <c r="Q628" s="13"/>
      <c r="R628" s="13"/>
      <c r="S628" s="13"/>
      <c r="T628" s="13"/>
      <c r="U628" s="13"/>
      <c r="V628" s="15"/>
      <c r="W628" s="15"/>
      <c r="X628" s="15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5"/>
      <c r="H629" s="13"/>
      <c r="I629" s="13"/>
      <c r="J629" s="13"/>
      <c r="K629" s="13"/>
      <c r="L629" s="14"/>
      <c r="M629" s="13"/>
      <c r="N629" s="15"/>
      <c r="O629" s="15"/>
      <c r="P629" s="13"/>
      <c r="Q629" s="13"/>
      <c r="R629" s="13"/>
      <c r="S629" s="13"/>
      <c r="T629" s="13"/>
      <c r="U629" s="13"/>
      <c r="V629" s="15"/>
      <c r="W629" s="15"/>
      <c r="X629" s="15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5"/>
      <c r="H630" s="13"/>
      <c r="I630" s="13"/>
      <c r="J630" s="13"/>
      <c r="K630" s="13"/>
      <c r="L630" s="14"/>
      <c r="M630" s="13"/>
      <c r="N630" s="15"/>
      <c r="O630" s="15"/>
      <c r="P630" s="13"/>
      <c r="Q630" s="13"/>
      <c r="R630" s="13"/>
      <c r="S630" s="13"/>
      <c r="T630" s="13"/>
      <c r="U630" s="13"/>
      <c r="V630" s="15"/>
      <c r="W630" s="15"/>
      <c r="X630" s="15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5"/>
      <c r="H631" s="13"/>
      <c r="I631" s="13"/>
      <c r="J631" s="13"/>
      <c r="K631" s="13"/>
      <c r="L631" s="14"/>
      <c r="M631" s="13"/>
      <c r="N631" s="15"/>
      <c r="O631" s="15"/>
      <c r="P631" s="13"/>
      <c r="Q631" s="13"/>
      <c r="R631" s="13"/>
      <c r="S631" s="13"/>
      <c r="T631" s="13"/>
      <c r="U631" s="13"/>
      <c r="V631" s="15"/>
      <c r="W631" s="15"/>
      <c r="X631" s="15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5"/>
      <c r="H632" s="13"/>
      <c r="I632" s="13"/>
      <c r="J632" s="13"/>
      <c r="K632" s="13"/>
      <c r="L632" s="14"/>
      <c r="M632" s="13"/>
      <c r="N632" s="15"/>
      <c r="O632" s="15"/>
      <c r="P632" s="13"/>
      <c r="Q632" s="13"/>
      <c r="R632" s="13"/>
      <c r="S632" s="13"/>
      <c r="T632" s="13"/>
      <c r="U632" s="13"/>
      <c r="V632" s="15"/>
      <c r="W632" s="15"/>
      <c r="X632" s="15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5"/>
      <c r="H633" s="13"/>
      <c r="I633" s="13"/>
      <c r="J633" s="13"/>
      <c r="K633" s="13"/>
      <c r="L633" s="14"/>
      <c r="M633" s="13"/>
      <c r="N633" s="15"/>
      <c r="O633" s="15"/>
      <c r="P633" s="13"/>
      <c r="Q633" s="13"/>
      <c r="R633" s="13"/>
      <c r="S633" s="13"/>
      <c r="T633" s="13"/>
      <c r="U633" s="13"/>
      <c r="V633" s="15"/>
      <c r="W633" s="15"/>
      <c r="X633" s="15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5"/>
      <c r="H634" s="13"/>
      <c r="I634" s="13"/>
      <c r="J634" s="13"/>
      <c r="K634" s="13"/>
      <c r="L634" s="14"/>
      <c r="M634" s="13"/>
      <c r="N634" s="15"/>
      <c r="O634" s="15"/>
      <c r="P634" s="13"/>
      <c r="Q634" s="13"/>
      <c r="R634" s="13"/>
      <c r="S634" s="13"/>
      <c r="T634" s="13"/>
      <c r="U634" s="13"/>
      <c r="V634" s="15"/>
      <c r="W634" s="15"/>
      <c r="X634" s="15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5"/>
      <c r="H635" s="13"/>
      <c r="I635" s="13"/>
      <c r="J635" s="13"/>
      <c r="K635" s="13"/>
      <c r="L635" s="14"/>
      <c r="M635" s="13"/>
      <c r="N635" s="15"/>
      <c r="O635" s="15"/>
      <c r="P635" s="13"/>
      <c r="Q635" s="13"/>
      <c r="R635" s="13"/>
      <c r="S635" s="13"/>
      <c r="T635" s="13"/>
      <c r="U635" s="13"/>
      <c r="V635" s="15"/>
      <c r="W635" s="15"/>
      <c r="X635" s="15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5"/>
      <c r="H636" s="13"/>
      <c r="I636" s="13"/>
      <c r="J636" s="13"/>
      <c r="K636" s="13"/>
      <c r="L636" s="14"/>
      <c r="M636" s="13"/>
      <c r="N636" s="15"/>
      <c r="O636" s="15"/>
      <c r="P636" s="13"/>
      <c r="Q636" s="13"/>
      <c r="R636" s="13"/>
      <c r="S636" s="13"/>
      <c r="T636" s="13"/>
      <c r="U636" s="13"/>
      <c r="V636" s="15"/>
      <c r="W636" s="15"/>
      <c r="X636" s="15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5"/>
      <c r="H637" s="13"/>
      <c r="I637" s="13"/>
      <c r="J637" s="13"/>
      <c r="K637" s="13"/>
      <c r="L637" s="14"/>
      <c r="M637" s="13"/>
      <c r="N637" s="15"/>
      <c r="O637" s="15"/>
      <c r="P637" s="13"/>
      <c r="Q637" s="13"/>
      <c r="R637" s="13"/>
      <c r="S637" s="13"/>
      <c r="T637" s="13"/>
      <c r="U637" s="13"/>
      <c r="V637" s="15"/>
      <c r="W637" s="15"/>
      <c r="X637" s="15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5"/>
      <c r="H638" s="13"/>
      <c r="I638" s="13"/>
      <c r="J638" s="13"/>
      <c r="K638" s="13"/>
      <c r="L638" s="14"/>
      <c r="M638" s="13"/>
      <c r="N638" s="15"/>
      <c r="O638" s="15"/>
      <c r="P638" s="13"/>
      <c r="Q638" s="13"/>
      <c r="R638" s="13"/>
      <c r="S638" s="13"/>
      <c r="T638" s="13"/>
      <c r="U638" s="13"/>
      <c r="V638" s="15"/>
      <c r="W638" s="15"/>
      <c r="X638" s="15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5"/>
      <c r="H639" s="13"/>
      <c r="I639" s="13"/>
      <c r="J639" s="13"/>
      <c r="K639" s="13"/>
      <c r="L639" s="14"/>
      <c r="M639" s="13"/>
      <c r="N639" s="15"/>
      <c r="O639" s="15"/>
      <c r="P639" s="13"/>
      <c r="Q639" s="13"/>
      <c r="R639" s="13"/>
      <c r="S639" s="13"/>
      <c r="T639" s="13"/>
      <c r="U639" s="13"/>
      <c r="V639" s="15"/>
      <c r="W639" s="15"/>
      <c r="X639" s="15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5"/>
      <c r="H640" s="13"/>
      <c r="I640" s="13"/>
      <c r="J640" s="13"/>
      <c r="K640" s="13"/>
      <c r="L640" s="14"/>
      <c r="M640" s="13"/>
      <c r="N640" s="15"/>
      <c r="O640" s="15"/>
      <c r="P640" s="13"/>
      <c r="Q640" s="13"/>
      <c r="R640" s="13"/>
      <c r="S640" s="13"/>
      <c r="T640" s="13"/>
      <c r="U640" s="13"/>
      <c r="V640" s="15"/>
      <c r="W640" s="15"/>
      <c r="X640" s="15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5"/>
      <c r="H641" s="13"/>
      <c r="I641" s="13"/>
      <c r="J641" s="13"/>
      <c r="K641" s="13"/>
      <c r="L641" s="14"/>
      <c r="M641" s="13"/>
      <c r="N641" s="15"/>
      <c r="O641" s="15"/>
      <c r="P641" s="13"/>
      <c r="Q641" s="13"/>
      <c r="R641" s="13"/>
      <c r="S641" s="13"/>
      <c r="T641" s="13"/>
      <c r="U641" s="13"/>
      <c r="V641" s="15"/>
      <c r="W641" s="15"/>
      <c r="X641" s="15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5"/>
      <c r="H642" s="13"/>
      <c r="I642" s="13"/>
      <c r="J642" s="13"/>
      <c r="K642" s="13"/>
      <c r="L642" s="14"/>
      <c r="M642" s="13"/>
      <c r="N642" s="15"/>
      <c r="O642" s="15"/>
      <c r="P642" s="13"/>
      <c r="Q642" s="13"/>
      <c r="R642" s="13"/>
      <c r="S642" s="13"/>
      <c r="T642" s="13"/>
      <c r="U642" s="13"/>
      <c r="V642" s="15"/>
      <c r="W642" s="15"/>
      <c r="X642" s="15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5"/>
      <c r="H643" s="13"/>
      <c r="I643" s="13"/>
      <c r="J643" s="13"/>
      <c r="K643" s="13"/>
      <c r="L643" s="14"/>
      <c r="M643" s="13"/>
      <c r="N643" s="15"/>
      <c r="O643" s="15"/>
      <c r="P643" s="13"/>
      <c r="Q643" s="13"/>
      <c r="R643" s="13"/>
      <c r="S643" s="13"/>
      <c r="T643" s="13"/>
      <c r="U643" s="13"/>
      <c r="V643" s="15"/>
      <c r="W643" s="15"/>
      <c r="X643" s="15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5"/>
      <c r="H644" s="13"/>
      <c r="I644" s="13"/>
      <c r="J644" s="13"/>
      <c r="K644" s="13"/>
      <c r="L644" s="14"/>
      <c r="M644" s="13"/>
      <c r="N644" s="15"/>
      <c r="O644" s="15"/>
      <c r="P644" s="13"/>
      <c r="Q644" s="13"/>
      <c r="R644" s="13"/>
      <c r="S644" s="13"/>
      <c r="T644" s="13"/>
      <c r="U644" s="13"/>
      <c r="V644" s="15"/>
      <c r="W644" s="15"/>
      <c r="X644" s="15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5"/>
      <c r="H645" s="13"/>
      <c r="I645" s="13"/>
      <c r="J645" s="13"/>
      <c r="K645" s="13"/>
      <c r="L645" s="14"/>
      <c r="M645" s="13"/>
      <c r="N645" s="15"/>
      <c r="O645" s="15"/>
      <c r="P645" s="13"/>
      <c r="Q645" s="13"/>
      <c r="R645" s="13"/>
      <c r="S645" s="13"/>
      <c r="T645" s="13"/>
      <c r="U645" s="13"/>
      <c r="V645" s="15"/>
      <c r="W645" s="15"/>
      <c r="X645" s="15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5"/>
      <c r="H646" s="13"/>
      <c r="I646" s="13"/>
      <c r="J646" s="13"/>
      <c r="K646" s="13"/>
      <c r="L646" s="14"/>
      <c r="M646" s="13"/>
      <c r="N646" s="15"/>
      <c r="O646" s="15"/>
      <c r="P646" s="13"/>
      <c r="Q646" s="13"/>
      <c r="R646" s="13"/>
      <c r="S646" s="13"/>
      <c r="T646" s="13"/>
      <c r="U646" s="13"/>
      <c r="V646" s="15"/>
      <c r="W646" s="15"/>
      <c r="X646" s="15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5"/>
      <c r="H647" s="13"/>
      <c r="I647" s="13"/>
      <c r="J647" s="13"/>
      <c r="K647" s="13"/>
      <c r="L647" s="14"/>
      <c r="M647" s="13"/>
      <c r="N647" s="15"/>
      <c r="O647" s="15"/>
      <c r="P647" s="13"/>
      <c r="Q647" s="13"/>
      <c r="R647" s="13"/>
      <c r="S647" s="13"/>
      <c r="T647" s="13"/>
      <c r="U647" s="13"/>
      <c r="V647" s="15"/>
      <c r="W647" s="15"/>
      <c r="X647" s="15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5"/>
      <c r="H648" s="13"/>
      <c r="I648" s="13"/>
      <c r="J648" s="13"/>
      <c r="K648" s="13"/>
      <c r="L648" s="14"/>
      <c r="M648" s="13"/>
      <c r="N648" s="15"/>
      <c r="O648" s="15"/>
      <c r="P648" s="13"/>
      <c r="Q648" s="13"/>
      <c r="R648" s="13"/>
      <c r="S648" s="13"/>
      <c r="T648" s="13"/>
      <c r="U648" s="13"/>
      <c r="V648" s="15"/>
      <c r="W648" s="15"/>
      <c r="X648" s="15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5"/>
      <c r="H649" s="13"/>
      <c r="I649" s="13"/>
      <c r="J649" s="13"/>
      <c r="K649" s="13"/>
      <c r="L649" s="14"/>
      <c r="M649" s="13"/>
      <c r="N649" s="15"/>
      <c r="O649" s="15"/>
      <c r="P649" s="13"/>
      <c r="Q649" s="13"/>
      <c r="R649" s="13"/>
      <c r="S649" s="13"/>
      <c r="T649" s="13"/>
      <c r="U649" s="13"/>
      <c r="V649" s="15"/>
      <c r="W649" s="15"/>
      <c r="X649" s="15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5"/>
      <c r="H650" s="13"/>
      <c r="I650" s="13"/>
      <c r="J650" s="13"/>
      <c r="K650" s="13"/>
      <c r="L650" s="14"/>
      <c r="M650" s="13"/>
      <c r="N650" s="15"/>
      <c r="O650" s="15"/>
      <c r="P650" s="13"/>
      <c r="Q650" s="13"/>
      <c r="R650" s="13"/>
      <c r="S650" s="13"/>
      <c r="T650" s="13"/>
      <c r="U650" s="13"/>
      <c r="V650" s="15"/>
      <c r="W650" s="15"/>
      <c r="X650" s="15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5"/>
      <c r="H651" s="13"/>
      <c r="I651" s="13"/>
      <c r="J651" s="13"/>
      <c r="K651" s="13"/>
      <c r="L651" s="14"/>
      <c r="M651" s="13"/>
      <c r="N651" s="15"/>
      <c r="O651" s="15"/>
      <c r="P651" s="13"/>
      <c r="Q651" s="13"/>
      <c r="R651" s="13"/>
      <c r="S651" s="13"/>
      <c r="T651" s="13"/>
      <c r="U651" s="13"/>
      <c r="V651" s="15"/>
      <c r="W651" s="15"/>
      <c r="X651" s="15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5"/>
      <c r="H652" s="13"/>
      <c r="I652" s="13"/>
      <c r="J652" s="13"/>
      <c r="K652" s="13"/>
      <c r="L652" s="14"/>
      <c r="M652" s="13"/>
      <c r="N652" s="15"/>
      <c r="O652" s="15"/>
      <c r="P652" s="13"/>
      <c r="Q652" s="13"/>
      <c r="R652" s="13"/>
      <c r="S652" s="13"/>
      <c r="T652" s="13"/>
      <c r="U652" s="13"/>
      <c r="V652" s="15"/>
      <c r="W652" s="15"/>
      <c r="X652" s="15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5"/>
      <c r="H653" s="13"/>
      <c r="I653" s="13"/>
      <c r="J653" s="13"/>
      <c r="K653" s="13"/>
      <c r="L653" s="14"/>
      <c r="M653" s="13"/>
      <c r="N653" s="15"/>
      <c r="O653" s="15"/>
      <c r="P653" s="13"/>
      <c r="Q653" s="13"/>
      <c r="R653" s="13"/>
      <c r="S653" s="13"/>
      <c r="T653" s="13"/>
      <c r="U653" s="13"/>
      <c r="V653" s="15"/>
      <c r="W653" s="15"/>
      <c r="X653" s="15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5"/>
      <c r="H654" s="13"/>
      <c r="I654" s="13"/>
      <c r="J654" s="13"/>
      <c r="K654" s="13"/>
      <c r="L654" s="14"/>
      <c r="M654" s="13"/>
      <c r="N654" s="15"/>
      <c r="O654" s="15"/>
      <c r="P654" s="13"/>
      <c r="Q654" s="13"/>
      <c r="R654" s="13"/>
      <c r="S654" s="13"/>
      <c r="T654" s="13"/>
      <c r="U654" s="13"/>
      <c r="V654" s="15"/>
      <c r="W654" s="15"/>
      <c r="X654" s="15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5"/>
      <c r="H655" s="13"/>
      <c r="I655" s="13"/>
      <c r="J655" s="13"/>
      <c r="K655" s="13"/>
      <c r="L655" s="14"/>
      <c r="M655" s="13"/>
      <c r="N655" s="15"/>
      <c r="O655" s="15"/>
      <c r="P655" s="13"/>
      <c r="Q655" s="13"/>
      <c r="R655" s="13"/>
      <c r="S655" s="13"/>
      <c r="T655" s="13"/>
      <c r="U655" s="13"/>
      <c r="V655" s="15"/>
      <c r="W655" s="15"/>
      <c r="X655" s="15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5"/>
      <c r="H656" s="13"/>
      <c r="I656" s="13"/>
      <c r="J656" s="13"/>
      <c r="K656" s="13"/>
      <c r="L656" s="14"/>
      <c r="M656" s="13"/>
      <c r="N656" s="15"/>
      <c r="O656" s="15"/>
      <c r="P656" s="13"/>
      <c r="Q656" s="13"/>
      <c r="R656" s="13"/>
      <c r="S656" s="13"/>
      <c r="T656" s="13"/>
      <c r="U656" s="13"/>
      <c r="V656" s="15"/>
      <c r="W656" s="15"/>
      <c r="X656" s="15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5"/>
      <c r="H657" s="13"/>
      <c r="I657" s="13"/>
      <c r="J657" s="13"/>
      <c r="K657" s="13"/>
      <c r="L657" s="14"/>
      <c r="M657" s="13"/>
      <c r="N657" s="15"/>
      <c r="O657" s="15"/>
      <c r="P657" s="13"/>
      <c r="Q657" s="13"/>
      <c r="R657" s="13"/>
      <c r="S657" s="13"/>
      <c r="T657" s="13"/>
      <c r="U657" s="13"/>
      <c r="V657" s="15"/>
      <c r="W657" s="15"/>
      <c r="X657" s="15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5"/>
      <c r="H658" s="13"/>
      <c r="I658" s="13"/>
      <c r="J658" s="13"/>
      <c r="K658" s="13"/>
      <c r="L658" s="14"/>
      <c r="M658" s="13"/>
      <c r="N658" s="15"/>
      <c r="O658" s="15"/>
      <c r="P658" s="13"/>
      <c r="Q658" s="13"/>
      <c r="R658" s="13"/>
      <c r="S658" s="13"/>
      <c r="T658" s="13"/>
      <c r="U658" s="13"/>
      <c r="V658" s="15"/>
      <c r="W658" s="15"/>
      <c r="X658" s="15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5"/>
      <c r="H659" s="13"/>
      <c r="I659" s="13"/>
      <c r="J659" s="13"/>
      <c r="K659" s="13"/>
      <c r="L659" s="14"/>
      <c r="M659" s="13"/>
      <c r="N659" s="15"/>
      <c r="O659" s="15"/>
      <c r="P659" s="13"/>
      <c r="Q659" s="13"/>
      <c r="R659" s="13"/>
      <c r="S659" s="13"/>
      <c r="T659" s="13"/>
      <c r="U659" s="13"/>
      <c r="V659" s="15"/>
      <c r="W659" s="15"/>
      <c r="X659" s="15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5"/>
      <c r="H660" s="13"/>
      <c r="I660" s="13"/>
      <c r="J660" s="13"/>
      <c r="K660" s="13"/>
      <c r="L660" s="14"/>
      <c r="M660" s="13"/>
      <c r="N660" s="15"/>
      <c r="O660" s="15"/>
      <c r="P660" s="13"/>
      <c r="Q660" s="13"/>
      <c r="R660" s="13"/>
      <c r="S660" s="13"/>
      <c r="T660" s="13"/>
      <c r="U660" s="13"/>
      <c r="V660" s="15"/>
      <c r="W660" s="15"/>
      <c r="X660" s="15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5"/>
      <c r="H661" s="13"/>
      <c r="I661" s="13"/>
      <c r="J661" s="13"/>
      <c r="K661" s="13"/>
      <c r="L661" s="14"/>
      <c r="M661" s="13"/>
      <c r="N661" s="15"/>
      <c r="O661" s="15"/>
      <c r="P661" s="13"/>
      <c r="Q661" s="13"/>
      <c r="R661" s="13"/>
      <c r="S661" s="13"/>
      <c r="T661" s="13"/>
      <c r="U661" s="13"/>
      <c r="V661" s="15"/>
      <c r="W661" s="15"/>
      <c r="X661" s="15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5"/>
      <c r="H662" s="13"/>
      <c r="I662" s="13"/>
      <c r="J662" s="13"/>
      <c r="K662" s="13"/>
      <c r="L662" s="14"/>
      <c r="M662" s="13"/>
      <c r="N662" s="15"/>
      <c r="O662" s="15"/>
      <c r="P662" s="13"/>
      <c r="Q662" s="13"/>
      <c r="R662" s="13"/>
      <c r="S662" s="13"/>
      <c r="T662" s="13"/>
      <c r="U662" s="13"/>
      <c r="V662" s="15"/>
      <c r="W662" s="15"/>
      <c r="X662" s="15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5"/>
      <c r="H663" s="13"/>
      <c r="I663" s="13"/>
      <c r="J663" s="13"/>
      <c r="K663" s="13"/>
      <c r="L663" s="14"/>
      <c r="M663" s="13"/>
      <c r="N663" s="15"/>
      <c r="O663" s="15"/>
      <c r="P663" s="13"/>
      <c r="Q663" s="13"/>
      <c r="R663" s="13"/>
      <c r="S663" s="13"/>
      <c r="T663" s="13"/>
      <c r="U663" s="13"/>
      <c r="V663" s="15"/>
      <c r="W663" s="15"/>
      <c r="X663" s="15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5"/>
      <c r="H664" s="13"/>
      <c r="I664" s="13"/>
      <c r="J664" s="13"/>
      <c r="K664" s="13"/>
      <c r="L664" s="14"/>
      <c r="M664" s="13"/>
      <c r="N664" s="15"/>
      <c r="O664" s="15"/>
      <c r="P664" s="13"/>
      <c r="Q664" s="13"/>
      <c r="R664" s="13"/>
      <c r="S664" s="13"/>
      <c r="T664" s="13"/>
      <c r="U664" s="13"/>
      <c r="V664" s="15"/>
      <c r="W664" s="15"/>
      <c r="X664" s="15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5"/>
      <c r="H665" s="13"/>
      <c r="I665" s="13"/>
      <c r="J665" s="13"/>
      <c r="K665" s="13"/>
      <c r="L665" s="14"/>
      <c r="M665" s="13"/>
      <c r="N665" s="15"/>
      <c r="O665" s="15"/>
      <c r="P665" s="13"/>
      <c r="Q665" s="13"/>
      <c r="R665" s="13"/>
      <c r="S665" s="13"/>
      <c r="T665" s="13"/>
      <c r="U665" s="13"/>
      <c r="V665" s="15"/>
      <c r="W665" s="15"/>
      <c r="X665" s="15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5"/>
      <c r="H666" s="13"/>
      <c r="I666" s="13"/>
      <c r="J666" s="13"/>
      <c r="K666" s="13"/>
      <c r="L666" s="14"/>
      <c r="M666" s="13"/>
      <c r="N666" s="15"/>
      <c r="O666" s="15"/>
      <c r="P666" s="13"/>
      <c r="Q666" s="13"/>
      <c r="R666" s="13"/>
      <c r="S666" s="13"/>
      <c r="T666" s="13"/>
      <c r="U666" s="13"/>
      <c r="V666" s="15"/>
      <c r="W666" s="15"/>
      <c r="X666" s="15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5"/>
      <c r="H667" s="13"/>
      <c r="I667" s="13"/>
      <c r="J667" s="13"/>
      <c r="K667" s="13"/>
      <c r="L667" s="14"/>
      <c r="M667" s="13"/>
      <c r="N667" s="15"/>
      <c r="O667" s="15"/>
      <c r="P667" s="13"/>
      <c r="Q667" s="13"/>
      <c r="R667" s="13"/>
      <c r="S667" s="13"/>
      <c r="T667" s="13"/>
      <c r="U667" s="13"/>
      <c r="V667" s="15"/>
      <c r="W667" s="15"/>
      <c r="X667" s="15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5"/>
      <c r="H668" s="13"/>
      <c r="I668" s="13"/>
      <c r="J668" s="13"/>
      <c r="K668" s="13"/>
      <c r="L668" s="14"/>
      <c r="M668" s="13"/>
      <c r="N668" s="15"/>
      <c r="O668" s="15"/>
      <c r="P668" s="13"/>
      <c r="Q668" s="13"/>
      <c r="R668" s="13"/>
      <c r="S668" s="13"/>
      <c r="T668" s="13"/>
      <c r="U668" s="13"/>
      <c r="V668" s="15"/>
      <c r="W668" s="15"/>
      <c r="X668" s="15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5"/>
      <c r="H669" s="13"/>
      <c r="I669" s="13"/>
      <c r="J669" s="13"/>
      <c r="K669" s="13"/>
      <c r="L669" s="14"/>
      <c r="M669" s="13"/>
      <c r="N669" s="15"/>
      <c r="O669" s="15"/>
      <c r="P669" s="13"/>
      <c r="Q669" s="13"/>
      <c r="R669" s="13"/>
      <c r="S669" s="13"/>
      <c r="T669" s="13"/>
      <c r="U669" s="13"/>
      <c r="V669" s="15"/>
      <c r="W669" s="15"/>
      <c r="X669" s="15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5"/>
      <c r="H670" s="13"/>
      <c r="I670" s="13"/>
      <c r="J670" s="13"/>
      <c r="K670" s="13"/>
      <c r="L670" s="14"/>
      <c r="M670" s="13"/>
      <c r="N670" s="15"/>
      <c r="O670" s="15"/>
      <c r="P670" s="13"/>
      <c r="Q670" s="13"/>
      <c r="R670" s="13"/>
      <c r="S670" s="13"/>
      <c r="T670" s="13"/>
      <c r="U670" s="13"/>
      <c r="V670" s="15"/>
      <c r="W670" s="15"/>
      <c r="X670" s="15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5"/>
      <c r="H671" s="13"/>
      <c r="I671" s="13"/>
      <c r="J671" s="13"/>
      <c r="K671" s="13"/>
      <c r="L671" s="14"/>
      <c r="M671" s="13"/>
      <c r="N671" s="15"/>
      <c r="O671" s="15"/>
      <c r="P671" s="13"/>
      <c r="Q671" s="13"/>
      <c r="R671" s="13"/>
      <c r="S671" s="13"/>
      <c r="T671" s="13"/>
      <c r="U671" s="13"/>
      <c r="V671" s="15"/>
      <c r="W671" s="15"/>
      <c r="X671" s="15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5"/>
      <c r="H672" s="13"/>
      <c r="I672" s="13"/>
      <c r="J672" s="13"/>
      <c r="K672" s="13"/>
      <c r="L672" s="14"/>
      <c r="M672" s="13"/>
      <c r="N672" s="15"/>
      <c r="O672" s="15"/>
      <c r="P672" s="13"/>
      <c r="Q672" s="13"/>
      <c r="R672" s="13"/>
      <c r="S672" s="13"/>
      <c r="T672" s="13"/>
      <c r="U672" s="13"/>
      <c r="V672" s="15"/>
      <c r="W672" s="15"/>
      <c r="X672" s="15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5"/>
      <c r="H673" s="13"/>
      <c r="I673" s="13"/>
      <c r="J673" s="13"/>
      <c r="K673" s="13"/>
      <c r="L673" s="14"/>
      <c r="M673" s="13"/>
      <c r="N673" s="15"/>
      <c r="O673" s="15"/>
      <c r="P673" s="13"/>
      <c r="Q673" s="13"/>
      <c r="R673" s="13"/>
      <c r="S673" s="13"/>
      <c r="T673" s="13"/>
      <c r="U673" s="13"/>
      <c r="V673" s="15"/>
      <c r="W673" s="15"/>
      <c r="X673" s="15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5"/>
      <c r="H674" s="13"/>
      <c r="I674" s="13"/>
      <c r="J674" s="13"/>
      <c r="K674" s="13"/>
      <c r="L674" s="14"/>
      <c r="M674" s="13"/>
      <c r="N674" s="15"/>
      <c r="O674" s="15"/>
      <c r="P674" s="13"/>
      <c r="Q674" s="13"/>
      <c r="R674" s="13"/>
      <c r="S674" s="13"/>
      <c r="T674" s="13"/>
      <c r="U674" s="13"/>
      <c r="V674" s="15"/>
      <c r="W674" s="15"/>
      <c r="X674" s="15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5"/>
      <c r="H675" s="13"/>
      <c r="I675" s="13"/>
      <c r="J675" s="13"/>
      <c r="K675" s="13"/>
      <c r="L675" s="14"/>
      <c r="M675" s="13"/>
      <c r="N675" s="15"/>
      <c r="O675" s="15"/>
      <c r="P675" s="13"/>
      <c r="Q675" s="13"/>
      <c r="R675" s="13"/>
      <c r="S675" s="13"/>
      <c r="T675" s="13"/>
      <c r="U675" s="13"/>
      <c r="V675" s="15"/>
      <c r="W675" s="15"/>
      <c r="X675" s="15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5"/>
      <c r="H676" s="13"/>
      <c r="I676" s="13"/>
      <c r="J676" s="13"/>
      <c r="K676" s="13"/>
      <c r="L676" s="14"/>
      <c r="M676" s="13"/>
      <c r="N676" s="15"/>
      <c r="O676" s="15"/>
      <c r="P676" s="13"/>
      <c r="Q676" s="13"/>
      <c r="R676" s="13"/>
      <c r="S676" s="13"/>
      <c r="T676" s="13"/>
      <c r="U676" s="13"/>
      <c r="V676" s="15"/>
      <c r="W676" s="15"/>
      <c r="X676" s="15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5"/>
      <c r="H677" s="13"/>
      <c r="I677" s="13"/>
      <c r="J677" s="13"/>
      <c r="K677" s="13"/>
      <c r="L677" s="14"/>
      <c r="M677" s="13"/>
      <c r="N677" s="15"/>
      <c r="O677" s="15"/>
      <c r="P677" s="13"/>
      <c r="Q677" s="13"/>
      <c r="R677" s="13"/>
      <c r="S677" s="13"/>
      <c r="T677" s="13"/>
      <c r="U677" s="13"/>
      <c r="V677" s="15"/>
      <c r="W677" s="15"/>
      <c r="X677" s="15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5"/>
      <c r="H678" s="13"/>
      <c r="I678" s="13"/>
      <c r="J678" s="13"/>
      <c r="K678" s="13"/>
      <c r="L678" s="14"/>
      <c r="M678" s="13"/>
      <c r="N678" s="15"/>
      <c r="O678" s="15"/>
      <c r="P678" s="13"/>
      <c r="Q678" s="13"/>
      <c r="R678" s="13"/>
      <c r="S678" s="13"/>
      <c r="T678" s="13"/>
      <c r="U678" s="13"/>
      <c r="V678" s="15"/>
      <c r="W678" s="15"/>
      <c r="X678" s="15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5"/>
      <c r="H679" s="13"/>
      <c r="I679" s="13"/>
      <c r="J679" s="13"/>
      <c r="K679" s="13"/>
      <c r="L679" s="14"/>
      <c r="M679" s="13"/>
      <c r="N679" s="15"/>
      <c r="O679" s="15"/>
      <c r="P679" s="13"/>
      <c r="Q679" s="13"/>
      <c r="R679" s="13"/>
      <c r="S679" s="13"/>
      <c r="T679" s="13"/>
      <c r="U679" s="13"/>
      <c r="V679" s="15"/>
      <c r="W679" s="15"/>
      <c r="X679" s="15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5"/>
      <c r="H680" s="13"/>
      <c r="I680" s="13"/>
      <c r="J680" s="13"/>
      <c r="K680" s="13"/>
      <c r="L680" s="14"/>
      <c r="M680" s="13"/>
      <c r="N680" s="15"/>
      <c r="O680" s="15"/>
      <c r="P680" s="13"/>
      <c r="Q680" s="13"/>
      <c r="R680" s="13"/>
      <c r="S680" s="13"/>
      <c r="T680" s="13"/>
      <c r="U680" s="13"/>
      <c r="V680" s="15"/>
      <c r="W680" s="15"/>
      <c r="X680" s="15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5"/>
      <c r="H681" s="13"/>
      <c r="I681" s="13"/>
      <c r="J681" s="13"/>
      <c r="K681" s="13"/>
      <c r="L681" s="14"/>
      <c r="M681" s="13"/>
      <c r="N681" s="15"/>
      <c r="O681" s="15"/>
      <c r="P681" s="13"/>
      <c r="Q681" s="13"/>
      <c r="R681" s="13"/>
      <c r="S681" s="13"/>
      <c r="T681" s="13"/>
      <c r="U681" s="13"/>
      <c r="V681" s="15"/>
      <c r="W681" s="15"/>
      <c r="X681" s="15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5"/>
      <c r="H682" s="13"/>
      <c r="I682" s="13"/>
      <c r="J682" s="13"/>
      <c r="K682" s="13"/>
      <c r="L682" s="14"/>
      <c r="M682" s="13"/>
      <c r="N682" s="15"/>
      <c r="O682" s="15"/>
      <c r="P682" s="13"/>
      <c r="Q682" s="13"/>
      <c r="R682" s="13"/>
      <c r="S682" s="13"/>
      <c r="T682" s="13"/>
      <c r="U682" s="13"/>
      <c r="V682" s="15"/>
      <c r="W682" s="15"/>
      <c r="X682" s="15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5"/>
      <c r="H683" s="13"/>
      <c r="I683" s="13"/>
      <c r="J683" s="13"/>
      <c r="K683" s="13"/>
      <c r="L683" s="14"/>
      <c r="M683" s="13"/>
      <c r="N683" s="15"/>
      <c r="O683" s="15"/>
      <c r="P683" s="13"/>
      <c r="Q683" s="13"/>
      <c r="R683" s="13"/>
      <c r="S683" s="13"/>
      <c r="T683" s="13"/>
      <c r="U683" s="13"/>
      <c r="V683" s="15"/>
      <c r="W683" s="15"/>
      <c r="X683" s="15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5"/>
      <c r="H684" s="13"/>
      <c r="I684" s="13"/>
      <c r="J684" s="13"/>
      <c r="K684" s="13"/>
      <c r="L684" s="14"/>
      <c r="M684" s="13"/>
      <c r="N684" s="15"/>
      <c r="O684" s="15"/>
      <c r="P684" s="13"/>
      <c r="Q684" s="13"/>
      <c r="R684" s="13"/>
      <c r="S684" s="13"/>
      <c r="T684" s="13"/>
      <c r="U684" s="13"/>
      <c r="V684" s="15"/>
      <c r="W684" s="15"/>
      <c r="X684" s="15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5"/>
      <c r="H685" s="13"/>
      <c r="I685" s="13"/>
      <c r="J685" s="13"/>
      <c r="K685" s="13"/>
      <c r="L685" s="14"/>
      <c r="M685" s="13"/>
      <c r="N685" s="15"/>
      <c r="O685" s="15"/>
      <c r="P685" s="13"/>
      <c r="Q685" s="13"/>
      <c r="R685" s="13"/>
      <c r="S685" s="13"/>
      <c r="T685" s="13"/>
      <c r="U685" s="13"/>
      <c r="V685" s="15"/>
      <c r="W685" s="15"/>
      <c r="X685" s="15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5"/>
      <c r="H686" s="13"/>
      <c r="I686" s="13"/>
      <c r="J686" s="13"/>
      <c r="K686" s="13"/>
      <c r="L686" s="14"/>
      <c r="M686" s="13"/>
      <c r="N686" s="15"/>
      <c r="O686" s="15"/>
      <c r="P686" s="13"/>
      <c r="Q686" s="13"/>
      <c r="R686" s="13"/>
      <c r="S686" s="13"/>
      <c r="T686" s="13"/>
      <c r="U686" s="13"/>
      <c r="V686" s="15"/>
      <c r="W686" s="15"/>
      <c r="X686" s="15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5"/>
      <c r="H687" s="13"/>
      <c r="I687" s="13"/>
      <c r="J687" s="13"/>
      <c r="K687" s="13"/>
      <c r="L687" s="14"/>
      <c r="M687" s="13"/>
      <c r="N687" s="15"/>
      <c r="O687" s="15"/>
      <c r="P687" s="13"/>
      <c r="Q687" s="13"/>
      <c r="R687" s="13"/>
      <c r="S687" s="13"/>
      <c r="T687" s="13"/>
      <c r="U687" s="13"/>
      <c r="V687" s="15"/>
      <c r="W687" s="15"/>
      <c r="X687" s="15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5"/>
      <c r="H688" s="13"/>
      <c r="I688" s="13"/>
      <c r="J688" s="13"/>
      <c r="K688" s="13"/>
      <c r="L688" s="14"/>
      <c r="M688" s="13"/>
      <c r="N688" s="15"/>
      <c r="O688" s="15"/>
      <c r="P688" s="13"/>
      <c r="Q688" s="13"/>
      <c r="R688" s="13"/>
      <c r="S688" s="13"/>
      <c r="T688" s="13"/>
      <c r="U688" s="13"/>
      <c r="V688" s="15"/>
      <c r="W688" s="15"/>
      <c r="X688" s="15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5"/>
      <c r="H689" s="13"/>
      <c r="I689" s="13"/>
      <c r="J689" s="13"/>
      <c r="K689" s="13"/>
      <c r="L689" s="14"/>
      <c r="M689" s="13"/>
      <c r="N689" s="15"/>
      <c r="O689" s="15"/>
      <c r="P689" s="13"/>
      <c r="Q689" s="13"/>
      <c r="R689" s="13"/>
      <c r="S689" s="13"/>
      <c r="T689" s="13"/>
      <c r="U689" s="13"/>
      <c r="V689" s="15"/>
      <c r="W689" s="15"/>
      <c r="X689" s="15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5"/>
      <c r="H690" s="13"/>
      <c r="I690" s="13"/>
      <c r="J690" s="13"/>
      <c r="K690" s="13"/>
      <c r="L690" s="14"/>
      <c r="M690" s="13"/>
      <c r="N690" s="15"/>
      <c r="O690" s="15"/>
      <c r="P690" s="13"/>
      <c r="Q690" s="13"/>
      <c r="R690" s="13"/>
      <c r="S690" s="13"/>
      <c r="T690" s="13"/>
      <c r="U690" s="13"/>
      <c r="V690" s="15"/>
      <c r="W690" s="15"/>
      <c r="X690" s="15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5"/>
      <c r="H691" s="13"/>
      <c r="I691" s="13"/>
      <c r="J691" s="13"/>
      <c r="K691" s="13"/>
      <c r="L691" s="14"/>
      <c r="M691" s="13"/>
      <c r="N691" s="15"/>
      <c r="O691" s="15"/>
      <c r="P691" s="13"/>
      <c r="Q691" s="13"/>
      <c r="R691" s="13"/>
      <c r="S691" s="13"/>
      <c r="T691" s="13"/>
      <c r="U691" s="13"/>
      <c r="V691" s="15"/>
      <c r="W691" s="15"/>
      <c r="X691" s="15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5"/>
      <c r="H692" s="13"/>
      <c r="I692" s="13"/>
      <c r="J692" s="13"/>
      <c r="K692" s="13"/>
      <c r="L692" s="14"/>
      <c r="M692" s="13"/>
      <c r="N692" s="15"/>
      <c r="O692" s="15"/>
      <c r="P692" s="13"/>
      <c r="Q692" s="13"/>
      <c r="R692" s="13"/>
      <c r="S692" s="13"/>
      <c r="T692" s="13"/>
      <c r="U692" s="13"/>
      <c r="V692" s="15"/>
      <c r="W692" s="15"/>
      <c r="X692" s="15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5"/>
      <c r="H693" s="13"/>
      <c r="I693" s="13"/>
      <c r="J693" s="13"/>
      <c r="K693" s="13"/>
      <c r="L693" s="14"/>
      <c r="M693" s="13"/>
      <c r="N693" s="15"/>
      <c r="O693" s="15"/>
      <c r="P693" s="13"/>
      <c r="Q693" s="13"/>
      <c r="R693" s="13"/>
      <c r="S693" s="13"/>
      <c r="T693" s="13"/>
      <c r="U693" s="13"/>
      <c r="V693" s="15"/>
      <c r="W693" s="15"/>
      <c r="X693" s="15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5"/>
      <c r="H694" s="13"/>
      <c r="I694" s="13"/>
      <c r="J694" s="13"/>
      <c r="K694" s="13"/>
      <c r="L694" s="14"/>
      <c r="M694" s="13"/>
      <c r="N694" s="15"/>
      <c r="O694" s="15"/>
      <c r="P694" s="13"/>
      <c r="Q694" s="13"/>
      <c r="R694" s="13"/>
      <c r="S694" s="13"/>
      <c r="T694" s="13"/>
      <c r="U694" s="13"/>
      <c r="V694" s="15"/>
      <c r="W694" s="15"/>
      <c r="X694" s="15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5"/>
      <c r="H695" s="13"/>
      <c r="I695" s="13"/>
      <c r="J695" s="13"/>
      <c r="K695" s="13"/>
      <c r="L695" s="14"/>
      <c r="M695" s="13"/>
      <c r="N695" s="15"/>
      <c r="O695" s="15"/>
      <c r="P695" s="13"/>
      <c r="Q695" s="13"/>
      <c r="R695" s="13"/>
      <c r="S695" s="13"/>
      <c r="T695" s="13"/>
      <c r="U695" s="13"/>
      <c r="V695" s="15"/>
      <c r="W695" s="15"/>
      <c r="X695" s="15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5"/>
      <c r="H696" s="13"/>
      <c r="I696" s="13"/>
      <c r="J696" s="13"/>
      <c r="K696" s="13"/>
      <c r="L696" s="14"/>
      <c r="M696" s="13"/>
      <c r="N696" s="15"/>
      <c r="O696" s="15"/>
      <c r="P696" s="13"/>
      <c r="Q696" s="13"/>
      <c r="R696" s="13"/>
      <c r="S696" s="13"/>
      <c r="T696" s="13"/>
      <c r="U696" s="13"/>
      <c r="V696" s="15"/>
      <c r="W696" s="15"/>
      <c r="X696" s="15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5"/>
      <c r="H697" s="13"/>
      <c r="I697" s="13"/>
      <c r="J697" s="13"/>
      <c r="K697" s="13"/>
      <c r="L697" s="14"/>
      <c r="M697" s="13"/>
      <c r="N697" s="15"/>
      <c r="O697" s="15"/>
      <c r="P697" s="13"/>
      <c r="Q697" s="13"/>
      <c r="R697" s="13"/>
      <c r="S697" s="13"/>
      <c r="T697" s="13"/>
      <c r="U697" s="13"/>
      <c r="V697" s="15"/>
      <c r="W697" s="15"/>
      <c r="X697" s="15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5"/>
      <c r="H698" s="13"/>
      <c r="I698" s="13"/>
      <c r="J698" s="13"/>
      <c r="K698" s="13"/>
      <c r="L698" s="14"/>
      <c r="M698" s="13"/>
      <c r="N698" s="15"/>
      <c r="O698" s="15"/>
      <c r="P698" s="13"/>
      <c r="Q698" s="13"/>
      <c r="R698" s="13"/>
      <c r="S698" s="13"/>
      <c r="T698" s="13"/>
      <c r="U698" s="13"/>
      <c r="V698" s="15"/>
      <c r="W698" s="15"/>
      <c r="X698" s="15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5"/>
      <c r="H699" s="13"/>
      <c r="I699" s="13"/>
      <c r="J699" s="13"/>
      <c r="K699" s="13"/>
      <c r="L699" s="14"/>
      <c r="M699" s="13"/>
      <c r="N699" s="15"/>
      <c r="O699" s="15"/>
      <c r="P699" s="13"/>
      <c r="Q699" s="13"/>
      <c r="R699" s="13"/>
      <c r="S699" s="13"/>
      <c r="T699" s="13"/>
      <c r="U699" s="13"/>
      <c r="V699" s="15"/>
      <c r="W699" s="15"/>
      <c r="X699" s="15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5"/>
      <c r="H700" s="13"/>
      <c r="I700" s="13"/>
      <c r="J700" s="13"/>
      <c r="K700" s="13"/>
      <c r="L700" s="14"/>
      <c r="M700" s="13"/>
      <c r="N700" s="15"/>
      <c r="O700" s="15"/>
      <c r="P700" s="13"/>
      <c r="Q700" s="13"/>
      <c r="R700" s="13"/>
      <c r="S700" s="13"/>
      <c r="T700" s="13"/>
      <c r="U700" s="13"/>
      <c r="V700" s="15"/>
      <c r="W700" s="15"/>
      <c r="X700" s="15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5"/>
      <c r="H701" s="13"/>
      <c r="I701" s="13"/>
      <c r="J701" s="13"/>
      <c r="K701" s="13"/>
      <c r="L701" s="14"/>
      <c r="M701" s="13"/>
      <c r="N701" s="15"/>
      <c r="O701" s="15"/>
      <c r="P701" s="13"/>
      <c r="Q701" s="13"/>
      <c r="R701" s="13"/>
      <c r="S701" s="13"/>
      <c r="T701" s="13"/>
      <c r="U701" s="13"/>
      <c r="V701" s="15"/>
      <c r="W701" s="15"/>
      <c r="X701" s="15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5"/>
      <c r="H702" s="13"/>
      <c r="I702" s="13"/>
      <c r="J702" s="13"/>
      <c r="K702" s="13"/>
      <c r="L702" s="14"/>
      <c r="M702" s="13"/>
      <c r="N702" s="15"/>
      <c r="O702" s="15"/>
      <c r="P702" s="13"/>
      <c r="Q702" s="13"/>
      <c r="R702" s="13"/>
      <c r="S702" s="13"/>
      <c r="T702" s="13"/>
      <c r="U702" s="13"/>
      <c r="V702" s="15"/>
      <c r="W702" s="15"/>
      <c r="X702" s="15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5"/>
      <c r="H703" s="13"/>
      <c r="I703" s="13"/>
      <c r="J703" s="13"/>
      <c r="K703" s="13"/>
      <c r="L703" s="14"/>
      <c r="M703" s="13"/>
      <c r="N703" s="15"/>
      <c r="O703" s="15"/>
      <c r="P703" s="13"/>
      <c r="Q703" s="13"/>
      <c r="R703" s="13"/>
      <c r="S703" s="13"/>
      <c r="T703" s="13"/>
      <c r="U703" s="13"/>
      <c r="V703" s="15"/>
      <c r="W703" s="15"/>
      <c r="X703" s="15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5"/>
      <c r="H704" s="13"/>
      <c r="I704" s="13"/>
      <c r="J704" s="13"/>
      <c r="K704" s="13"/>
      <c r="L704" s="14"/>
      <c r="M704" s="13"/>
      <c r="N704" s="15"/>
      <c r="O704" s="15"/>
      <c r="P704" s="13"/>
      <c r="Q704" s="13"/>
      <c r="R704" s="13"/>
      <c r="S704" s="13"/>
      <c r="T704" s="13"/>
      <c r="U704" s="13"/>
      <c r="V704" s="15"/>
      <c r="W704" s="15"/>
      <c r="X704" s="15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5"/>
      <c r="H705" s="13"/>
      <c r="I705" s="13"/>
      <c r="J705" s="13"/>
      <c r="K705" s="13"/>
      <c r="L705" s="14"/>
      <c r="M705" s="13"/>
      <c r="N705" s="15"/>
      <c r="O705" s="15"/>
      <c r="P705" s="13"/>
      <c r="Q705" s="13"/>
      <c r="R705" s="13"/>
      <c r="S705" s="13"/>
      <c r="T705" s="13"/>
      <c r="U705" s="13"/>
      <c r="V705" s="15"/>
      <c r="W705" s="15"/>
      <c r="X705" s="15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5"/>
      <c r="H706" s="13"/>
      <c r="I706" s="13"/>
      <c r="J706" s="13"/>
      <c r="K706" s="13"/>
      <c r="L706" s="14"/>
      <c r="M706" s="13"/>
      <c r="N706" s="15"/>
      <c r="O706" s="15"/>
      <c r="P706" s="13"/>
      <c r="Q706" s="13"/>
      <c r="R706" s="13"/>
      <c r="S706" s="13"/>
      <c r="T706" s="13"/>
      <c r="U706" s="13"/>
      <c r="V706" s="15"/>
      <c r="W706" s="15"/>
      <c r="X706" s="15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5"/>
      <c r="H707" s="13"/>
      <c r="I707" s="13"/>
      <c r="J707" s="13"/>
      <c r="K707" s="13"/>
      <c r="L707" s="14"/>
      <c r="M707" s="13"/>
      <c r="N707" s="15"/>
      <c r="O707" s="15"/>
      <c r="P707" s="13"/>
      <c r="Q707" s="13"/>
      <c r="R707" s="13"/>
      <c r="S707" s="13"/>
      <c r="T707" s="13"/>
      <c r="U707" s="13"/>
      <c r="V707" s="15"/>
      <c r="W707" s="15"/>
      <c r="X707" s="15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5"/>
      <c r="H708" s="13"/>
      <c r="I708" s="13"/>
      <c r="J708" s="13"/>
      <c r="K708" s="13"/>
      <c r="L708" s="14"/>
      <c r="M708" s="13"/>
      <c r="N708" s="15"/>
      <c r="O708" s="15"/>
      <c r="P708" s="13"/>
      <c r="Q708" s="13"/>
      <c r="R708" s="13"/>
      <c r="S708" s="13"/>
      <c r="T708" s="13"/>
      <c r="U708" s="13"/>
      <c r="V708" s="15"/>
      <c r="W708" s="15"/>
      <c r="X708" s="15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5"/>
      <c r="H709" s="13"/>
      <c r="I709" s="13"/>
      <c r="J709" s="13"/>
      <c r="K709" s="13"/>
      <c r="L709" s="14"/>
      <c r="M709" s="13"/>
      <c r="N709" s="15"/>
      <c r="O709" s="15"/>
      <c r="P709" s="13"/>
      <c r="Q709" s="13"/>
      <c r="R709" s="13"/>
      <c r="S709" s="13"/>
      <c r="T709" s="13"/>
      <c r="U709" s="13"/>
      <c r="V709" s="15"/>
      <c r="W709" s="15"/>
      <c r="X709" s="15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5"/>
      <c r="H710" s="13"/>
      <c r="I710" s="13"/>
      <c r="J710" s="13"/>
      <c r="K710" s="13"/>
      <c r="L710" s="14"/>
      <c r="M710" s="13"/>
      <c r="N710" s="15"/>
      <c r="O710" s="15"/>
      <c r="P710" s="13"/>
      <c r="Q710" s="13"/>
      <c r="R710" s="13"/>
      <c r="S710" s="13"/>
      <c r="T710" s="13"/>
      <c r="U710" s="13"/>
      <c r="V710" s="15"/>
      <c r="W710" s="15"/>
      <c r="X710" s="15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5"/>
      <c r="H711" s="13"/>
      <c r="I711" s="13"/>
      <c r="J711" s="13"/>
      <c r="K711" s="13"/>
      <c r="L711" s="14"/>
      <c r="M711" s="13"/>
      <c r="N711" s="15"/>
      <c r="O711" s="15"/>
      <c r="P711" s="13"/>
      <c r="Q711" s="13"/>
      <c r="R711" s="13"/>
      <c r="S711" s="13"/>
      <c r="T711" s="13"/>
      <c r="U711" s="13"/>
      <c r="V711" s="15"/>
      <c r="W711" s="15"/>
      <c r="X711" s="15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5"/>
      <c r="H712" s="13"/>
      <c r="I712" s="13"/>
      <c r="J712" s="13"/>
      <c r="K712" s="13"/>
      <c r="L712" s="14"/>
      <c r="M712" s="13"/>
      <c r="N712" s="15"/>
      <c r="O712" s="15"/>
      <c r="P712" s="13"/>
      <c r="Q712" s="13"/>
      <c r="R712" s="13"/>
      <c r="S712" s="13"/>
      <c r="T712" s="13"/>
      <c r="U712" s="13"/>
      <c r="V712" s="15"/>
      <c r="W712" s="15"/>
      <c r="X712" s="15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5"/>
      <c r="H713" s="13"/>
      <c r="I713" s="13"/>
      <c r="J713" s="13"/>
      <c r="K713" s="13"/>
      <c r="L713" s="14"/>
      <c r="M713" s="13"/>
      <c r="N713" s="15"/>
      <c r="O713" s="15"/>
      <c r="P713" s="13"/>
      <c r="Q713" s="13"/>
      <c r="R713" s="13"/>
      <c r="S713" s="13"/>
      <c r="T713" s="13"/>
      <c r="U713" s="13"/>
      <c r="V713" s="15"/>
      <c r="W713" s="15"/>
      <c r="X713" s="15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5"/>
      <c r="H714" s="13"/>
      <c r="I714" s="13"/>
      <c r="J714" s="13"/>
      <c r="K714" s="13"/>
      <c r="L714" s="14"/>
      <c r="M714" s="13"/>
      <c r="N714" s="15"/>
      <c r="O714" s="15"/>
      <c r="P714" s="13"/>
      <c r="Q714" s="13"/>
      <c r="R714" s="13"/>
      <c r="S714" s="13"/>
      <c r="T714" s="13"/>
      <c r="U714" s="13"/>
      <c r="V714" s="15"/>
      <c r="W714" s="15"/>
      <c r="X714" s="15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5"/>
      <c r="H715" s="13"/>
      <c r="I715" s="13"/>
      <c r="J715" s="13"/>
      <c r="K715" s="13"/>
      <c r="L715" s="14"/>
      <c r="M715" s="13"/>
      <c r="N715" s="15"/>
      <c r="O715" s="15"/>
      <c r="P715" s="13"/>
      <c r="Q715" s="13"/>
      <c r="R715" s="13"/>
      <c r="S715" s="13"/>
      <c r="T715" s="13"/>
      <c r="U715" s="13"/>
      <c r="V715" s="15"/>
      <c r="W715" s="15"/>
      <c r="X715" s="15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5"/>
      <c r="H716" s="13"/>
      <c r="I716" s="13"/>
      <c r="J716" s="13"/>
      <c r="K716" s="13"/>
      <c r="L716" s="14"/>
      <c r="M716" s="13"/>
      <c r="N716" s="15"/>
      <c r="O716" s="15"/>
      <c r="P716" s="13"/>
      <c r="Q716" s="13"/>
      <c r="R716" s="13"/>
      <c r="S716" s="13"/>
      <c r="T716" s="13"/>
      <c r="U716" s="13"/>
      <c r="V716" s="15"/>
      <c r="W716" s="15"/>
      <c r="X716" s="15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5"/>
      <c r="H717" s="13"/>
      <c r="I717" s="13"/>
      <c r="J717" s="13"/>
      <c r="K717" s="13"/>
      <c r="L717" s="14"/>
      <c r="M717" s="13"/>
      <c r="N717" s="15"/>
      <c r="O717" s="15"/>
      <c r="P717" s="13"/>
      <c r="Q717" s="13"/>
      <c r="R717" s="13"/>
      <c r="S717" s="13"/>
      <c r="T717" s="13"/>
      <c r="U717" s="13"/>
      <c r="V717" s="15"/>
      <c r="W717" s="15"/>
      <c r="X717" s="15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5"/>
      <c r="H718" s="13"/>
      <c r="I718" s="13"/>
      <c r="J718" s="13"/>
      <c r="K718" s="13"/>
      <c r="L718" s="14"/>
      <c r="M718" s="13"/>
      <c r="N718" s="15"/>
      <c r="O718" s="15"/>
      <c r="P718" s="13"/>
      <c r="Q718" s="13"/>
      <c r="R718" s="13"/>
      <c r="S718" s="13"/>
      <c r="T718" s="13"/>
      <c r="U718" s="13"/>
      <c r="V718" s="15"/>
      <c r="W718" s="15"/>
      <c r="X718" s="15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5"/>
      <c r="H719" s="13"/>
      <c r="I719" s="13"/>
      <c r="J719" s="13"/>
      <c r="K719" s="13"/>
      <c r="L719" s="14"/>
      <c r="M719" s="13"/>
      <c r="N719" s="15"/>
      <c r="O719" s="15"/>
      <c r="P719" s="13"/>
      <c r="Q719" s="13"/>
      <c r="R719" s="13"/>
      <c r="S719" s="13"/>
      <c r="T719" s="13"/>
      <c r="U719" s="13"/>
      <c r="V719" s="15"/>
      <c r="W719" s="15"/>
      <c r="X719" s="15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5"/>
      <c r="H720" s="13"/>
      <c r="I720" s="13"/>
      <c r="J720" s="13"/>
      <c r="K720" s="13"/>
      <c r="L720" s="14"/>
      <c r="M720" s="13"/>
      <c r="N720" s="15"/>
      <c r="O720" s="15"/>
      <c r="P720" s="13"/>
      <c r="Q720" s="13"/>
      <c r="R720" s="13"/>
      <c r="S720" s="13"/>
      <c r="T720" s="13"/>
      <c r="U720" s="13"/>
      <c r="V720" s="15"/>
      <c r="W720" s="15"/>
      <c r="X720" s="15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5"/>
      <c r="H721" s="13"/>
      <c r="I721" s="13"/>
      <c r="J721" s="13"/>
      <c r="K721" s="13"/>
      <c r="L721" s="14"/>
      <c r="M721" s="13"/>
      <c r="N721" s="15"/>
      <c r="O721" s="15"/>
      <c r="P721" s="13"/>
      <c r="Q721" s="13"/>
      <c r="R721" s="13"/>
      <c r="S721" s="13"/>
      <c r="T721" s="13"/>
      <c r="U721" s="13"/>
      <c r="V721" s="15"/>
      <c r="W721" s="15"/>
      <c r="X721" s="15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5"/>
      <c r="H722" s="13"/>
      <c r="I722" s="13"/>
      <c r="J722" s="13"/>
      <c r="K722" s="13"/>
      <c r="L722" s="14"/>
      <c r="M722" s="13"/>
      <c r="N722" s="15"/>
      <c r="O722" s="15"/>
      <c r="P722" s="13"/>
      <c r="Q722" s="13"/>
      <c r="R722" s="13"/>
      <c r="S722" s="13"/>
      <c r="T722" s="13"/>
      <c r="U722" s="13"/>
      <c r="V722" s="15"/>
      <c r="W722" s="15"/>
      <c r="X722" s="15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5"/>
      <c r="H723" s="13"/>
      <c r="I723" s="13"/>
      <c r="J723" s="13"/>
      <c r="K723" s="13"/>
      <c r="L723" s="14"/>
      <c r="M723" s="13"/>
      <c r="N723" s="15"/>
      <c r="O723" s="15"/>
      <c r="P723" s="13"/>
      <c r="Q723" s="13"/>
      <c r="R723" s="13"/>
      <c r="S723" s="13"/>
      <c r="T723" s="13"/>
      <c r="U723" s="13"/>
      <c r="V723" s="15"/>
      <c r="W723" s="15"/>
      <c r="X723" s="15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5"/>
      <c r="H724" s="13"/>
      <c r="I724" s="13"/>
      <c r="J724" s="13"/>
      <c r="K724" s="13"/>
      <c r="L724" s="14"/>
      <c r="M724" s="13"/>
      <c r="N724" s="15"/>
      <c r="O724" s="15"/>
      <c r="P724" s="13"/>
      <c r="Q724" s="13"/>
      <c r="R724" s="13"/>
      <c r="S724" s="13"/>
      <c r="T724" s="13"/>
      <c r="U724" s="13"/>
      <c r="V724" s="15"/>
      <c r="W724" s="15"/>
      <c r="X724" s="15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5"/>
      <c r="H725" s="13"/>
      <c r="I725" s="13"/>
      <c r="J725" s="13"/>
      <c r="K725" s="13"/>
      <c r="L725" s="14"/>
      <c r="M725" s="13"/>
      <c r="N725" s="15"/>
      <c r="O725" s="15"/>
      <c r="P725" s="13"/>
      <c r="Q725" s="13"/>
      <c r="R725" s="13"/>
      <c r="S725" s="13"/>
      <c r="T725" s="13"/>
      <c r="U725" s="13"/>
      <c r="V725" s="15"/>
      <c r="W725" s="15"/>
      <c r="X725" s="15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5"/>
      <c r="H726" s="13"/>
      <c r="I726" s="13"/>
      <c r="J726" s="13"/>
      <c r="K726" s="13"/>
      <c r="L726" s="14"/>
      <c r="M726" s="13"/>
      <c r="N726" s="15"/>
      <c r="O726" s="15"/>
      <c r="P726" s="13"/>
      <c r="Q726" s="13"/>
      <c r="R726" s="13"/>
      <c r="S726" s="13"/>
      <c r="T726" s="13"/>
      <c r="U726" s="13"/>
      <c r="V726" s="15"/>
      <c r="W726" s="15"/>
      <c r="X726" s="15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5"/>
      <c r="H727" s="13"/>
      <c r="I727" s="13"/>
      <c r="J727" s="13"/>
      <c r="K727" s="13"/>
      <c r="L727" s="14"/>
      <c r="M727" s="13"/>
      <c r="N727" s="15"/>
      <c r="O727" s="15"/>
      <c r="P727" s="13"/>
      <c r="Q727" s="13"/>
      <c r="R727" s="13"/>
      <c r="S727" s="13"/>
      <c r="T727" s="13"/>
      <c r="U727" s="13"/>
      <c r="V727" s="15"/>
      <c r="W727" s="15"/>
      <c r="X727" s="15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5"/>
      <c r="H728" s="13"/>
      <c r="I728" s="13"/>
      <c r="J728" s="13"/>
      <c r="K728" s="13"/>
      <c r="L728" s="14"/>
      <c r="M728" s="13"/>
      <c r="N728" s="15"/>
      <c r="O728" s="15"/>
      <c r="P728" s="13"/>
      <c r="Q728" s="13"/>
      <c r="R728" s="13"/>
      <c r="S728" s="13"/>
      <c r="T728" s="13"/>
      <c r="U728" s="13"/>
      <c r="V728" s="15"/>
      <c r="W728" s="15"/>
      <c r="X728" s="15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5"/>
      <c r="H729" s="13"/>
      <c r="I729" s="13"/>
      <c r="J729" s="13"/>
      <c r="K729" s="13"/>
      <c r="L729" s="14"/>
      <c r="M729" s="13"/>
      <c r="N729" s="15"/>
      <c r="O729" s="15"/>
      <c r="P729" s="13"/>
      <c r="Q729" s="13"/>
      <c r="R729" s="13"/>
      <c r="S729" s="13"/>
      <c r="T729" s="13"/>
      <c r="U729" s="13"/>
      <c r="V729" s="15"/>
      <c r="W729" s="15"/>
      <c r="X729" s="15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5"/>
      <c r="H730" s="13"/>
      <c r="I730" s="13"/>
      <c r="J730" s="13"/>
      <c r="K730" s="13"/>
      <c r="L730" s="14"/>
      <c r="M730" s="13"/>
      <c r="N730" s="15"/>
      <c r="O730" s="15"/>
      <c r="P730" s="13"/>
      <c r="Q730" s="13"/>
      <c r="R730" s="13"/>
      <c r="S730" s="13"/>
      <c r="T730" s="13"/>
      <c r="U730" s="13"/>
      <c r="V730" s="15"/>
      <c r="W730" s="15"/>
      <c r="X730" s="15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5"/>
      <c r="H731" s="13"/>
      <c r="I731" s="13"/>
      <c r="J731" s="13"/>
      <c r="K731" s="13"/>
      <c r="L731" s="14"/>
      <c r="M731" s="13"/>
      <c r="N731" s="15"/>
      <c r="O731" s="15"/>
      <c r="P731" s="13"/>
      <c r="Q731" s="13"/>
      <c r="R731" s="13"/>
      <c r="S731" s="13"/>
      <c r="T731" s="13"/>
      <c r="U731" s="13"/>
      <c r="V731" s="15"/>
      <c r="W731" s="15"/>
      <c r="X731" s="15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5"/>
      <c r="H732" s="13"/>
      <c r="I732" s="13"/>
      <c r="J732" s="13"/>
      <c r="K732" s="13"/>
      <c r="L732" s="14"/>
      <c r="M732" s="13"/>
      <c r="N732" s="15"/>
      <c r="O732" s="15"/>
      <c r="P732" s="13"/>
      <c r="Q732" s="13"/>
      <c r="R732" s="13"/>
      <c r="S732" s="13"/>
      <c r="T732" s="13"/>
      <c r="U732" s="13"/>
      <c r="V732" s="15"/>
      <c r="W732" s="15"/>
      <c r="X732" s="15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5"/>
      <c r="H733" s="13"/>
      <c r="I733" s="13"/>
      <c r="J733" s="13"/>
      <c r="K733" s="13"/>
      <c r="L733" s="14"/>
      <c r="M733" s="13"/>
      <c r="N733" s="15"/>
      <c r="O733" s="15"/>
      <c r="P733" s="13"/>
      <c r="Q733" s="13"/>
      <c r="R733" s="13"/>
      <c r="S733" s="13"/>
      <c r="T733" s="13"/>
      <c r="U733" s="13"/>
      <c r="V733" s="15"/>
      <c r="W733" s="15"/>
      <c r="X733" s="15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5"/>
      <c r="H734" s="13"/>
      <c r="I734" s="13"/>
      <c r="J734" s="13"/>
      <c r="K734" s="13"/>
      <c r="L734" s="14"/>
      <c r="M734" s="13"/>
      <c r="N734" s="15"/>
      <c r="O734" s="15"/>
      <c r="P734" s="13"/>
      <c r="Q734" s="13"/>
      <c r="R734" s="13"/>
      <c r="S734" s="13"/>
      <c r="T734" s="13"/>
      <c r="U734" s="13"/>
      <c r="V734" s="15"/>
      <c r="W734" s="15"/>
      <c r="X734" s="15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5"/>
      <c r="H735" s="13"/>
      <c r="I735" s="13"/>
      <c r="J735" s="13"/>
      <c r="K735" s="13"/>
      <c r="L735" s="14"/>
      <c r="M735" s="13"/>
      <c r="N735" s="15"/>
      <c r="O735" s="15"/>
      <c r="P735" s="13"/>
      <c r="Q735" s="13"/>
      <c r="R735" s="13"/>
      <c r="S735" s="13"/>
      <c r="T735" s="13"/>
      <c r="U735" s="13"/>
      <c r="V735" s="15"/>
      <c r="W735" s="15"/>
      <c r="X735" s="15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5"/>
      <c r="H736" s="13"/>
      <c r="I736" s="13"/>
      <c r="J736" s="13"/>
      <c r="K736" s="13"/>
      <c r="L736" s="14"/>
      <c r="M736" s="13"/>
      <c r="N736" s="15"/>
      <c r="O736" s="15"/>
      <c r="P736" s="13"/>
      <c r="Q736" s="13"/>
      <c r="R736" s="13"/>
      <c r="S736" s="13"/>
      <c r="T736" s="13"/>
      <c r="U736" s="13"/>
      <c r="V736" s="15"/>
      <c r="W736" s="15"/>
      <c r="X736" s="15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5"/>
      <c r="H737" s="13"/>
      <c r="I737" s="13"/>
      <c r="J737" s="13"/>
      <c r="K737" s="13"/>
      <c r="L737" s="14"/>
      <c r="M737" s="13"/>
      <c r="N737" s="15"/>
      <c r="O737" s="15"/>
      <c r="P737" s="13"/>
      <c r="Q737" s="13"/>
      <c r="R737" s="13"/>
      <c r="S737" s="13"/>
      <c r="T737" s="13"/>
      <c r="U737" s="13"/>
      <c r="V737" s="15"/>
      <c r="W737" s="15"/>
      <c r="X737" s="15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5"/>
      <c r="H738" s="13"/>
      <c r="I738" s="13"/>
      <c r="J738" s="13"/>
      <c r="K738" s="13"/>
      <c r="L738" s="14"/>
      <c r="M738" s="13"/>
      <c r="N738" s="15"/>
      <c r="O738" s="15"/>
      <c r="P738" s="13"/>
      <c r="Q738" s="13"/>
      <c r="R738" s="13"/>
      <c r="S738" s="13"/>
      <c r="T738" s="13"/>
      <c r="U738" s="13"/>
      <c r="V738" s="15"/>
      <c r="W738" s="15"/>
      <c r="X738" s="15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5"/>
      <c r="H739" s="13"/>
      <c r="I739" s="13"/>
      <c r="J739" s="13"/>
      <c r="K739" s="13"/>
      <c r="L739" s="14"/>
      <c r="M739" s="13"/>
      <c r="N739" s="15"/>
      <c r="O739" s="15"/>
      <c r="P739" s="13"/>
      <c r="Q739" s="13"/>
      <c r="R739" s="13"/>
      <c r="S739" s="13"/>
      <c r="T739" s="13"/>
      <c r="U739" s="13"/>
      <c r="V739" s="15"/>
      <c r="W739" s="15"/>
      <c r="X739" s="15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5"/>
      <c r="H740" s="13"/>
      <c r="I740" s="13"/>
      <c r="J740" s="13"/>
      <c r="K740" s="13"/>
      <c r="L740" s="14"/>
      <c r="M740" s="13"/>
      <c r="N740" s="15"/>
      <c r="O740" s="15"/>
      <c r="P740" s="13"/>
      <c r="Q740" s="13"/>
      <c r="R740" s="13"/>
      <c r="S740" s="13"/>
      <c r="T740" s="13"/>
      <c r="U740" s="13"/>
      <c r="V740" s="15"/>
      <c r="W740" s="15"/>
      <c r="X740" s="15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5"/>
      <c r="H741" s="13"/>
      <c r="I741" s="13"/>
      <c r="J741" s="13"/>
      <c r="K741" s="13"/>
      <c r="L741" s="14"/>
      <c r="M741" s="13"/>
      <c r="N741" s="15"/>
      <c r="O741" s="15"/>
      <c r="P741" s="13"/>
      <c r="Q741" s="13"/>
      <c r="R741" s="13"/>
      <c r="S741" s="13"/>
      <c r="T741" s="13"/>
      <c r="U741" s="13"/>
      <c r="V741" s="15"/>
      <c r="W741" s="15"/>
      <c r="X741" s="15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5"/>
      <c r="H742" s="13"/>
      <c r="I742" s="13"/>
      <c r="J742" s="13"/>
      <c r="K742" s="13"/>
      <c r="L742" s="14"/>
      <c r="M742" s="13"/>
      <c r="N742" s="15"/>
      <c r="O742" s="15"/>
      <c r="P742" s="13"/>
      <c r="Q742" s="13"/>
      <c r="R742" s="13"/>
      <c r="S742" s="13"/>
      <c r="T742" s="13"/>
      <c r="U742" s="13"/>
      <c r="V742" s="15"/>
      <c r="W742" s="15"/>
      <c r="X742" s="15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5"/>
      <c r="H743" s="13"/>
      <c r="I743" s="13"/>
      <c r="J743" s="13"/>
      <c r="K743" s="13"/>
      <c r="L743" s="14"/>
      <c r="M743" s="13"/>
      <c r="N743" s="15"/>
      <c r="O743" s="15"/>
      <c r="P743" s="13"/>
      <c r="Q743" s="13"/>
      <c r="R743" s="13"/>
      <c r="S743" s="13"/>
      <c r="T743" s="13"/>
      <c r="U743" s="13"/>
      <c r="V743" s="15"/>
      <c r="W743" s="15"/>
      <c r="X743" s="15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5"/>
      <c r="H744" s="13"/>
      <c r="I744" s="13"/>
      <c r="J744" s="13"/>
      <c r="K744" s="13"/>
      <c r="L744" s="14"/>
      <c r="M744" s="13"/>
      <c r="N744" s="15"/>
      <c r="O744" s="15"/>
      <c r="P744" s="13"/>
      <c r="Q744" s="13"/>
      <c r="R744" s="13"/>
      <c r="S744" s="13"/>
      <c r="T744" s="13"/>
      <c r="U744" s="13"/>
      <c r="V744" s="15"/>
      <c r="W744" s="15"/>
      <c r="X744" s="15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5"/>
      <c r="H745" s="13"/>
      <c r="I745" s="13"/>
      <c r="J745" s="13"/>
      <c r="K745" s="13"/>
      <c r="L745" s="14"/>
      <c r="M745" s="13"/>
      <c r="N745" s="15"/>
      <c r="O745" s="15"/>
      <c r="P745" s="13"/>
      <c r="Q745" s="13"/>
      <c r="R745" s="13"/>
      <c r="S745" s="13"/>
      <c r="T745" s="13"/>
      <c r="U745" s="13"/>
      <c r="V745" s="15"/>
      <c r="W745" s="15"/>
      <c r="X745" s="15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5"/>
      <c r="H746" s="13"/>
      <c r="I746" s="13"/>
      <c r="J746" s="13"/>
      <c r="K746" s="13"/>
      <c r="L746" s="14"/>
      <c r="M746" s="13"/>
      <c r="N746" s="15"/>
      <c r="O746" s="15"/>
      <c r="P746" s="13"/>
      <c r="Q746" s="13"/>
      <c r="R746" s="13"/>
      <c r="S746" s="13"/>
      <c r="T746" s="13"/>
      <c r="U746" s="13"/>
      <c r="V746" s="15"/>
      <c r="W746" s="15"/>
      <c r="X746" s="15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5"/>
      <c r="H747" s="13"/>
      <c r="I747" s="13"/>
      <c r="J747" s="13"/>
      <c r="K747" s="13"/>
      <c r="L747" s="14"/>
      <c r="M747" s="13"/>
      <c r="N747" s="15"/>
      <c r="O747" s="15"/>
      <c r="P747" s="13"/>
      <c r="Q747" s="13"/>
      <c r="R747" s="13"/>
      <c r="S747" s="13"/>
      <c r="T747" s="13"/>
      <c r="U747" s="13"/>
      <c r="V747" s="15"/>
      <c r="W747" s="15"/>
      <c r="X747" s="15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5"/>
      <c r="H748" s="13"/>
      <c r="I748" s="13"/>
      <c r="J748" s="13"/>
      <c r="K748" s="13"/>
      <c r="L748" s="14"/>
      <c r="M748" s="13"/>
      <c r="N748" s="15"/>
      <c r="O748" s="15"/>
      <c r="P748" s="13"/>
      <c r="Q748" s="13"/>
      <c r="R748" s="13"/>
      <c r="S748" s="13"/>
      <c r="T748" s="13"/>
      <c r="U748" s="13"/>
      <c r="V748" s="15"/>
      <c r="W748" s="15"/>
      <c r="X748" s="15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5"/>
      <c r="H749" s="13"/>
      <c r="I749" s="13"/>
      <c r="J749" s="13"/>
      <c r="K749" s="13"/>
      <c r="L749" s="14"/>
      <c r="M749" s="13"/>
      <c r="N749" s="15"/>
      <c r="O749" s="15"/>
      <c r="P749" s="13"/>
      <c r="Q749" s="13"/>
      <c r="R749" s="13"/>
      <c r="S749" s="13"/>
      <c r="T749" s="13"/>
      <c r="U749" s="13"/>
      <c r="V749" s="15"/>
      <c r="W749" s="15"/>
      <c r="X749" s="15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5"/>
      <c r="H750" s="13"/>
      <c r="I750" s="13"/>
      <c r="J750" s="13"/>
      <c r="K750" s="13"/>
      <c r="L750" s="14"/>
      <c r="M750" s="13"/>
      <c r="N750" s="15"/>
      <c r="O750" s="15"/>
      <c r="P750" s="13"/>
      <c r="Q750" s="13"/>
      <c r="R750" s="13"/>
      <c r="S750" s="13"/>
      <c r="T750" s="13"/>
      <c r="U750" s="13"/>
      <c r="V750" s="15"/>
      <c r="W750" s="15"/>
      <c r="X750" s="15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5"/>
      <c r="H751" s="13"/>
      <c r="I751" s="13"/>
      <c r="J751" s="13"/>
      <c r="K751" s="13"/>
      <c r="L751" s="14"/>
      <c r="M751" s="13"/>
      <c r="N751" s="15"/>
      <c r="O751" s="15"/>
      <c r="P751" s="13"/>
      <c r="Q751" s="13"/>
      <c r="R751" s="13"/>
      <c r="S751" s="13"/>
      <c r="T751" s="13"/>
      <c r="U751" s="13"/>
      <c r="V751" s="15"/>
      <c r="W751" s="15"/>
      <c r="X751" s="15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5"/>
      <c r="H752" s="13"/>
      <c r="I752" s="13"/>
      <c r="J752" s="13"/>
      <c r="K752" s="13"/>
      <c r="L752" s="14"/>
      <c r="M752" s="13"/>
      <c r="N752" s="15"/>
      <c r="O752" s="15"/>
      <c r="P752" s="13"/>
      <c r="Q752" s="13"/>
      <c r="R752" s="13"/>
      <c r="S752" s="13"/>
      <c r="T752" s="13"/>
      <c r="U752" s="13"/>
      <c r="V752" s="15"/>
      <c r="W752" s="15"/>
      <c r="X752" s="15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5"/>
      <c r="H753" s="13"/>
      <c r="I753" s="13"/>
      <c r="J753" s="13"/>
      <c r="K753" s="13"/>
      <c r="L753" s="14"/>
      <c r="M753" s="13"/>
      <c r="N753" s="15"/>
      <c r="O753" s="15"/>
      <c r="P753" s="13"/>
      <c r="Q753" s="13"/>
      <c r="R753" s="13"/>
      <c r="S753" s="13"/>
      <c r="T753" s="13"/>
      <c r="U753" s="13"/>
      <c r="V753" s="15"/>
      <c r="W753" s="15"/>
      <c r="X753" s="15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5"/>
      <c r="H754" s="13"/>
      <c r="I754" s="13"/>
      <c r="J754" s="13"/>
      <c r="K754" s="13"/>
      <c r="L754" s="14"/>
      <c r="M754" s="13"/>
      <c r="N754" s="15"/>
      <c r="O754" s="15"/>
      <c r="P754" s="13"/>
      <c r="Q754" s="13"/>
      <c r="R754" s="13"/>
      <c r="S754" s="13"/>
      <c r="T754" s="13"/>
      <c r="U754" s="13"/>
      <c r="V754" s="15"/>
      <c r="W754" s="15"/>
      <c r="X754" s="15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5"/>
      <c r="H755" s="13"/>
      <c r="I755" s="13"/>
      <c r="J755" s="13"/>
      <c r="K755" s="13"/>
      <c r="L755" s="14"/>
      <c r="M755" s="13"/>
      <c r="N755" s="15"/>
      <c r="O755" s="15"/>
      <c r="P755" s="13"/>
      <c r="Q755" s="13"/>
      <c r="R755" s="13"/>
      <c r="S755" s="13"/>
      <c r="T755" s="13"/>
      <c r="U755" s="13"/>
      <c r="V755" s="15"/>
      <c r="W755" s="15"/>
      <c r="X755" s="15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5"/>
      <c r="H756" s="13"/>
      <c r="I756" s="13"/>
      <c r="J756" s="13"/>
      <c r="K756" s="13"/>
      <c r="L756" s="14"/>
      <c r="M756" s="13"/>
      <c r="N756" s="15"/>
      <c r="O756" s="15"/>
      <c r="P756" s="13"/>
      <c r="Q756" s="13"/>
      <c r="R756" s="13"/>
      <c r="S756" s="13"/>
      <c r="T756" s="13"/>
      <c r="U756" s="13"/>
      <c r="V756" s="15"/>
      <c r="W756" s="15"/>
      <c r="X756" s="15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5"/>
      <c r="H757" s="13"/>
      <c r="I757" s="13"/>
      <c r="J757" s="13"/>
      <c r="K757" s="13"/>
      <c r="L757" s="14"/>
      <c r="M757" s="13"/>
      <c r="N757" s="15"/>
      <c r="O757" s="15"/>
      <c r="P757" s="13"/>
      <c r="Q757" s="13"/>
      <c r="R757" s="13"/>
      <c r="S757" s="13"/>
      <c r="T757" s="13"/>
      <c r="U757" s="13"/>
      <c r="V757" s="15"/>
      <c r="W757" s="15"/>
      <c r="X757" s="15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5"/>
      <c r="H758" s="13"/>
      <c r="I758" s="13"/>
      <c r="J758" s="13"/>
      <c r="K758" s="13"/>
      <c r="L758" s="14"/>
      <c r="M758" s="13"/>
      <c r="N758" s="15"/>
      <c r="O758" s="15"/>
      <c r="P758" s="13"/>
      <c r="Q758" s="13"/>
      <c r="R758" s="13"/>
      <c r="S758" s="13"/>
      <c r="T758" s="13"/>
      <c r="U758" s="13"/>
      <c r="V758" s="15"/>
      <c r="W758" s="15"/>
      <c r="X758" s="15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5"/>
      <c r="H759" s="13"/>
      <c r="I759" s="13"/>
      <c r="J759" s="13"/>
      <c r="K759" s="13"/>
      <c r="L759" s="14"/>
      <c r="M759" s="13"/>
      <c r="N759" s="15"/>
      <c r="O759" s="15"/>
      <c r="P759" s="13"/>
      <c r="Q759" s="13"/>
      <c r="R759" s="13"/>
      <c r="S759" s="13"/>
      <c r="T759" s="13"/>
      <c r="U759" s="13"/>
      <c r="V759" s="15"/>
      <c r="W759" s="15"/>
      <c r="X759" s="15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5"/>
      <c r="H760" s="13"/>
      <c r="I760" s="13"/>
      <c r="J760" s="13"/>
      <c r="K760" s="13"/>
      <c r="L760" s="14"/>
      <c r="M760" s="13"/>
      <c r="N760" s="15"/>
      <c r="O760" s="15"/>
      <c r="P760" s="13"/>
      <c r="Q760" s="13"/>
      <c r="R760" s="13"/>
      <c r="S760" s="13"/>
      <c r="T760" s="13"/>
      <c r="U760" s="13"/>
      <c r="V760" s="15"/>
      <c r="W760" s="15"/>
      <c r="X760" s="15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5"/>
      <c r="H761" s="13"/>
      <c r="I761" s="13"/>
      <c r="J761" s="13"/>
      <c r="K761" s="13"/>
      <c r="L761" s="14"/>
      <c r="M761" s="13"/>
      <c r="N761" s="15"/>
      <c r="O761" s="15"/>
      <c r="P761" s="13"/>
      <c r="Q761" s="13"/>
      <c r="R761" s="13"/>
      <c r="S761" s="13"/>
      <c r="T761" s="13"/>
      <c r="U761" s="13"/>
      <c r="V761" s="15"/>
      <c r="W761" s="15"/>
      <c r="X761" s="15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5"/>
      <c r="H762" s="13"/>
      <c r="I762" s="13"/>
      <c r="J762" s="13"/>
      <c r="K762" s="13"/>
      <c r="L762" s="14"/>
      <c r="M762" s="13"/>
      <c r="N762" s="15"/>
      <c r="O762" s="15"/>
      <c r="P762" s="13"/>
      <c r="Q762" s="13"/>
      <c r="R762" s="13"/>
      <c r="S762" s="13"/>
      <c r="T762" s="13"/>
      <c r="U762" s="13"/>
      <c r="V762" s="15"/>
      <c r="W762" s="15"/>
      <c r="X762" s="15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5"/>
      <c r="H763" s="13"/>
      <c r="I763" s="13"/>
      <c r="J763" s="13"/>
      <c r="K763" s="13"/>
      <c r="L763" s="14"/>
      <c r="M763" s="13"/>
      <c r="N763" s="15"/>
      <c r="O763" s="15"/>
      <c r="P763" s="13"/>
      <c r="Q763" s="13"/>
      <c r="R763" s="13"/>
      <c r="S763" s="13"/>
      <c r="T763" s="13"/>
      <c r="U763" s="13"/>
      <c r="V763" s="15"/>
      <c r="W763" s="15"/>
      <c r="X763" s="15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5"/>
      <c r="H764" s="13"/>
      <c r="I764" s="13"/>
      <c r="J764" s="13"/>
      <c r="K764" s="13"/>
      <c r="L764" s="14"/>
      <c r="M764" s="13"/>
      <c r="N764" s="15"/>
      <c r="O764" s="15"/>
      <c r="P764" s="13"/>
      <c r="Q764" s="13"/>
      <c r="R764" s="13"/>
      <c r="S764" s="13"/>
      <c r="T764" s="13"/>
      <c r="U764" s="13"/>
      <c r="V764" s="15"/>
      <c r="W764" s="15"/>
      <c r="X764" s="15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5"/>
      <c r="H765" s="13"/>
      <c r="I765" s="13"/>
      <c r="J765" s="13"/>
      <c r="K765" s="13"/>
      <c r="L765" s="14"/>
      <c r="M765" s="13"/>
      <c r="N765" s="15"/>
      <c r="O765" s="15"/>
      <c r="P765" s="13"/>
      <c r="Q765" s="13"/>
      <c r="R765" s="13"/>
      <c r="S765" s="13"/>
      <c r="T765" s="13"/>
      <c r="U765" s="13"/>
      <c r="V765" s="15"/>
      <c r="W765" s="15"/>
      <c r="X765" s="15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5"/>
      <c r="H766" s="13"/>
      <c r="I766" s="13"/>
      <c r="J766" s="13"/>
      <c r="K766" s="13"/>
      <c r="L766" s="14"/>
      <c r="M766" s="13"/>
      <c r="N766" s="15"/>
      <c r="O766" s="15"/>
      <c r="P766" s="13"/>
      <c r="Q766" s="13"/>
      <c r="R766" s="13"/>
      <c r="S766" s="13"/>
      <c r="T766" s="13"/>
      <c r="U766" s="13"/>
      <c r="V766" s="15"/>
      <c r="W766" s="15"/>
      <c r="X766" s="15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5"/>
      <c r="H767" s="13"/>
      <c r="I767" s="13"/>
      <c r="J767" s="13"/>
      <c r="K767" s="13"/>
      <c r="L767" s="14"/>
      <c r="M767" s="13"/>
      <c r="N767" s="15"/>
      <c r="O767" s="15"/>
      <c r="P767" s="13"/>
      <c r="Q767" s="13"/>
      <c r="R767" s="13"/>
      <c r="S767" s="13"/>
      <c r="T767" s="13"/>
      <c r="U767" s="13"/>
      <c r="V767" s="15"/>
      <c r="W767" s="15"/>
      <c r="X767" s="15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5"/>
      <c r="H768" s="13"/>
      <c r="I768" s="13"/>
      <c r="J768" s="13"/>
      <c r="K768" s="13"/>
      <c r="L768" s="14"/>
      <c r="M768" s="13"/>
      <c r="N768" s="15"/>
      <c r="O768" s="15"/>
      <c r="P768" s="13"/>
      <c r="Q768" s="13"/>
      <c r="R768" s="13"/>
      <c r="S768" s="13"/>
      <c r="T768" s="13"/>
      <c r="U768" s="13"/>
      <c r="V768" s="15"/>
      <c r="W768" s="15"/>
      <c r="X768" s="15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5"/>
      <c r="H769" s="13"/>
      <c r="I769" s="13"/>
      <c r="J769" s="13"/>
      <c r="K769" s="13"/>
      <c r="L769" s="14"/>
      <c r="M769" s="13"/>
      <c r="N769" s="15"/>
      <c r="O769" s="15"/>
      <c r="P769" s="13"/>
      <c r="Q769" s="13"/>
      <c r="R769" s="13"/>
      <c r="S769" s="13"/>
      <c r="T769" s="13"/>
      <c r="U769" s="13"/>
      <c r="V769" s="15"/>
      <c r="W769" s="15"/>
      <c r="X769" s="15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5"/>
      <c r="H770" s="13"/>
      <c r="I770" s="13"/>
      <c r="J770" s="13"/>
      <c r="K770" s="13"/>
      <c r="L770" s="14"/>
      <c r="M770" s="13"/>
      <c r="N770" s="15"/>
      <c r="O770" s="15"/>
      <c r="P770" s="13"/>
      <c r="Q770" s="13"/>
      <c r="R770" s="13"/>
      <c r="S770" s="13"/>
      <c r="T770" s="13"/>
      <c r="U770" s="13"/>
      <c r="V770" s="15"/>
      <c r="W770" s="15"/>
      <c r="X770" s="15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5"/>
      <c r="H771" s="13"/>
      <c r="I771" s="13"/>
      <c r="J771" s="13"/>
      <c r="K771" s="13"/>
      <c r="L771" s="14"/>
      <c r="M771" s="13"/>
      <c r="N771" s="15"/>
      <c r="O771" s="15"/>
      <c r="P771" s="13"/>
      <c r="Q771" s="13"/>
      <c r="R771" s="13"/>
      <c r="S771" s="13"/>
      <c r="T771" s="13"/>
      <c r="U771" s="13"/>
      <c r="V771" s="15"/>
      <c r="W771" s="15"/>
      <c r="X771" s="15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5"/>
      <c r="H772" s="13"/>
      <c r="I772" s="13"/>
      <c r="J772" s="13"/>
      <c r="K772" s="13"/>
      <c r="L772" s="14"/>
      <c r="M772" s="13"/>
      <c r="N772" s="15"/>
      <c r="O772" s="15"/>
      <c r="P772" s="13"/>
      <c r="Q772" s="13"/>
      <c r="R772" s="13"/>
      <c r="S772" s="13"/>
      <c r="T772" s="13"/>
      <c r="U772" s="13"/>
      <c r="V772" s="15"/>
      <c r="W772" s="15"/>
      <c r="X772" s="15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5"/>
      <c r="H773" s="13"/>
      <c r="I773" s="13"/>
      <c r="J773" s="13"/>
      <c r="K773" s="13"/>
      <c r="L773" s="14"/>
      <c r="M773" s="13"/>
      <c r="N773" s="15"/>
      <c r="O773" s="15"/>
      <c r="P773" s="13"/>
      <c r="Q773" s="13"/>
      <c r="R773" s="13"/>
      <c r="S773" s="13"/>
      <c r="T773" s="13"/>
      <c r="U773" s="13"/>
      <c r="V773" s="15"/>
      <c r="W773" s="15"/>
      <c r="X773" s="15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5"/>
      <c r="H774" s="13"/>
      <c r="I774" s="13"/>
      <c r="J774" s="13"/>
      <c r="K774" s="13"/>
      <c r="L774" s="14"/>
      <c r="M774" s="13"/>
      <c r="N774" s="15"/>
      <c r="O774" s="15"/>
      <c r="P774" s="13"/>
      <c r="Q774" s="13"/>
      <c r="R774" s="13"/>
      <c r="S774" s="13"/>
      <c r="T774" s="13"/>
      <c r="U774" s="13"/>
      <c r="V774" s="15"/>
      <c r="W774" s="15"/>
      <c r="X774" s="15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5"/>
      <c r="H775" s="13"/>
      <c r="I775" s="13"/>
      <c r="J775" s="13"/>
      <c r="K775" s="13"/>
      <c r="L775" s="14"/>
      <c r="M775" s="13"/>
      <c r="N775" s="15"/>
      <c r="O775" s="15"/>
      <c r="P775" s="13"/>
      <c r="Q775" s="13"/>
      <c r="R775" s="13"/>
      <c r="S775" s="13"/>
      <c r="T775" s="13"/>
      <c r="U775" s="13"/>
      <c r="V775" s="15"/>
      <c r="W775" s="15"/>
      <c r="X775" s="15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5"/>
      <c r="H776" s="13"/>
      <c r="I776" s="13"/>
      <c r="J776" s="13"/>
      <c r="K776" s="13"/>
      <c r="L776" s="14"/>
      <c r="M776" s="13"/>
      <c r="N776" s="15"/>
      <c r="O776" s="15"/>
      <c r="P776" s="13"/>
      <c r="Q776" s="13"/>
      <c r="R776" s="13"/>
      <c r="S776" s="13"/>
      <c r="T776" s="13"/>
      <c r="U776" s="13"/>
      <c r="V776" s="15"/>
      <c r="W776" s="15"/>
      <c r="X776" s="15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5"/>
      <c r="H777" s="13"/>
      <c r="I777" s="13"/>
      <c r="J777" s="13"/>
      <c r="K777" s="13"/>
      <c r="L777" s="14"/>
      <c r="M777" s="13"/>
      <c r="N777" s="15"/>
      <c r="O777" s="15"/>
      <c r="P777" s="13"/>
      <c r="Q777" s="13"/>
      <c r="R777" s="13"/>
      <c r="S777" s="13"/>
      <c r="T777" s="13"/>
      <c r="U777" s="13"/>
      <c r="V777" s="15"/>
      <c r="W777" s="15"/>
      <c r="X777" s="15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5"/>
      <c r="H778" s="13"/>
      <c r="I778" s="13"/>
      <c r="J778" s="13"/>
      <c r="K778" s="13"/>
      <c r="L778" s="14"/>
      <c r="M778" s="13"/>
      <c r="N778" s="15"/>
      <c r="O778" s="15"/>
      <c r="P778" s="13"/>
      <c r="Q778" s="13"/>
      <c r="R778" s="13"/>
      <c r="S778" s="13"/>
      <c r="T778" s="13"/>
      <c r="U778" s="13"/>
      <c r="V778" s="15"/>
      <c r="W778" s="15"/>
      <c r="X778" s="15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5"/>
      <c r="H779" s="13"/>
      <c r="I779" s="13"/>
      <c r="J779" s="13"/>
      <c r="K779" s="13"/>
      <c r="L779" s="14"/>
      <c r="M779" s="13"/>
      <c r="N779" s="15"/>
      <c r="O779" s="15"/>
      <c r="P779" s="13"/>
      <c r="Q779" s="13"/>
      <c r="R779" s="13"/>
      <c r="S779" s="13"/>
      <c r="T779" s="13"/>
      <c r="U779" s="13"/>
      <c r="V779" s="15"/>
      <c r="W779" s="15"/>
      <c r="X779" s="15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5"/>
      <c r="H780" s="13"/>
      <c r="I780" s="13"/>
      <c r="J780" s="13"/>
      <c r="K780" s="13"/>
      <c r="L780" s="14"/>
      <c r="M780" s="13"/>
      <c r="N780" s="15"/>
      <c r="O780" s="15"/>
      <c r="P780" s="13"/>
      <c r="Q780" s="13"/>
      <c r="R780" s="13"/>
      <c r="S780" s="13"/>
      <c r="T780" s="13"/>
      <c r="U780" s="13"/>
      <c r="V780" s="15"/>
      <c r="W780" s="15"/>
      <c r="X780" s="15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5"/>
      <c r="H781" s="13"/>
      <c r="I781" s="13"/>
      <c r="J781" s="13"/>
      <c r="K781" s="13"/>
      <c r="L781" s="14"/>
      <c r="M781" s="13"/>
      <c r="N781" s="15"/>
      <c r="O781" s="15"/>
      <c r="P781" s="13"/>
      <c r="Q781" s="13"/>
      <c r="R781" s="13"/>
      <c r="S781" s="13"/>
      <c r="T781" s="13"/>
      <c r="U781" s="13"/>
      <c r="V781" s="15"/>
      <c r="W781" s="15"/>
      <c r="X781" s="15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5"/>
      <c r="H782" s="13"/>
      <c r="I782" s="13"/>
      <c r="J782" s="13"/>
      <c r="K782" s="13"/>
      <c r="L782" s="14"/>
      <c r="M782" s="13"/>
      <c r="N782" s="15"/>
      <c r="O782" s="15"/>
      <c r="P782" s="13"/>
      <c r="Q782" s="13"/>
      <c r="R782" s="13"/>
      <c r="S782" s="13"/>
      <c r="T782" s="13"/>
      <c r="U782" s="13"/>
      <c r="V782" s="15"/>
      <c r="W782" s="15"/>
      <c r="X782" s="15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5"/>
      <c r="H783" s="13"/>
      <c r="I783" s="13"/>
      <c r="J783" s="13"/>
      <c r="K783" s="13"/>
      <c r="L783" s="14"/>
      <c r="M783" s="13"/>
      <c r="N783" s="15"/>
      <c r="O783" s="15"/>
      <c r="P783" s="13"/>
      <c r="Q783" s="13"/>
      <c r="R783" s="13"/>
      <c r="S783" s="13"/>
      <c r="T783" s="13"/>
      <c r="U783" s="13"/>
      <c r="V783" s="15"/>
      <c r="W783" s="15"/>
      <c r="X783" s="15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5"/>
      <c r="H784" s="13"/>
      <c r="I784" s="13"/>
      <c r="J784" s="13"/>
      <c r="K784" s="13"/>
      <c r="L784" s="14"/>
      <c r="M784" s="13"/>
      <c r="N784" s="15"/>
      <c r="O784" s="15"/>
      <c r="P784" s="13"/>
      <c r="Q784" s="13"/>
      <c r="R784" s="13"/>
      <c r="S784" s="13"/>
      <c r="T784" s="13"/>
      <c r="U784" s="13"/>
      <c r="V784" s="15"/>
      <c r="W784" s="15"/>
      <c r="X784" s="15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5"/>
      <c r="H785" s="13"/>
      <c r="I785" s="13"/>
      <c r="J785" s="13"/>
      <c r="K785" s="13"/>
      <c r="L785" s="14"/>
      <c r="M785" s="13"/>
      <c r="N785" s="15"/>
      <c r="O785" s="15"/>
      <c r="P785" s="13"/>
      <c r="Q785" s="13"/>
      <c r="R785" s="13"/>
      <c r="S785" s="13"/>
      <c r="T785" s="13"/>
      <c r="U785" s="13"/>
      <c r="V785" s="15"/>
      <c r="W785" s="15"/>
      <c r="X785" s="15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5"/>
      <c r="H786" s="13"/>
      <c r="I786" s="13"/>
      <c r="J786" s="13"/>
      <c r="K786" s="13"/>
      <c r="L786" s="14"/>
      <c r="M786" s="13"/>
      <c r="N786" s="15"/>
      <c r="O786" s="15"/>
      <c r="P786" s="13"/>
      <c r="Q786" s="13"/>
      <c r="R786" s="13"/>
      <c r="S786" s="13"/>
      <c r="T786" s="13"/>
      <c r="U786" s="13"/>
      <c r="V786" s="15"/>
      <c r="W786" s="15"/>
      <c r="X786" s="15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5"/>
      <c r="H787" s="13"/>
      <c r="I787" s="13"/>
      <c r="J787" s="13"/>
      <c r="K787" s="13"/>
      <c r="L787" s="14"/>
      <c r="M787" s="13"/>
      <c r="N787" s="15"/>
      <c r="O787" s="15"/>
      <c r="P787" s="13"/>
      <c r="Q787" s="13"/>
      <c r="R787" s="13"/>
      <c r="S787" s="13"/>
      <c r="T787" s="13"/>
      <c r="U787" s="13"/>
      <c r="V787" s="15"/>
      <c r="W787" s="15"/>
      <c r="X787" s="15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5"/>
      <c r="H788" s="13"/>
      <c r="I788" s="13"/>
      <c r="J788" s="13"/>
      <c r="K788" s="13"/>
      <c r="L788" s="14"/>
      <c r="M788" s="13"/>
      <c r="N788" s="15"/>
      <c r="O788" s="15"/>
      <c r="P788" s="13"/>
      <c r="Q788" s="13"/>
      <c r="R788" s="13"/>
      <c r="S788" s="13"/>
      <c r="T788" s="13"/>
      <c r="U788" s="13"/>
      <c r="V788" s="15"/>
      <c r="W788" s="15"/>
      <c r="X788" s="15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5"/>
      <c r="H789" s="13"/>
      <c r="I789" s="13"/>
      <c r="J789" s="13"/>
      <c r="K789" s="13"/>
      <c r="L789" s="14"/>
      <c r="M789" s="13"/>
      <c r="N789" s="15"/>
      <c r="O789" s="15"/>
      <c r="P789" s="13"/>
      <c r="Q789" s="13"/>
      <c r="R789" s="13"/>
      <c r="S789" s="13"/>
      <c r="T789" s="13"/>
      <c r="U789" s="13"/>
      <c r="V789" s="15"/>
      <c r="W789" s="15"/>
      <c r="X789" s="15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5"/>
      <c r="H790" s="13"/>
      <c r="I790" s="13"/>
      <c r="J790" s="13"/>
      <c r="K790" s="13"/>
      <c r="L790" s="14"/>
      <c r="M790" s="13"/>
      <c r="N790" s="15"/>
      <c r="O790" s="15"/>
      <c r="P790" s="13"/>
      <c r="Q790" s="13"/>
      <c r="R790" s="13"/>
      <c r="S790" s="13"/>
      <c r="T790" s="13"/>
      <c r="U790" s="13"/>
      <c r="V790" s="15"/>
      <c r="W790" s="15"/>
      <c r="X790" s="15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5"/>
      <c r="H791" s="13"/>
      <c r="I791" s="13"/>
      <c r="J791" s="13"/>
      <c r="K791" s="13"/>
      <c r="L791" s="14"/>
      <c r="M791" s="13"/>
      <c r="N791" s="15"/>
      <c r="O791" s="15"/>
      <c r="P791" s="13"/>
      <c r="Q791" s="13"/>
      <c r="R791" s="13"/>
      <c r="S791" s="13"/>
      <c r="T791" s="13"/>
      <c r="U791" s="13"/>
      <c r="V791" s="15"/>
      <c r="W791" s="15"/>
      <c r="X791" s="15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5"/>
      <c r="H792" s="13"/>
      <c r="I792" s="13"/>
      <c r="J792" s="13"/>
      <c r="K792" s="13"/>
      <c r="L792" s="14"/>
      <c r="M792" s="13"/>
      <c r="N792" s="15"/>
      <c r="O792" s="15"/>
      <c r="P792" s="13"/>
      <c r="Q792" s="13"/>
      <c r="R792" s="13"/>
      <c r="S792" s="13"/>
      <c r="T792" s="13"/>
      <c r="U792" s="13"/>
      <c r="V792" s="15"/>
      <c r="W792" s="15"/>
      <c r="X792" s="15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5"/>
      <c r="H793" s="13"/>
      <c r="I793" s="13"/>
      <c r="J793" s="13"/>
      <c r="K793" s="13"/>
      <c r="L793" s="14"/>
      <c r="M793" s="13"/>
      <c r="N793" s="15"/>
      <c r="O793" s="15"/>
      <c r="P793" s="13"/>
      <c r="Q793" s="13"/>
      <c r="R793" s="13"/>
      <c r="S793" s="13"/>
      <c r="T793" s="13"/>
      <c r="U793" s="13"/>
      <c r="V793" s="15"/>
      <c r="W793" s="15"/>
      <c r="X793" s="15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5"/>
      <c r="H794" s="13"/>
      <c r="I794" s="13"/>
      <c r="J794" s="13"/>
      <c r="K794" s="13"/>
      <c r="L794" s="14"/>
      <c r="M794" s="13"/>
      <c r="N794" s="15"/>
      <c r="O794" s="15"/>
      <c r="P794" s="13"/>
      <c r="Q794" s="13"/>
      <c r="R794" s="13"/>
      <c r="S794" s="13"/>
      <c r="T794" s="13"/>
      <c r="U794" s="13"/>
      <c r="V794" s="15"/>
      <c r="W794" s="15"/>
      <c r="X794" s="15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5"/>
      <c r="H795" s="13"/>
      <c r="I795" s="13"/>
      <c r="J795" s="13"/>
      <c r="K795" s="13"/>
      <c r="L795" s="14"/>
      <c r="M795" s="13"/>
      <c r="N795" s="15"/>
      <c r="O795" s="15"/>
      <c r="P795" s="13"/>
      <c r="Q795" s="13"/>
      <c r="R795" s="13"/>
      <c r="S795" s="13"/>
      <c r="T795" s="13"/>
      <c r="U795" s="13"/>
      <c r="V795" s="15"/>
      <c r="W795" s="15"/>
      <c r="X795" s="15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5"/>
      <c r="H796" s="13"/>
      <c r="I796" s="13"/>
      <c r="J796" s="13"/>
      <c r="K796" s="13"/>
      <c r="L796" s="14"/>
      <c r="M796" s="13"/>
      <c r="N796" s="15"/>
      <c r="O796" s="15"/>
      <c r="P796" s="13"/>
      <c r="Q796" s="13"/>
      <c r="R796" s="13"/>
      <c r="S796" s="13"/>
      <c r="T796" s="13"/>
      <c r="U796" s="13"/>
      <c r="V796" s="15"/>
      <c r="W796" s="15"/>
      <c r="X796" s="15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5"/>
      <c r="H797" s="13"/>
      <c r="I797" s="13"/>
      <c r="J797" s="13"/>
      <c r="K797" s="13"/>
      <c r="L797" s="14"/>
      <c r="M797" s="13"/>
      <c r="N797" s="15"/>
      <c r="O797" s="15"/>
      <c r="P797" s="13"/>
      <c r="Q797" s="13"/>
      <c r="R797" s="13"/>
      <c r="S797" s="13"/>
      <c r="T797" s="13"/>
      <c r="U797" s="13"/>
      <c r="V797" s="15"/>
      <c r="W797" s="15"/>
      <c r="X797" s="15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5"/>
      <c r="H798" s="13"/>
      <c r="I798" s="13"/>
      <c r="J798" s="13"/>
      <c r="K798" s="13"/>
      <c r="L798" s="14"/>
      <c r="M798" s="13"/>
      <c r="N798" s="15"/>
      <c r="O798" s="15"/>
      <c r="P798" s="13"/>
      <c r="Q798" s="13"/>
      <c r="R798" s="13"/>
      <c r="S798" s="13"/>
      <c r="T798" s="13"/>
      <c r="U798" s="13"/>
      <c r="V798" s="15"/>
      <c r="W798" s="15"/>
      <c r="X798" s="15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5"/>
      <c r="H799" s="13"/>
      <c r="I799" s="13"/>
      <c r="J799" s="13"/>
      <c r="K799" s="13"/>
      <c r="L799" s="14"/>
      <c r="M799" s="13"/>
      <c r="N799" s="15"/>
      <c r="O799" s="15"/>
      <c r="P799" s="13"/>
      <c r="Q799" s="13"/>
      <c r="R799" s="13"/>
      <c r="S799" s="13"/>
      <c r="T799" s="13"/>
      <c r="U799" s="13"/>
      <c r="V799" s="15"/>
      <c r="W799" s="15"/>
      <c r="X799" s="15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5"/>
      <c r="H800" s="13"/>
      <c r="I800" s="13"/>
      <c r="J800" s="13"/>
      <c r="K800" s="13"/>
      <c r="L800" s="14"/>
      <c r="M800" s="13"/>
      <c r="N800" s="15"/>
      <c r="O800" s="15"/>
      <c r="P800" s="13"/>
      <c r="Q800" s="13"/>
      <c r="R800" s="13"/>
      <c r="S800" s="13"/>
      <c r="T800" s="13"/>
      <c r="U800" s="13"/>
      <c r="V800" s="15"/>
      <c r="W800" s="15"/>
      <c r="X800" s="15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5"/>
      <c r="H801" s="13"/>
      <c r="I801" s="13"/>
      <c r="J801" s="13"/>
      <c r="K801" s="13"/>
      <c r="L801" s="14"/>
      <c r="M801" s="13"/>
      <c r="N801" s="15"/>
      <c r="O801" s="15"/>
      <c r="P801" s="13"/>
      <c r="Q801" s="13"/>
      <c r="R801" s="13"/>
      <c r="S801" s="13"/>
      <c r="T801" s="13"/>
      <c r="U801" s="13"/>
      <c r="V801" s="15"/>
      <c r="W801" s="15"/>
      <c r="X801" s="15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5"/>
      <c r="H802" s="13"/>
      <c r="I802" s="13"/>
      <c r="J802" s="13"/>
      <c r="K802" s="13"/>
      <c r="L802" s="14"/>
      <c r="M802" s="13"/>
      <c r="N802" s="15"/>
      <c r="O802" s="15"/>
      <c r="P802" s="13"/>
      <c r="Q802" s="13"/>
      <c r="R802" s="13"/>
      <c r="S802" s="13"/>
      <c r="T802" s="13"/>
      <c r="U802" s="13"/>
      <c r="V802" s="15"/>
      <c r="W802" s="15"/>
      <c r="X802" s="15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5"/>
      <c r="H803" s="13"/>
      <c r="I803" s="13"/>
      <c r="J803" s="13"/>
      <c r="K803" s="13"/>
      <c r="L803" s="14"/>
      <c r="M803" s="13"/>
      <c r="N803" s="15"/>
      <c r="O803" s="15"/>
      <c r="P803" s="13"/>
      <c r="Q803" s="13"/>
      <c r="R803" s="13"/>
      <c r="S803" s="13"/>
      <c r="T803" s="13"/>
      <c r="U803" s="13"/>
      <c r="V803" s="15"/>
      <c r="W803" s="15"/>
      <c r="X803" s="15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5"/>
      <c r="H804" s="13"/>
      <c r="I804" s="13"/>
      <c r="J804" s="13"/>
      <c r="K804" s="13"/>
      <c r="L804" s="14"/>
      <c r="M804" s="13"/>
      <c r="N804" s="15"/>
      <c r="O804" s="15"/>
      <c r="P804" s="13"/>
      <c r="Q804" s="13"/>
      <c r="R804" s="13"/>
      <c r="S804" s="13"/>
      <c r="T804" s="13"/>
      <c r="U804" s="13"/>
      <c r="V804" s="15"/>
      <c r="W804" s="15"/>
      <c r="X804" s="15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5"/>
      <c r="H805" s="13"/>
      <c r="I805" s="13"/>
      <c r="J805" s="13"/>
      <c r="K805" s="13"/>
      <c r="L805" s="14"/>
      <c r="M805" s="13"/>
      <c r="N805" s="15"/>
      <c r="O805" s="15"/>
      <c r="P805" s="13"/>
      <c r="Q805" s="13"/>
      <c r="R805" s="13"/>
      <c r="S805" s="13"/>
      <c r="T805" s="13"/>
      <c r="U805" s="13"/>
      <c r="V805" s="15"/>
      <c r="W805" s="15"/>
      <c r="X805" s="15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5"/>
      <c r="H806" s="13"/>
      <c r="I806" s="13"/>
      <c r="J806" s="13"/>
      <c r="K806" s="13"/>
      <c r="L806" s="14"/>
      <c r="M806" s="13"/>
      <c r="N806" s="15"/>
      <c r="O806" s="15"/>
      <c r="P806" s="13"/>
      <c r="Q806" s="13"/>
      <c r="R806" s="13"/>
      <c r="S806" s="13"/>
      <c r="T806" s="13"/>
      <c r="U806" s="13"/>
      <c r="V806" s="15"/>
      <c r="W806" s="15"/>
      <c r="X806" s="15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5"/>
      <c r="H807" s="13"/>
      <c r="I807" s="13"/>
      <c r="J807" s="13"/>
      <c r="K807" s="13"/>
      <c r="L807" s="14"/>
      <c r="M807" s="13"/>
      <c r="N807" s="15"/>
      <c r="O807" s="15"/>
      <c r="P807" s="13"/>
      <c r="Q807" s="13"/>
      <c r="R807" s="13"/>
      <c r="S807" s="13"/>
      <c r="T807" s="13"/>
      <c r="U807" s="13"/>
      <c r="V807" s="15"/>
      <c r="W807" s="15"/>
      <c r="X807" s="15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5"/>
      <c r="H808" s="13"/>
      <c r="I808" s="13"/>
      <c r="J808" s="13"/>
      <c r="K808" s="13"/>
      <c r="L808" s="14"/>
      <c r="M808" s="13"/>
      <c r="N808" s="15"/>
      <c r="O808" s="15"/>
      <c r="P808" s="13"/>
      <c r="Q808" s="13"/>
      <c r="R808" s="13"/>
      <c r="S808" s="13"/>
      <c r="T808" s="13"/>
      <c r="U808" s="13"/>
      <c r="V808" s="15"/>
      <c r="W808" s="15"/>
      <c r="X808" s="15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5"/>
      <c r="H809" s="13"/>
      <c r="I809" s="13"/>
      <c r="J809" s="13"/>
      <c r="K809" s="13"/>
      <c r="L809" s="14"/>
      <c r="M809" s="13"/>
      <c r="N809" s="15"/>
      <c r="O809" s="15"/>
      <c r="P809" s="13"/>
      <c r="Q809" s="13"/>
      <c r="R809" s="13"/>
      <c r="S809" s="13"/>
      <c r="T809" s="13"/>
      <c r="U809" s="13"/>
      <c r="V809" s="15"/>
      <c r="W809" s="15"/>
      <c r="X809" s="15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5"/>
      <c r="H810" s="13"/>
      <c r="I810" s="13"/>
      <c r="J810" s="13"/>
      <c r="K810" s="13"/>
      <c r="L810" s="14"/>
      <c r="M810" s="13"/>
      <c r="N810" s="15"/>
      <c r="O810" s="15"/>
      <c r="P810" s="13"/>
      <c r="Q810" s="13"/>
      <c r="R810" s="13"/>
      <c r="S810" s="13"/>
      <c r="T810" s="13"/>
      <c r="U810" s="13"/>
      <c r="V810" s="15"/>
      <c r="W810" s="15"/>
      <c r="X810" s="15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5"/>
      <c r="H811" s="13"/>
      <c r="I811" s="13"/>
      <c r="J811" s="13"/>
      <c r="K811" s="13"/>
      <c r="L811" s="14"/>
      <c r="M811" s="13"/>
      <c r="N811" s="15"/>
      <c r="O811" s="15"/>
      <c r="P811" s="13"/>
      <c r="Q811" s="13"/>
      <c r="R811" s="13"/>
      <c r="S811" s="13"/>
      <c r="T811" s="13"/>
      <c r="U811" s="13"/>
      <c r="V811" s="15"/>
      <c r="W811" s="15"/>
      <c r="X811" s="15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5"/>
      <c r="H812" s="13"/>
      <c r="I812" s="13"/>
      <c r="J812" s="13"/>
      <c r="K812" s="13"/>
      <c r="L812" s="14"/>
      <c r="M812" s="13"/>
      <c r="N812" s="15"/>
      <c r="O812" s="15"/>
      <c r="P812" s="13"/>
      <c r="Q812" s="13"/>
      <c r="R812" s="13"/>
      <c r="S812" s="13"/>
      <c r="T812" s="13"/>
      <c r="U812" s="13"/>
      <c r="V812" s="15"/>
      <c r="W812" s="15"/>
      <c r="X812" s="15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5"/>
      <c r="H813" s="13"/>
      <c r="I813" s="13"/>
      <c r="J813" s="13"/>
      <c r="K813" s="13"/>
      <c r="L813" s="14"/>
      <c r="M813" s="13"/>
      <c r="N813" s="15"/>
      <c r="O813" s="15"/>
      <c r="P813" s="13"/>
      <c r="Q813" s="13"/>
      <c r="R813" s="13"/>
      <c r="S813" s="13"/>
      <c r="T813" s="13"/>
      <c r="U813" s="13"/>
      <c r="V813" s="15"/>
      <c r="W813" s="15"/>
      <c r="X813" s="15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5"/>
      <c r="H814" s="13"/>
      <c r="I814" s="13"/>
      <c r="J814" s="13"/>
      <c r="K814" s="13"/>
      <c r="L814" s="14"/>
      <c r="M814" s="13"/>
      <c r="N814" s="15"/>
      <c r="O814" s="15"/>
      <c r="P814" s="13"/>
      <c r="Q814" s="13"/>
      <c r="R814" s="13"/>
      <c r="S814" s="13"/>
      <c r="T814" s="13"/>
      <c r="U814" s="13"/>
      <c r="V814" s="15"/>
      <c r="W814" s="15"/>
      <c r="X814" s="15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5"/>
      <c r="H815" s="13"/>
      <c r="I815" s="13"/>
      <c r="J815" s="13"/>
      <c r="K815" s="13"/>
      <c r="L815" s="14"/>
      <c r="M815" s="13"/>
      <c r="N815" s="15"/>
      <c r="O815" s="15"/>
      <c r="P815" s="13"/>
      <c r="Q815" s="13"/>
      <c r="R815" s="13"/>
      <c r="S815" s="13"/>
      <c r="T815" s="13"/>
      <c r="U815" s="13"/>
      <c r="V815" s="15"/>
      <c r="W815" s="15"/>
      <c r="X815" s="15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5"/>
      <c r="H816" s="13"/>
      <c r="I816" s="13"/>
      <c r="J816" s="13"/>
      <c r="K816" s="13"/>
      <c r="L816" s="14"/>
      <c r="M816" s="13"/>
      <c r="N816" s="15"/>
      <c r="O816" s="15"/>
      <c r="P816" s="13"/>
      <c r="Q816" s="13"/>
      <c r="R816" s="13"/>
      <c r="S816" s="13"/>
      <c r="T816" s="13"/>
      <c r="U816" s="13"/>
      <c r="V816" s="15"/>
      <c r="W816" s="15"/>
      <c r="X816" s="15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5"/>
      <c r="H817" s="13"/>
      <c r="I817" s="13"/>
      <c r="J817" s="13"/>
      <c r="K817" s="13"/>
      <c r="L817" s="14"/>
      <c r="M817" s="13"/>
      <c r="N817" s="15"/>
      <c r="O817" s="15"/>
      <c r="P817" s="13"/>
      <c r="Q817" s="13"/>
      <c r="R817" s="13"/>
      <c r="S817" s="13"/>
      <c r="T817" s="13"/>
      <c r="U817" s="13"/>
      <c r="V817" s="15"/>
      <c r="W817" s="15"/>
      <c r="X817" s="15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5"/>
      <c r="H818" s="13"/>
      <c r="I818" s="13"/>
      <c r="J818" s="13"/>
      <c r="K818" s="13"/>
      <c r="L818" s="14"/>
      <c r="M818" s="13"/>
      <c r="N818" s="15"/>
      <c r="O818" s="15"/>
      <c r="P818" s="13"/>
      <c r="Q818" s="13"/>
      <c r="R818" s="13"/>
      <c r="S818" s="13"/>
      <c r="T818" s="13"/>
      <c r="U818" s="13"/>
      <c r="V818" s="15"/>
      <c r="W818" s="15"/>
      <c r="X818" s="15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5"/>
      <c r="H819" s="13"/>
      <c r="I819" s="13"/>
      <c r="J819" s="13"/>
      <c r="K819" s="13"/>
      <c r="L819" s="14"/>
      <c r="M819" s="13"/>
      <c r="N819" s="15"/>
      <c r="O819" s="15"/>
      <c r="P819" s="13"/>
      <c r="Q819" s="13"/>
      <c r="R819" s="13"/>
      <c r="S819" s="13"/>
      <c r="T819" s="13"/>
      <c r="U819" s="13"/>
      <c r="V819" s="15"/>
      <c r="W819" s="15"/>
      <c r="X819" s="15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5"/>
      <c r="H820" s="13"/>
      <c r="I820" s="13"/>
      <c r="J820" s="13"/>
      <c r="K820" s="13"/>
      <c r="L820" s="14"/>
      <c r="M820" s="13"/>
      <c r="N820" s="15"/>
      <c r="O820" s="15"/>
      <c r="P820" s="13"/>
      <c r="Q820" s="13"/>
      <c r="R820" s="13"/>
      <c r="S820" s="13"/>
      <c r="T820" s="13"/>
      <c r="U820" s="13"/>
      <c r="V820" s="15"/>
      <c r="W820" s="15"/>
      <c r="X820" s="15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5"/>
      <c r="H821" s="13"/>
      <c r="I821" s="13"/>
      <c r="J821" s="13"/>
      <c r="K821" s="13"/>
      <c r="L821" s="14"/>
      <c r="M821" s="13"/>
      <c r="N821" s="15"/>
      <c r="O821" s="15"/>
      <c r="P821" s="13"/>
      <c r="Q821" s="13"/>
      <c r="R821" s="13"/>
      <c r="S821" s="13"/>
      <c r="T821" s="13"/>
      <c r="U821" s="13"/>
      <c r="V821" s="15"/>
      <c r="W821" s="15"/>
      <c r="X821" s="15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5"/>
      <c r="H822" s="13"/>
      <c r="I822" s="13"/>
      <c r="J822" s="13"/>
      <c r="K822" s="13"/>
      <c r="L822" s="14"/>
      <c r="M822" s="13"/>
      <c r="N822" s="15"/>
      <c r="O822" s="15"/>
      <c r="P822" s="13"/>
      <c r="Q822" s="13"/>
      <c r="R822" s="13"/>
      <c r="S822" s="13"/>
      <c r="T822" s="13"/>
      <c r="U822" s="13"/>
      <c r="V822" s="15"/>
      <c r="W822" s="15"/>
      <c r="X822" s="15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5"/>
      <c r="H823" s="13"/>
      <c r="I823" s="13"/>
      <c r="J823" s="13"/>
      <c r="K823" s="13"/>
      <c r="L823" s="14"/>
      <c r="M823" s="13"/>
      <c r="N823" s="15"/>
      <c r="O823" s="15"/>
      <c r="P823" s="13"/>
      <c r="Q823" s="13"/>
      <c r="R823" s="13"/>
      <c r="S823" s="13"/>
      <c r="T823" s="13"/>
      <c r="U823" s="13"/>
      <c r="V823" s="15"/>
      <c r="W823" s="15"/>
      <c r="X823" s="15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5"/>
      <c r="H824" s="13"/>
      <c r="I824" s="13"/>
      <c r="J824" s="13"/>
      <c r="K824" s="13"/>
      <c r="L824" s="14"/>
      <c r="M824" s="13"/>
      <c r="N824" s="15"/>
      <c r="O824" s="15"/>
      <c r="P824" s="13"/>
      <c r="Q824" s="13"/>
      <c r="R824" s="13"/>
      <c r="S824" s="13"/>
      <c r="T824" s="13"/>
      <c r="U824" s="13"/>
      <c r="V824" s="15"/>
      <c r="W824" s="15"/>
      <c r="X824" s="15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5"/>
      <c r="H825" s="13"/>
      <c r="I825" s="13"/>
      <c r="J825" s="13"/>
      <c r="K825" s="13"/>
      <c r="L825" s="14"/>
      <c r="M825" s="13"/>
      <c r="N825" s="15"/>
      <c r="O825" s="15"/>
      <c r="P825" s="13"/>
      <c r="Q825" s="13"/>
      <c r="R825" s="13"/>
      <c r="S825" s="13"/>
      <c r="T825" s="13"/>
      <c r="U825" s="13"/>
      <c r="V825" s="15"/>
      <c r="W825" s="15"/>
      <c r="X825" s="15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5"/>
      <c r="H826" s="13"/>
      <c r="I826" s="13"/>
      <c r="J826" s="13"/>
      <c r="K826" s="13"/>
      <c r="L826" s="14"/>
      <c r="M826" s="13"/>
      <c r="N826" s="15"/>
      <c r="O826" s="15"/>
      <c r="P826" s="13"/>
      <c r="Q826" s="13"/>
      <c r="R826" s="13"/>
      <c r="S826" s="13"/>
      <c r="T826" s="13"/>
      <c r="U826" s="13"/>
      <c r="V826" s="15"/>
      <c r="W826" s="15"/>
      <c r="X826" s="15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5"/>
      <c r="H827" s="13"/>
      <c r="I827" s="13"/>
      <c r="J827" s="13"/>
      <c r="K827" s="13"/>
      <c r="L827" s="14"/>
      <c r="M827" s="13"/>
      <c r="N827" s="15"/>
      <c r="O827" s="15"/>
      <c r="P827" s="13"/>
      <c r="Q827" s="13"/>
      <c r="R827" s="13"/>
      <c r="S827" s="13"/>
      <c r="T827" s="13"/>
      <c r="U827" s="13"/>
      <c r="V827" s="15"/>
      <c r="W827" s="15"/>
      <c r="X827" s="15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5"/>
      <c r="H828" s="13"/>
      <c r="I828" s="13"/>
      <c r="J828" s="13"/>
      <c r="K828" s="13"/>
      <c r="L828" s="14"/>
      <c r="M828" s="13"/>
      <c r="N828" s="15"/>
      <c r="O828" s="15"/>
      <c r="P828" s="13"/>
      <c r="Q828" s="13"/>
      <c r="R828" s="13"/>
      <c r="S828" s="13"/>
      <c r="T828" s="13"/>
      <c r="U828" s="13"/>
      <c r="V828" s="15"/>
      <c r="W828" s="15"/>
      <c r="X828" s="15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5"/>
      <c r="H829" s="13"/>
      <c r="I829" s="13"/>
      <c r="J829" s="13"/>
      <c r="K829" s="13"/>
      <c r="L829" s="14"/>
      <c r="M829" s="13"/>
      <c r="N829" s="15"/>
      <c r="O829" s="15"/>
      <c r="P829" s="13"/>
      <c r="Q829" s="13"/>
      <c r="R829" s="13"/>
      <c r="S829" s="13"/>
      <c r="T829" s="13"/>
      <c r="U829" s="13"/>
      <c r="V829" s="15"/>
      <c r="W829" s="15"/>
      <c r="X829" s="15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5"/>
      <c r="H830" s="13"/>
      <c r="I830" s="13"/>
      <c r="J830" s="13"/>
      <c r="K830" s="13"/>
      <c r="L830" s="14"/>
      <c r="M830" s="13"/>
      <c r="N830" s="15"/>
      <c r="O830" s="15"/>
      <c r="P830" s="13"/>
      <c r="Q830" s="13"/>
      <c r="R830" s="13"/>
      <c r="S830" s="13"/>
      <c r="T830" s="13"/>
      <c r="U830" s="13"/>
      <c r="V830" s="15"/>
      <c r="W830" s="15"/>
      <c r="X830" s="15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5"/>
      <c r="H831" s="13"/>
      <c r="I831" s="13"/>
      <c r="J831" s="13"/>
      <c r="K831" s="13"/>
      <c r="L831" s="14"/>
      <c r="M831" s="13"/>
      <c r="N831" s="15"/>
      <c r="O831" s="15"/>
      <c r="P831" s="13"/>
      <c r="Q831" s="13"/>
      <c r="R831" s="13"/>
      <c r="S831" s="13"/>
      <c r="T831" s="13"/>
      <c r="U831" s="13"/>
      <c r="V831" s="15"/>
      <c r="W831" s="15"/>
      <c r="X831" s="15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5"/>
      <c r="H832" s="13"/>
      <c r="I832" s="13"/>
      <c r="J832" s="13"/>
      <c r="K832" s="13"/>
      <c r="L832" s="14"/>
      <c r="M832" s="13"/>
      <c r="N832" s="15"/>
      <c r="O832" s="15"/>
      <c r="P832" s="13"/>
      <c r="Q832" s="13"/>
      <c r="R832" s="13"/>
      <c r="S832" s="13"/>
      <c r="T832" s="13"/>
      <c r="U832" s="13"/>
      <c r="V832" s="15"/>
      <c r="W832" s="15"/>
      <c r="X832" s="15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5"/>
      <c r="H833" s="13"/>
      <c r="I833" s="13"/>
      <c r="J833" s="13"/>
      <c r="K833" s="13"/>
      <c r="L833" s="14"/>
      <c r="M833" s="13"/>
      <c r="N833" s="15"/>
      <c r="O833" s="15"/>
      <c r="P833" s="13"/>
      <c r="Q833" s="13"/>
      <c r="R833" s="13"/>
      <c r="S833" s="13"/>
      <c r="T833" s="13"/>
      <c r="U833" s="13"/>
      <c r="V833" s="15"/>
      <c r="W833" s="15"/>
      <c r="X833" s="15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5"/>
      <c r="H834" s="13"/>
      <c r="I834" s="13"/>
      <c r="J834" s="13"/>
      <c r="K834" s="13"/>
      <c r="L834" s="14"/>
      <c r="M834" s="13"/>
      <c r="N834" s="15"/>
      <c r="O834" s="15"/>
      <c r="P834" s="13"/>
      <c r="Q834" s="13"/>
      <c r="R834" s="13"/>
      <c r="S834" s="13"/>
      <c r="T834" s="13"/>
      <c r="U834" s="13"/>
      <c r="V834" s="15"/>
      <c r="W834" s="15"/>
      <c r="X834" s="15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5"/>
      <c r="H835" s="13"/>
      <c r="I835" s="13"/>
      <c r="J835" s="13"/>
      <c r="K835" s="13"/>
      <c r="L835" s="14"/>
      <c r="M835" s="13"/>
      <c r="N835" s="15"/>
      <c r="O835" s="15"/>
      <c r="P835" s="13"/>
      <c r="Q835" s="13"/>
      <c r="R835" s="13"/>
      <c r="S835" s="13"/>
      <c r="T835" s="13"/>
      <c r="U835" s="13"/>
      <c r="V835" s="15"/>
      <c r="W835" s="15"/>
      <c r="X835" s="15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5"/>
      <c r="H836" s="13"/>
      <c r="I836" s="13"/>
      <c r="J836" s="13"/>
      <c r="K836" s="13"/>
      <c r="L836" s="14"/>
      <c r="M836" s="13"/>
      <c r="N836" s="15"/>
      <c r="O836" s="15"/>
      <c r="P836" s="13"/>
      <c r="Q836" s="13"/>
      <c r="R836" s="13"/>
      <c r="S836" s="13"/>
      <c r="T836" s="13"/>
      <c r="U836" s="13"/>
      <c r="V836" s="15"/>
      <c r="W836" s="15"/>
      <c r="X836" s="15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5"/>
      <c r="H837" s="13"/>
      <c r="I837" s="13"/>
      <c r="J837" s="13"/>
      <c r="K837" s="13"/>
      <c r="L837" s="14"/>
      <c r="M837" s="13"/>
      <c r="N837" s="15"/>
      <c r="O837" s="15"/>
      <c r="P837" s="13"/>
      <c r="Q837" s="13"/>
      <c r="R837" s="13"/>
      <c r="S837" s="13"/>
      <c r="T837" s="13"/>
      <c r="U837" s="13"/>
      <c r="V837" s="15"/>
      <c r="W837" s="15"/>
      <c r="X837" s="15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5"/>
      <c r="H838" s="13"/>
      <c r="I838" s="13"/>
      <c r="J838" s="13"/>
      <c r="K838" s="13"/>
      <c r="L838" s="14"/>
      <c r="M838" s="13"/>
      <c r="N838" s="15"/>
      <c r="O838" s="15"/>
      <c r="P838" s="13"/>
      <c r="Q838" s="13"/>
      <c r="R838" s="13"/>
      <c r="S838" s="13"/>
      <c r="T838" s="13"/>
      <c r="U838" s="13"/>
      <c r="V838" s="15"/>
      <c r="W838" s="15"/>
      <c r="X838" s="15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5"/>
      <c r="H839" s="13"/>
      <c r="I839" s="13"/>
      <c r="J839" s="13"/>
      <c r="K839" s="13"/>
      <c r="L839" s="14"/>
      <c r="M839" s="13"/>
      <c r="N839" s="15"/>
      <c r="O839" s="15"/>
      <c r="P839" s="13"/>
      <c r="Q839" s="13"/>
      <c r="R839" s="13"/>
      <c r="S839" s="13"/>
      <c r="T839" s="13"/>
      <c r="U839" s="13"/>
      <c r="V839" s="15"/>
      <c r="W839" s="15"/>
      <c r="X839" s="15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5"/>
      <c r="H840" s="13"/>
      <c r="I840" s="13"/>
      <c r="J840" s="13"/>
      <c r="K840" s="13"/>
      <c r="L840" s="14"/>
      <c r="M840" s="13"/>
      <c r="N840" s="15"/>
      <c r="O840" s="15"/>
      <c r="P840" s="13"/>
      <c r="Q840" s="13"/>
      <c r="R840" s="13"/>
      <c r="S840" s="13"/>
      <c r="T840" s="13"/>
      <c r="U840" s="13"/>
      <c r="V840" s="15"/>
      <c r="W840" s="15"/>
      <c r="X840" s="15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5"/>
      <c r="H841" s="13"/>
      <c r="I841" s="13"/>
      <c r="J841" s="13"/>
      <c r="K841" s="13"/>
      <c r="L841" s="14"/>
      <c r="M841" s="13"/>
      <c r="N841" s="15"/>
      <c r="O841" s="15"/>
      <c r="P841" s="13"/>
      <c r="Q841" s="13"/>
      <c r="R841" s="13"/>
      <c r="S841" s="13"/>
      <c r="T841" s="13"/>
      <c r="U841" s="13"/>
      <c r="V841" s="15"/>
      <c r="W841" s="15"/>
      <c r="X841" s="15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5"/>
      <c r="H842" s="13"/>
      <c r="I842" s="13"/>
      <c r="J842" s="13"/>
      <c r="K842" s="13"/>
      <c r="L842" s="14"/>
      <c r="M842" s="13"/>
      <c r="N842" s="15"/>
      <c r="O842" s="15"/>
      <c r="P842" s="13"/>
      <c r="Q842" s="13"/>
      <c r="R842" s="13"/>
      <c r="S842" s="13"/>
      <c r="T842" s="13"/>
      <c r="U842" s="13"/>
      <c r="V842" s="15"/>
      <c r="W842" s="15"/>
      <c r="X842" s="15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5"/>
      <c r="H843" s="13"/>
      <c r="I843" s="13"/>
      <c r="J843" s="13"/>
      <c r="K843" s="13"/>
      <c r="L843" s="14"/>
      <c r="M843" s="13"/>
      <c r="N843" s="15"/>
      <c r="O843" s="15"/>
      <c r="P843" s="13"/>
      <c r="Q843" s="13"/>
      <c r="R843" s="13"/>
      <c r="S843" s="13"/>
      <c r="T843" s="13"/>
      <c r="U843" s="13"/>
      <c r="V843" s="15"/>
      <c r="W843" s="15"/>
      <c r="X843" s="15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5"/>
      <c r="H844" s="13"/>
      <c r="I844" s="13"/>
      <c r="J844" s="13"/>
      <c r="K844" s="13"/>
      <c r="L844" s="14"/>
      <c r="M844" s="13"/>
      <c r="N844" s="15"/>
      <c r="O844" s="15"/>
      <c r="P844" s="13"/>
      <c r="Q844" s="13"/>
      <c r="R844" s="13"/>
      <c r="S844" s="13"/>
      <c r="T844" s="13"/>
      <c r="U844" s="13"/>
      <c r="V844" s="15"/>
      <c r="W844" s="15"/>
      <c r="X844" s="15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5"/>
      <c r="H845" s="13"/>
      <c r="I845" s="13"/>
      <c r="J845" s="13"/>
      <c r="K845" s="13"/>
      <c r="L845" s="14"/>
      <c r="M845" s="13"/>
      <c r="N845" s="15"/>
      <c r="O845" s="15"/>
      <c r="P845" s="13"/>
      <c r="Q845" s="13"/>
      <c r="R845" s="13"/>
      <c r="S845" s="13"/>
      <c r="T845" s="13"/>
      <c r="U845" s="13"/>
      <c r="V845" s="15"/>
      <c r="W845" s="15"/>
      <c r="X845" s="15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5"/>
      <c r="H846" s="13"/>
      <c r="I846" s="13"/>
      <c r="J846" s="13"/>
      <c r="K846" s="13"/>
      <c r="L846" s="14"/>
      <c r="M846" s="13"/>
      <c r="N846" s="15"/>
      <c r="O846" s="15"/>
      <c r="P846" s="13"/>
      <c r="Q846" s="13"/>
      <c r="R846" s="13"/>
      <c r="S846" s="13"/>
      <c r="T846" s="13"/>
      <c r="U846" s="13"/>
      <c r="V846" s="15"/>
      <c r="W846" s="15"/>
      <c r="X846" s="15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5"/>
      <c r="H847" s="13"/>
      <c r="I847" s="13"/>
      <c r="J847" s="13"/>
      <c r="K847" s="13"/>
      <c r="L847" s="14"/>
      <c r="M847" s="13"/>
      <c r="N847" s="15"/>
      <c r="O847" s="15"/>
      <c r="P847" s="13"/>
      <c r="Q847" s="13"/>
      <c r="R847" s="13"/>
      <c r="S847" s="13"/>
      <c r="T847" s="13"/>
      <c r="U847" s="13"/>
      <c r="V847" s="15"/>
      <c r="W847" s="15"/>
      <c r="X847" s="15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5"/>
      <c r="H848" s="13"/>
      <c r="I848" s="13"/>
      <c r="J848" s="13"/>
      <c r="K848" s="13"/>
      <c r="L848" s="14"/>
      <c r="M848" s="13"/>
      <c r="N848" s="15"/>
      <c r="O848" s="15"/>
      <c r="P848" s="13"/>
      <c r="Q848" s="13"/>
      <c r="R848" s="13"/>
      <c r="S848" s="13"/>
      <c r="T848" s="13"/>
      <c r="U848" s="13"/>
      <c r="V848" s="15"/>
      <c r="W848" s="15"/>
      <c r="X848" s="15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5"/>
      <c r="H849" s="13"/>
      <c r="I849" s="13"/>
      <c r="J849" s="13"/>
      <c r="K849" s="13"/>
      <c r="L849" s="14"/>
      <c r="M849" s="13"/>
      <c r="N849" s="15"/>
      <c r="O849" s="15"/>
      <c r="P849" s="13"/>
      <c r="Q849" s="13"/>
      <c r="R849" s="13"/>
      <c r="S849" s="13"/>
      <c r="T849" s="13"/>
      <c r="U849" s="13"/>
      <c r="V849" s="15"/>
      <c r="W849" s="15"/>
      <c r="X849" s="15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5"/>
      <c r="H850" s="13"/>
      <c r="I850" s="13"/>
      <c r="J850" s="13"/>
      <c r="K850" s="13"/>
      <c r="L850" s="14"/>
      <c r="M850" s="13"/>
      <c r="N850" s="15"/>
      <c r="O850" s="15"/>
      <c r="P850" s="13"/>
      <c r="Q850" s="13"/>
      <c r="R850" s="13"/>
      <c r="S850" s="13"/>
      <c r="T850" s="13"/>
      <c r="U850" s="13"/>
      <c r="V850" s="15"/>
      <c r="W850" s="15"/>
      <c r="X850" s="15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5"/>
      <c r="H851" s="13"/>
      <c r="I851" s="13"/>
      <c r="J851" s="13"/>
      <c r="K851" s="13"/>
      <c r="L851" s="14"/>
      <c r="M851" s="13"/>
      <c r="N851" s="15"/>
      <c r="O851" s="15"/>
      <c r="P851" s="13"/>
      <c r="Q851" s="13"/>
      <c r="R851" s="13"/>
      <c r="S851" s="13"/>
      <c r="T851" s="13"/>
      <c r="U851" s="13"/>
      <c r="V851" s="15"/>
      <c r="W851" s="15"/>
      <c r="X851" s="15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5"/>
      <c r="H852" s="13"/>
      <c r="I852" s="13"/>
      <c r="J852" s="13"/>
      <c r="K852" s="13"/>
      <c r="L852" s="14"/>
      <c r="M852" s="13"/>
      <c r="N852" s="15"/>
      <c r="O852" s="15"/>
      <c r="P852" s="13"/>
      <c r="Q852" s="13"/>
      <c r="R852" s="13"/>
      <c r="S852" s="13"/>
      <c r="T852" s="13"/>
      <c r="U852" s="13"/>
      <c r="V852" s="15"/>
      <c r="W852" s="15"/>
      <c r="X852" s="15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5"/>
      <c r="H853" s="13"/>
      <c r="I853" s="13"/>
      <c r="J853" s="13"/>
      <c r="K853" s="13"/>
      <c r="L853" s="14"/>
      <c r="M853" s="13"/>
      <c r="N853" s="15"/>
      <c r="O853" s="15"/>
      <c r="P853" s="13"/>
      <c r="Q853" s="13"/>
      <c r="R853" s="13"/>
      <c r="S853" s="13"/>
      <c r="T853" s="13"/>
      <c r="U853" s="13"/>
      <c r="V853" s="15"/>
      <c r="W853" s="15"/>
      <c r="X853" s="15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5"/>
      <c r="H854" s="13"/>
      <c r="I854" s="13"/>
      <c r="J854" s="13"/>
      <c r="K854" s="13"/>
      <c r="L854" s="14"/>
      <c r="M854" s="13"/>
      <c r="N854" s="15"/>
      <c r="O854" s="15"/>
      <c r="P854" s="13"/>
      <c r="Q854" s="13"/>
      <c r="R854" s="13"/>
      <c r="S854" s="13"/>
      <c r="T854" s="13"/>
      <c r="U854" s="13"/>
      <c r="V854" s="15"/>
      <c r="W854" s="15"/>
      <c r="X854" s="15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5"/>
      <c r="H855" s="13"/>
      <c r="I855" s="13"/>
      <c r="J855" s="13"/>
      <c r="K855" s="13"/>
      <c r="L855" s="14"/>
      <c r="M855" s="13"/>
      <c r="N855" s="15"/>
      <c r="O855" s="15"/>
      <c r="P855" s="13"/>
      <c r="Q855" s="13"/>
      <c r="R855" s="13"/>
      <c r="S855" s="13"/>
      <c r="T855" s="13"/>
      <c r="U855" s="13"/>
      <c r="V855" s="15"/>
      <c r="W855" s="15"/>
      <c r="X855" s="15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5"/>
      <c r="H856" s="13"/>
      <c r="I856" s="13"/>
      <c r="J856" s="13"/>
      <c r="K856" s="13"/>
      <c r="L856" s="14"/>
      <c r="M856" s="13"/>
      <c r="N856" s="15"/>
      <c r="O856" s="15"/>
      <c r="P856" s="13"/>
      <c r="Q856" s="13"/>
      <c r="R856" s="13"/>
      <c r="S856" s="13"/>
      <c r="T856" s="13"/>
      <c r="U856" s="13"/>
      <c r="V856" s="15"/>
      <c r="W856" s="15"/>
      <c r="X856" s="15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5"/>
      <c r="H857" s="13"/>
      <c r="I857" s="13"/>
      <c r="J857" s="13"/>
      <c r="K857" s="13"/>
      <c r="L857" s="14"/>
      <c r="M857" s="13"/>
      <c r="N857" s="15"/>
      <c r="O857" s="15"/>
      <c r="P857" s="13"/>
      <c r="Q857" s="13"/>
      <c r="R857" s="13"/>
      <c r="S857" s="13"/>
      <c r="T857" s="13"/>
      <c r="U857" s="13"/>
      <c r="V857" s="15"/>
      <c r="W857" s="15"/>
      <c r="X857" s="15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5"/>
      <c r="H858" s="13"/>
      <c r="I858" s="13"/>
      <c r="J858" s="13"/>
      <c r="K858" s="13"/>
      <c r="L858" s="14"/>
      <c r="M858" s="13"/>
      <c r="N858" s="15"/>
      <c r="O858" s="15"/>
      <c r="P858" s="13"/>
      <c r="Q858" s="13"/>
      <c r="R858" s="13"/>
      <c r="S858" s="13"/>
      <c r="T858" s="13"/>
      <c r="U858" s="13"/>
      <c r="V858" s="15"/>
      <c r="W858" s="15"/>
      <c r="X858" s="15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5"/>
      <c r="H859" s="13"/>
      <c r="I859" s="13"/>
      <c r="J859" s="13"/>
      <c r="K859" s="13"/>
      <c r="L859" s="14"/>
      <c r="M859" s="13"/>
      <c r="N859" s="15"/>
      <c r="O859" s="15"/>
      <c r="P859" s="13"/>
      <c r="Q859" s="13"/>
      <c r="R859" s="13"/>
      <c r="S859" s="13"/>
      <c r="T859" s="13"/>
      <c r="U859" s="13"/>
      <c r="V859" s="15"/>
      <c r="W859" s="15"/>
      <c r="X859" s="15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5"/>
      <c r="H860" s="13"/>
      <c r="I860" s="13"/>
      <c r="J860" s="13"/>
      <c r="K860" s="13"/>
      <c r="L860" s="14"/>
      <c r="M860" s="13"/>
      <c r="N860" s="15"/>
      <c r="O860" s="15"/>
      <c r="P860" s="13"/>
      <c r="Q860" s="13"/>
      <c r="R860" s="13"/>
      <c r="S860" s="13"/>
      <c r="T860" s="13"/>
      <c r="U860" s="13"/>
      <c r="V860" s="15"/>
      <c r="W860" s="15"/>
      <c r="X860" s="15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5"/>
      <c r="H861" s="13"/>
      <c r="I861" s="13"/>
      <c r="J861" s="13"/>
      <c r="K861" s="13"/>
      <c r="L861" s="14"/>
      <c r="M861" s="13"/>
      <c r="N861" s="15"/>
      <c r="O861" s="15"/>
      <c r="P861" s="13"/>
      <c r="Q861" s="13"/>
      <c r="R861" s="13"/>
      <c r="S861" s="13"/>
      <c r="T861" s="13"/>
      <c r="U861" s="13"/>
      <c r="V861" s="15"/>
      <c r="W861" s="15"/>
      <c r="X861" s="15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5"/>
      <c r="H862" s="13"/>
      <c r="I862" s="13"/>
      <c r="J862" s="13"/>
      <c r="K862" s="13"/>
      <c r="L862" s="14"/>
      <c r="M862" s="13"/>
      <c r="N862" s="15"/>
      <c r="O862" s="15"/>
      <c r="P862" s="13"/>
      <c r="Q862" s="13"/>
      <c r="R862" s="13"/>
      <c r="S862" s="13"/>
      <c r="T862" s="13"/>
      <c r="U862" s="13"/>
      <c r="V862" s="15"/>
      <c r="W862" s="15"/>
      <c r="X862" s="15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5"/>
      <c r="H863" s="13"/>
      <c r="I863" s="13"/>
      <c r="J863" s="13"/>
      <c r="K863" s="13"/>
      <c r="L863" s="14"/>
      <c r="M863" s="13"/>
      <c r="N863" s="15"/>
      <c r="O863" s="15"/>
      <c r="P863" s="13"/>
      <c r="Q863" s="13"/>
      <c r="R863" s="13"/>
      <c r="S863" s="13"/>
      <c r="T863" s="13"/>
      <c r="U863" s="13"/>
      <c r="V863" s="15"/>
      <c r="W863" s="15"/>
      <c r="X863" s="15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5"/>
      <c r="H864" s="13"/>
      <c r="I864" s="13"/>
      <c r="J864" s="13"/>
      <c r="K864" s="13"/>
      <c r="L864" s="14"/>
      <c r="M864" s="13"/>
      <c r="N864" s="15"/>
      <c r="O864" s="15"/>
      <c r="P864" s="13"/>
      <c r="Q864" s="13"/>
      <c r="R864" s="13"/>
      <c r="S864" s="13"/>
      <c r="T864" s="13"/>
      <c r="U864" s="13"/>
      <c r="V864" s="15"/>
      <c r="W864" s="15"/>
      <c r="X864" s="15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5"/>
      <c r="H865" s="13"/>
      <c r="I865" s="13"/>
      <c r="J865" s="13"/>
      <c r="K865" s="13"/>
      <c r="L865" s="14"/>
      <c r="M865" s="13"/>
      <c r="N865" s="15"/>
      <c r="O865" s="15"/>
      <c r="P865" s="13"/>
      <c r="Q865" s="13"/>
      <c r="R865" s="13"/>
      <c r="S865" s="13"/>
      <c r="T865" s="13"/>
      <c r="U865" s="13"/>
      <c r="V865" s="15"/>
      <c r="W865" s="15"/>
      <c r="X865" s="15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5"/>
      <c r="H866" s="13"/>
      <c r="I866" s="13"/>
      <c r="J866" s="13"/>
      <c r="K866" s="13"/>
      <c r="L866" s="14"/>
      <c r="M866" s="13"/>
      <c r="N866" s="15"/>
      <c r="O866" s="15"/>
      <c r="P866" s="13"/>
      <c r="Q866" s="13"/>
      <c r="R866" s="13"/>
      <c r="S866" s="13"/>
      <c r="T866" s="13"/>
      <c r="U866" s="13"/>
      <c r="V866" s="15"/>
      <c r="W866" s="15"/>
      <c r="X866" s="15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5"/>
      <c r="H867" s="13"/>
      <c r="I867" s="13"/>
      <c r="J867" s="13"/>
      <c r="K867" s="13"/>
      <c r="L867" s="14"/>
      <c r="M867" s="13"/>
      <c r="N867" s="15"/>
      <c r="O867" s="15"/>
      <c r="P867" s="13"/>
      <c r="Q867" s="13"/>
      <c r="R867" s="13"/>
      <c r="S867" s="13"/>
      <c r="T867" s="13"/>
      <c r="U867" s="13"/>
      <c r="V867" s="15"/>
      <c r="W867" s="15"/>
      <c r="X867" s="15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5"/>
      <c r="H868" s="13"/>
      <c r="I868" s="13"/>
      <c r="J868" s="13"/>
      <c r="K868" s="13"/>
      <c r="L868" s="14"/>
      <c r="M868" s="13"/>
      <c r="N868" s="15"/>
      <c r="O868" s="15"/>
      <c r="P868" s="13"/>
      <c r="Q868" s="13"/>
      <c r="R868" s="13"/>
      <c r="S868" s="13"/>
      <c r="T868" s="13"/>
      <c r="U868" s="13"/>
      <c r="V868" s="15"/>
      <c r="W868" s="15"/>
      <c r="X868" s="15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5"/>
      <c r="H869" s="13"/>
      <c r="I869" s="13"/>
      <c r="J869" s="13"/>
      <c r="K869" s="13"/>
      <c r="L869" s="14"/>
      <c r="M869" s="13"/>
      <c r="N869" s="15"/>
      <c r="O869" s="15"/>
      <c r="P869" s="13"/>
      <c r="Q869" s="13"/>
      <c r="R869" s="13"/>
      <c r="S869" s="13"/>
      <c r="T869" s="13"/>
      <c r="U869" s="13"/>
      <c r="V869" s="15"/>
      <c r="W869" s="15"/>
      <c r="X869" s="15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5"/>
      <c r="H870" s="13"/>
      <c r="I870" s="13"/>
      <c r="J870" s="13"/>
      <c r="K870" s="13"/>
      <c r="L870" s="14"/>
      <c r="M870" s="13"/>
      <c r="N870" s="15"/>
      <c r="O870" s="15"/>
      <c r="P870" s="13"/>
      <c r="Q870" s="13"/>
      <c r="R870" s="13"/>
      <c r="S870" s="13"/>
      <c r="T870" s="13"/>
      <c r="U870" s="13"/>
      <c r="V870" s="15"/>
      <c r="W870" s="15"/>
      <c r="X870" s="15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5"/>
      <c r="H871" s="13"/>
      <c r="I871" s="13"/>
      <c r="J871" s="13"/>
      <c r="K871" s="13"/>
      <c r="L871" s="14"/>
      <c r="M871" s="13"/>
      <c r="N871" s="15"/>
      <c r="O871" s="15"/>
      <c r="P871" s="13"/>
      <c r="Q871" s="13"/>
      <c r="R871" s="13"/>
      <c r="S871" s="13"/>
      <c r="T871" s="13"/>
      <c r="U871" s="13"/>
      <c r="V871" s="15"/>
      <c r="W871" s="15"/>
      <c r="X871" s="15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5"/>
      <c r="H872" s="13"/>
      <c r="I872" s="13"/>
      <c r="J872" s="13"/>
      <c r="K872" s="13"/>
      <c r="L872" s="14"/>
      <c r="M872" s="13"/>
      <c r="N872" s="15"/>
      <c r="O872" s="15"/>
      <c r="P872" s="13"/>
      <c r="Q872" s="13"/>
      <c r="R872" s="13"/>
      <c r="S872" s="13"/>
      <c r="T872" s="13"/>
      <c r="U872" s="13"/>
      <c r="V872" s="15"/>
      <c r="W872" s="15"/>
      <c r="X872" s="15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5"/>
      <c r="H873" s="13"/>
      <c r="I873" s="13"/>
      <c r="J873" s="13"/>
      <c r="K873" s="13"/>
      <c r="L873" s="14"/>
      <c r="M873" s="13"/>
      <c r="N873" s="15"/>
      <c r="O873" s="15"/>
      <c r="P873" s="13"/>
      <c r="Q873" s="13"/>
      <c r="R873" s="13"/>
      <c r="S873" s="13"/>
      <c r="T873" s="13"/>
      <c r="U873" s="13"/>
      <c r="V873" s="15"/>
      <c r="W873" s="15"/>
      <c r="X873" s="15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5"/>
      <c r="H874" s="13"/>
      <c r="I874" s="13"/>
      <c r="J874" s="13"/>
      <c r="K874" s="13"/>
      <c r="L874" s="14"/>
      <c r="M874" s="13"/>
      <c r="N874" s="15"/>
      <c r="O874" s="15"/>
      <c r="P874" s="13"/>
      <c r="Q874" s="13"/>
      <c r="R874" s="13"/>
      <c r="S874" s="13"/>
      <c r="T874" s="13"/>
      <c r="U874" s="13"/>
      <c r="V874" s="15"/>
      <c r="W874" s="15"/>
      <c r="X874" s="15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5"/>
      <c r="H875" s="13"/>
      <c r="I875" s="13"/>
      <c r="J875" s="13"/>
      <c r="K875" s="13"/>
      <c r="L875" s="14"/>
      <c r="M875" s="13"/>
      <c r="N875" s="15"/>
      <c r="O875" s="15"/>
      <c r="P875" s="13"/>
      <c r="Q875" s="13"/>
      <c r="R875" s="13"/>
      <c r="S875" s="13"/>
      <c r="T875" s="13"/>
      <c r="U875" s="13"/>
      <c r="V875" s="15"/>
      <c r="W875" s="15"/>
      <c r="X875" s="15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5"/>
      <c r="H876" s="13"/>
      <c r="I876" s="13"/>
      <c r="J876" s="13"/>
      <c r="K876" s="13"/>
      <c r="L876" s="14"/>
      <c r="M876" s="13"/>
      <c r="N876" s="15"/>
      <c r="O876" s="15"/>
      <c r="P876" s="13"/>
      <c r="Q876" s="13"/>
      <c r="R876" s="13"/>
      <c r="S876" s="13"/>
      <c r="T876" s="13"/>
      <c r="U876" s="13"/>
      <c r="V876" s="15"/>
      <c r="W876" s="15"/>
      <c r="X876" s="15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5"/>
      <c r="H877" s="13"/>
      <c r="I877" s="13"/>
      <c r="J877" s="13"/>
      <c r="K877" s="13"/>
      <c r="L877" s="14"/>
      <c r="M877" s="13"/>
      <c r="N877" s="15"/>
      <c r="O877" s="15"/>
      <c r="P877" s="13"/>
      <c r="Q877" s="13"/>
      <c r="R877" s="13"/>
      <c r="S877" s="13"/>
      <c r="T877" s="13"/>
      <c r="U877" s="13"/>
      <c r="V877" s="15"/>
      <c r="W877" s="15"/>
      <c r="X877" s="15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5"/>
      <c r="H878" s="13"/>
      <c r="I878" s="13"/>
      <c r="J878" s="13"/>
      <c r="K878" s="13"/>
      <c r="L878" s="14"/>
      <c r="M878" s="13"/>
      <c r="N878" s="15"/>
      <c r="O878" s="15"/>
      <c r="P878" s="13"/>
      <c r="Q878" s="13"/>
      <c r="R878" s="13"/>
      <c r="S878" s="13"/>
      <c r="T878" s="13"/>
      <c r="U878" s="13"/>
      <c r="V878" s="15"/>
      <c r="W878" s="15"/>
      <c r="X878" s="15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5"/>
      <c r="H879" s="13"/>
      <c r="I879" s="13"/>
      <c r="J879" s="13"/>
      <c r="K879" s="13"/>
      <c r="L879" s="14"/>
      <c r="M879" s="13"/>
      <c r="N879" s="15"/>
      <c r="O879" s="15"/>
      <c r="P879" s="13"/>
      <c r="Q879" s="13"/>
      <c r="R879" s="13"/>
      <c r="S879" s="13"/>
      <c r="T879" s="13"/>
      <c r="U879" s="13"/>
      <c r="V879" s="15"/>
      <c r="W879" s="15"/>
      <c r="X879" s="15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5"/>
      <c r="H880" s="13"/>
      <c r="I880" s="13"/>
      <c r="J880" s="13"/>
      <c r="K880" s="13"/>
      <c r="L880" s="14"/>
      <c r="M880" s="13"/>
      <c r="N880" s="15"/>
      <c r="O880" s="15"/>
      <c r="P880" s="13"/>
      <c r="Q880" s="13"/>
      <c r="R880" s="13"/>
      <c r="S880" s="13"/>
      <c r="T880" s="13"/>
      <c r="U880" s="13"/>
      <c r="V880" s="15"/>
      <c r="W880" s="15"/>
      <c r="X880" s="15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5"/>
      <c r="H881" s="13"/>
      <c r="I881" s="13"/>
      <c r="J881" s="13"/>
      <c r="K881" s="13"/>
      <c r="L881" s="14"/>
      <c r="M881" s="13"/>
      <c r="N881" s="15"/>
      <c r="O881" s="15"/>
      <c r="P881" s="13"/>
      <c r="Q881" s="13"/>
      <c r="R881" s="13"/>
      <c r="S881" s="13"/>
      <c r="T881" s="13"/>
      <c r="U881" s="13"/>
      <c r="V881" s="15"/>
      <c r="W881" s="15"/>
      <c r="X881" s="15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5"/>
      <c r="H882" s="13"/>
      <c r="I882" s="13"/>
      <c r="J882" s="13"/>
      <c r="K882" s="13"/>
      <c r="L882" s="14"/>
      <c r="M882" s="13"/>
      <c r="N882" s="15"/>
      <c r="O882" s="15"/>
      <c r="P882" s="13"/>
      <c r="Q882" s="13"/>
      <c r="R882" s="13"/>
      <c r="S882" s="13"/>
      <c r="T882" s="13"/>
      <c r="U882" s="13"/>
      <c r="V882" s="15"/>
      <c r="W882" s="15"/>
      <c r="X882" s="15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5"/>
      <c r="H883" s="13"/>
      <c r="I883" s="13"/>
      <c r="J883" s="13"/>
      <c r="K883" s="13"/>
      <c r="L883" s="14"/>
      <c r="M883" s="13"/>
      <c r="N883" s="15"/>
      <c r="O883" s="15"/>
      <c r="P883" s="13"/>
      <c r="Q883" s="13"/>
      <c r="R883" s="13"/>
      <c r="S883" s="13"/>
      <c r="T883" s="13"/>
      <c r="U883" s="13"/>
      <c r="V883" s="15"/>
      <c r="W883" s="15"/>
      <c r="X883" s="15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5"/>
      <c r="H884" s="13"/>
      <c r="I884" s="13"/>
      <c r="J884" s="13"/>
      <c r="K884" s="13"/>
      <c r="L884" s="14"/>
      <c r="M884" s="13"/>
      <c r="N884" s="15"/>
      <c r="O884" s="15"/>
      <c r="P884" s="13"/>
      <c r="Q884" s="13"/>
      <c r="R884" s="13"/>
      <c r="S884" s="13"/>
      <c r="T884" s="13"/>
      <c r="U884" s="13"/>
      <c r="V884" s="15"/>
      <c r="W884" s="15"/>
      <c r="X884" s="15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5"/>
      <c r="H885" s="13"/>
      <c r="I885" s="13"/>
      <c r="J885" s="13"/>
      <c r="K885" s="13"/>
      <c r="L885" s="14"/>
      <c r="M885" s="13"/>
      <c r="N885" s="15"/>
      <c r="O885" s="15"/>
      <c r="P885" s="13"/>
      <c r="Q885" s="13"/>
      <c r="R885" s="13"/>
      <c r="S885" s="13"/>
      <c r="T885" s="13"/>
      <c r="U885" s="13"/>
      <c r="V885" s="15"/>
      <c r="W885" s="15"/>
      <c r="X885" s="15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5"/>
      <c r="H886" s="13"/>
      <c r="I886" s="13"/>
      <c r="J886" s="13"/>
      <c r="K886" s="13"/>
      <c r="L886" s="14"/>
      <c r="M886" s="13"/>
      <c r="N886" s="15"/>
      <c r="O886" s="15"/>
      <c r="P886" s="13"/>
      <c r="Q886" s="13"/>
      <c r="R886" s="13"/>
      <c r="S886" s="13"/>
      <c r="T886" s="13"/>
      <c r="U886" s="13"/>
      <c r="V886" s="15"/>
      <c r="W886" s="15"/>
      <c r="X886" s="15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5"/>
      <c r="H887" s="13"/>
      <c r="I887" s="13"/>
      <c r="J887" s="13"/>
      <c r="K887" s="13"/>
      <c r="L887" s="14"/>
      <c r="M887" s="13"/>
      <c r="N887" s="15"/>
      <c r="O887" s="15"/>
      <c r="P887" s="13"/>
      <c r="Q887" s="13"/>
      <c r="R887" s="13"/>
      <c r="S887" s="13"/>
      <c r="T887" s="13"/>
      <c r="U887" s="13"/>
      <c r="V887" s="15"/>
      <c r="W887" s="15"/>
      <c r="X887" s="15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5"/>
      <c r="H888" s="13"/>
      <c r="I888" s="13"/>
      <c r="J888" s="13"/>
      <c r="K888" s="13"/>
      <c r="L888" s="14"/>
      <c r="M888" s="13"/>
      <c r="N888" s="15"/>
      <c r="O888" s="15"/>
      <c r="P888" s="13"/>
      <c r="Q888" s="13"/>
      <c r="R888" s="13"/>
      <c r="S888" s="13"/>
      <c r="T888" s="13"/>
      <c r="U888" s="13"/>
      <c r="V888" s="15"/>
      <c r="W888" s="15"/>
      <c r="X888" s="15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5"/>
      <c r="H889" s="13"/>
      <c r="I889" s="13"/>
      <c r="J889" s="13"/>
      <c r="K889" s="13"/>
      <c r="L889" s="14"/>
      <c r="M889" s="13"/>
      <c r="N889" s="15"/>
      <c r="O889" s="15"/>
      <c r="P889" s="13"/>
      <c r="Q889" s="13"/>
      <c r="R889" s="13"/>
      <c r="S889" s="13"/>
      <c r="T889" s="13"/>
      <c r="U889" s="13"/>
      <c r="V889" s="15"/>
      <c r="W889" s="15"/>
      <c r="X889" s="15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5"/>
      <c r="H890" s="13"/>
      <c r="I890" s="13"/>
      <c r="J890" s="13"/>
      <c r="K890" s="13"/>
      <c r="L890" s="14"/>
      <c r="M890" s="13"/>
      <c r="N890" s="15"/>
      <c r="O890" s="15"/>
      <c r="P890" s="13"/>
      <c r="Q890" s="13"/>
      <c r="R890" s="13"/>
      <c r="S890" s="13"/>
      <c r="T890" s="13"/>
      <c r="U890" s="13"/>
      <c r="V890" s="15"/>
      <c r="W890" s="15"/>
      <c r="X890" s="15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5"/>
      <c r="H891" s="13"/>
      <c r="I891" s="13"/>
      <c r="J891" s="13"/>
      <c r="K891" s="13"/>
      <c r="L891" s="14"/>
      <c r="M891" s="13"/>
      <c r="N891" s="15"/>
      <c r="O891" s="15"/>
      <c r="P891" s="13"/>
      <c r="Q891" s="13"/>
      <c r="R891" s="13"/>
      <c r="S891" s="13"/>
      <c r="T891" s="13"/>
      <c r="U891" s="13"/>
      <c r="V891" s="15"/>
      <c r="W891" s="15"/>
      <c r="X891" s="15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5"/>
      <c r="H892" s="13"/>
      <c r="I892" s="13"/>
      <c r="J892" s="13"/>
      <c r="K892" s="13"/>
      <c r="L892" s="14"/>
      <c r="M892" s="13"/>
      <c r="N892" s="15"/>
      <c r="O892" s="15"/>
      <c r="P892" s="13"/>
      <c r="Q892" s="13"/>
      <c r="R892" s="13"/>
      <c r="S892" s="13"/>
      <c r="T892" s="13"/>
      <c r="U892" s="13"/>
      <c r="V892" s="15"/>
      <c r="W892" s="15"/>
      <c r="X892" s="15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5"/>
      <c r="H893" s="13"/>
      <c r="I893" s="13"/>
      <c r="J893" s="13"/>
      <c r="K893" s="13"/>
      <c r="L893" s="14"/>
      <c r="M893" s="13"/>
      <c r="N893" s="15"/>
      <c r="O893" s="15"/>
      <c r="P893" s="13"/>
      <c r="Q893" s="13"/>
      <c r="R893" s="13"/>
      <c r="S893" s="13"/>
      <c r="T893" s="13"/>
      <c r="U893" s="13"/>
      <c r="V893" s="15"/>
      <c r="W893" s="15"/>
      <c r="X893" s="15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5"/>
      <c r="H894" s="13"/>
      <c r="I894" s="13"/>
      <c r="J894" s="13"/>
      <c r="K894" s="13"/>
      <c r="L894" s="14"/>
      <c r="M894" s="13"/>
      <c r="N894" s="15"/>
      <c r="O894" s="15"/>
      <c r="P894" s="13"/>
      <c r="Q894" s="13"/>
      <c r="R894" s="13"/>
      <c r="S894" s="13"/>
      <c r="T894" s="13"/>
      <c r="U894" s="13"/>
      <c r="V894" s="15"/>
      <c r="W894" s="15"/>
      <c r="X894" s="15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5"/>
      <c r="H895" s="13"/>
      <c r="I895" s="13"/>
      <c r="J895" s="13"/>
      <c r="K895" s="13"/>
      <c r="L895" s="14"/>
      <c r="M895" s="13"/>
      <c r="N895" s="15"/>
      <c r="O895" s="15"/>
      <c r="P895" s="13"/>
      <c r="Q895" s="13"/>
      <c r="R895" s="13"/>
      <c r="S895" s="13"/>
      <c r="T895" s="13"/>
      <c r="U895" s="13"/>
      <c r="V895" s="15"/>
      <c r="W895" s="15"/>
      <c r="X895" s="15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5"/>
      <c r="H896" s="13"/>
      <c r="I896" s="13"/>
      <c r="J896" s="13"/>
      <c r="K896" s="13"/>
      <c r="L896" s="14"/>
      <c r="M896" s="13"/>
      <c r="N896" s="15"/>
      <c r="O896" s="15"/>
      <c r="P896" s="13"/>
      <c r="Q896" s="13"/>
      <c r="R896" s="13"/>
      <c r="S896" s="13"/>
      <c r="T896" s="13"/>
      <c r="U896" s="13"/>
      <c r="V896" s="15"/>
      <c r="W896" s="15"/>
      <c r="X896" s="15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5"/>
      <c r="H897" s="13"/>
      <c r="I897" s="13"/>
      <c r="J897" s="13"/>
      <c r="K897" s="13"/>
      <c r="L897" s="14"/>
      <c r="M897" s="13"/>
      <c r="N897" s="15"/>
      <c r="O897" s="15"/>
      <c r="P897" s="13"/>
      <c r="Q897" s="13"/>
      <c r="R897" s="13"/>
      <c r="S897" s="13"/>
      <c r="T897" s="13"/>
      <c r="U897" s="13"/>
      <c r="V897" s="15"/>
      <c r="W897" s="15"/>
      <c r="X897" s="15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5"/>
      <c r="H898" s="13"/>
      <c r="I898" s="13"/>
      <c r="J898" s="13"/>
      <c r="K898" s="13"/>
      <c r="L898" s="14"/>
      <c r="M898" s="13"/>
      <c r="N898" s="15"/>
      <c r="O898" s="15"/>
      <c r="P898" s="13"/>
      <c r="Q898" s="13"/>
      <c r="R898" s="13"/>
      <c r="S898" s="13"/>
      <c r="T898" s="13"/>
      <c r="U898" s="13"/>
      <c r="V898" s="15"/>
      <c r="W898" s="15"/>
      <c r="X898" s="15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5"/>
      <c r="H899" s="13"/>
      <c r="I899" s="13"/>
      <c r="J899" s="13"/>
      <c r="K899" s="13"/>
      <c r="L899" s="14"/>
      <c r="M899" s="13"/>
      <c r="N899" s="15"/>
      <c r="O899" s="15"/>
      <c r="P899" s="13"/>
      <c r="Q899" s="13"/>
      <c r="R899" s="13"/>
      <c r="S899" s="13"/>
      <c r="T899" s="13"/>
      <c r="U899" s="13"/>
      <c r="V899" s="15"/>
      <c r="W899" s="15"/>
      <c r="X899" s="15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5"/>
      <c r="H900" s="13"/>
      <c r="I900" s="13"/>
      <c r="J900" s="13"/>
      <c r="K900" s="13"/>
      <c r="L900" s="14"/>
      <c r="M900" s="13"/>
      <c r="N900" s="15"/>
      <c r="O900" s="15"/>
      <c r="P900" s="13"/>
      <c r="Q900" s="13"/>
      <c r="R900" s="13"/>
      <c r="S900" s="13"/>
      <c r="T900" s="13"/>
      <c r="U900" s="13"/>
      <c r="V900" s="15"/>
      <c r="W900" s="15"/>
      <c r="X900" s="15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5"/>
      <c r="H901" s="13"/>
      <c r="I901" s="13"/>
      <c r="J901" s="13"/>
      <c r="K901" s="13"/>
      <c r="L901" s="14"/>
      <c r="M901" s="13"/>
      <c r="N901" s="15"/>
      <c r="O901" s="15"/>
      <c r="P901" s="13"/>
      <c r="Q901" s="13"/>
      <c r="R901" s="13"/>
      <c r="S901" s="13"/>
      <c r="T901" s="13"/>
      <c r="U901" s="13"/>
      <c r="V901" s="15"/>
      <c r="W901" s="15"/>
      <c r="X901" s="15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5"/>
      <c r="H902" s="13"/>
      <c r="I902" s="13"/>
      <c r="J902" s="13"/>
      <c r="K902" s="13"/>
      <c r="L902" s="14"/>
      <c r="M902" s="13"/>
      <c r="N902" s="15"/>
      <c r="O902" s="15"/>
      <c r="P902" s="13"/>
      <c r="Q902" s="13"/>
      <c r="R902" s="13"/>
      <c r="S902" s="13"/>
      <c r="T902" s="13"/>
      <c r="U902" s="13"/>
      <c r="V902" s="15"/>
      <c r="W902" s="15"/>
      <c r="X902" s="15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5"/>
      <c r="H903" s="13"/>
      <c r="I903" s="13"/>
      <c r="J903" s="13"/>
      <c r="K903" s="13"/>
      <c r="L903" s="14"/>
      <c r="M903" s="13"/>
      <c r="N903" s="15"/>
      <c r="O903" s="15"/>
      <c r="P903" s="13"/>
      <c r="Q903" s="13"/>
      <c r="R903" s="13"/>
      <c r="S903" s="13"/>
      <c r="T903" s="13"/>
      <c r="U903" s="13"/>
      <c r="V903" s="15"/>
      <c r="W903" s="15"/>
      <c r="X903" s="15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5"/>
      <c r="H904" s="13"/>
      <c r="I904" s="13"/>
      <c r="J904" s="13"/>
      <c r="K904" s="13"/>
      <c r="L904" s="14"/>
      <c r="M904" s="13"/>
      <c r="N904" s="15"/>
      <c r="O904" s="15"/>
      <c r="P904" s="13"/>
      <c r="Q904" s="13"/>
      <c r="R904" s="13"/>
      <c r="S904" s="13"/>
      <c r="T904" s="13"/>
      <c r="U904" s="13"/>
      <c r="V904" s="15"/>
      <c r="W904" s="15"/>
      <c r="X904" s="15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5"/>
      <c r="H905" s="13"/>
      <c r="I905" s="13"/>
      <c r="J905" s="13"/>
      <c r="K905" s="13"/>
      <c r="L905" s="14"/>
      <c r="M905" s="13"/>
      <c r="N905" s="15"/>
      <c r="O905" s="15"/>
      <c r="P905" s="13"/>
      <c r="Q905" s="13"/>
      <c r="R905" s="13"/>
      <c r="S905" s="13"/>
      <c r="T905" s="13"/>
      <c r="U905" s="13"/>
      <c r="V905" s="15"/>
      <c r="W905" s="15"/>
      <c r="X905" s="15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5"/>
      <c r="H906" s="13"/>
      <c r="I906" s="13"/>
      <c r="J906" s="13"/>
      <c r="K906" s="13"/>
      <c r="L906" s="14"/>
      <c r="M906" s="13"/>
      <c r="N906" s="15"/>
      <c r="O906" s="15"/>
      <c r="P906" s="13"/>
      <c r="Q906" s="13"/>
      <c r="R906" s="13"/>
      <c r="S906" s="13"/>
      <c r="T906" s="13"/>
      <c r="U906" s="13"/>
      <c r="V906" s="15"/>
      <c r="W906" s="15"/>
      <c r="X906" s="15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5"/>
      <c r="H907" s="13"/>
      <c r="I907" s="13"/>
      <c r="J907" s="13"/>
      <c r="K907" s="13"/>
      <c r="L907" s="14"/>
      <c r="M907" s="13"/>
      <c r="N907" s="15"/>
      <c r="O907" s="15"/>
      <c r="P907" s="13"/>
      <c r="Q907" s="13"/>
      <c r="R907" s="13"/>
      <c r="S907" s="13"/>
      <c r="T907" s="13"/>
      <c r="U907" s="13"/>
      <c r="V907" s="15"/>
      <c r="W907" s="15"/>
      <c r="X907" s="15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5"/>
      <c r="H908" s="13"/>
      <c r="I908" s="13"/>
      <c r="J908" s="13"/>
      <c r="K908" s="13"/>
      <c r="L908" s="14"/>
      <c r="M908" s="13"/>
      <c r="N908" s="15"/>
      <c r="O908" s="15"/>
      <c r="P908" s="13"/>
      <c r="Q908" s="13"/>
      <c r="R908" s="13"/>
      <c r="S908" s="13"/>
      <c r="T908" s="13"/>
      <c r="U908" s="13"/>
      <c r="V908" s="15"/>
      <c r="W908" s="15"/>
      <c r="X908" s="15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5"/>
      <c r="H909" s="13"/>
      <c r="I909" s="13"/>
      <c r="J909" s="13"/>
      <c r="K909" s="13"/>
      <c r="L909" s="14"/>
      <c r="M909" s="13"/>
      <c r="N909" s="15"/>
      <c r="O909" s="15"/>
      <c r="P909" s="13"/>
      <c r="Q909" s="13"/>
      <c r="R909" s="13"/>
      <c r="S909" s="13"/>
      <c r="T909" s="13"/>
      <c r="U909" s="13"/>
      <c r="V909" s="15"/>
      <c r="W909" s="15"/>
      <c r="X909" s="15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5"/>
      <c r="H910" s="13"/>
      <c r="I910" s="13"/>
      <c r="J910" s="13"/>
      <c r="K910" s="13"/>
      <c r="L910" s="14"/>
      <c r="M910" s="13"/>
      <c r="N910" s="15"/>
      <c r="O910" s="15"/>
      <c r="P910" s="13"/>
      <c r="Q910" s="13"/>
      <c r="R910" s="13"/>
      <c r="S910" s="13"/>
      <c r="T910" s="13"/>
      <c r="U910" s="13"/>
      <c r="V910" s="15"/>
      <c r="W910" s="15"/>
      <c r="X910" s="15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5"/>
      <c r="H911" s="13"/>
      <c r="I911" s="13"/>
      <c r="J911" s="13"/>
      <c r="K911" s="13"/>
      <c r="L911" s="14"/>
      <c r="M911" s="13"/>
      <c r="N911" s="15"/>
      <c r="O911" s="15"/>
      <c r="P911" s="13"/>
      <c r="Q911" s="13"/>
      <c r="R911" s="13"/>
      <c r="S911" s="13"/>
      <c r="T911" s="13"/>
      <c r="U911" s="13"/>
      <c r="V911" s="15"/>
      <c r="W911" s="15"/>
      <c r="X911" s="15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5"/>
      <c r="H912" s="13"/>
      <c r="I912" s="13"/>
      <c r="J912" s="13"/>
      <c r="K912" s="13"/>
      <c r="L912" s="14"/>
      <c r="M912" s="13"/>
      <c r="N912" s="15"/>
      <c r="O912" s="15"/>
      <c r="P912" s="13"/>
      <c r="Q912" s="13"/>
      <c r="R912" s="13"/>
      <c r="S912" s="13"/>
      <c r="T912" s="13"/>
      <c r="U912" s="13"/>
      <c r="V912" s="15"/>
      <c r="W912" s="15"/>
      <c r="X912" s="15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5"/>
      <c r="H913" s="13"/>
      <c r="I913" s="13"/>
      <c r="J913" s="13"/>
      <c r="K913" s="13"/>
      <c r="L913" s="14"/>
      <c r="M913" s="13"/>
      <c r="N913" s="15"/>
      <c r="O913" s="15"/>
      <c r="P913" s="13"/>
      <c r="Q913" s="13"/>
      <c r="R913" s="13"/>
      <c r="S913" s="13"/>
      <c r="T913" s="13"/>
      <c r="U913" s="13"/>
      <c r="V913" s="15"/>
      <c r="W913" s="15"/>
      <c r="X913" s="15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5"/>
      <c r="H914" s="13"/>
      <c r="I914" s="13"/>
      <c r="J914" s="13"/>
      <c r="K914" s="13"/>
      <c r="L914" s="14"/>
      <c r="M914" s="13"/>
      <c r="N914" s="15"/>
      <c r="O914" s="15"/>
      <c r="P914" s="13"/>
      <c r="Q914" s="13"/>
      <c r="R914" s="13"/>
      <c r="S914" s="13"/>
      <c r="T914" s="13"/>
      <c r="U914" s="13"/>
      <c r="V914" s="15"/>
      <c r="W914" s="15"/>
      <c r="X914" s="15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5"/>
      <c r="H915" s="13"/>
      <c r="I915" s="13"/>
      <c r="J915" s="13"/>
      <c r="K915" s="13"/>
      <c r="L915" s="14"/>
      <c r="M915" s="13"/>
      <c r="N915" s="15"/>
      <c r="O915" s="15"/>
      <c r="P915" s="13"/>
      <c r="Q915" s="13"/>
      <c r="R915" s="13"/>
      <c r="S915" s="13"/>
      <c r="T915" s="13"/>
      <c r="U915" s="13"/>
      <c r="V915" s="15"/>
      <c r="W915" s="15"/>
      <c r="X915" s="15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5"/>
      <c r="H916" s="13"/>
      <c r="I916" s="13"/>
      <c r="J916" s="13"/>
      <c r="K916" s="13"/>
      <c r="L916" s="14"/>
      <c r="M916" s="13"/>
      <c r="N916" s="15"/>
      <c r="O916" s="15"/>
      <c r="P916" s="13"/>
      <c r="Q916" s="13"/>
      <c r="R916" s="13"/>
      <c r="S916" s="13"/>
      <c r="T916" s="13"/>
      <c r="U916" s="13"/>
      <c r="V916" s="15"/>
      <c r="W916" s="15"/>
      <c r="X916" s="15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5"/>
      <c r="H917" s="13"/>
      <c r="I917" s="13"/>
      <c r="J917" s="13"/>
      <c r="K917" s="13"/>
      <c r="L917" s="14"/>
      <c r="M917" s="13"/>
      <c r="N917" s="15"/>
      <c r="O917" s="15"/>
      <c r="P917" s="13"/>
      <c r="Q917" s="13"/>
      <c r="R917" s="13"/>
      <c r="S917" s="13"/>
      <c r="T917" s="13"/>
      <c r="U917" s="13"/>
      <c r="V917" s="15"/>
      <c r="W917" s="15"/>
      <c r="X917" s="15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5"/>
      <c r="H918" s="13"/>
      <c r="I918" s="13"/>
      <c r="J918" s="13"/>
      <c r="K918" s="13"/>
      <c r="L918" s="14"/>
      <c r="M918" s="13"/>
      <c r="N918" s="15"/>
      <c r="O918" s="15"/>
      <c r="P918" s="13"/>
      <c r="Q918" s="13"/>
      <c r="R918" s="13"/>
      <c r="S918" s="13"/>
      <c r="T918" s="13"/>
      <c r="U918" s="13"/>
      <c r="V918" s="15"/>
      <c r="W918" s="15"/>
      <c r="X918" s="15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5"/>
      <c r="H919" s="13"/>
      <c r="I919" s="13"/>
      <c r="J919" s="13"/>
      <c r="K919" s="13"/>
      <c r="L919" s="14"/>
      <c r="M919" s="13"/>
      <c r="N919" s="15"/>
      <c r="O919" s="15"/>
      <c r="P919" s="13"/>
      <c r="Q919" s="13"/>
      <c r="R919" s="13"/>
      <c r="S919" s="13"/>
      <c r="T919" s="13"/>
      <c r="U919" s="13"/>
      <c r="V919" s="15"/>
      <c r="W919" s="15"/>
      <c r="X919" s="15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5"/>
      <c r="H920" s="13"/>
      <c r="I920" s="13"/>
      <c r="J920" s="13"/>
      <c r="K920" s="13"/>
      <c r="L920" s="14"/>
      <c r="M920" s="13"/>
      <c r="N920" s="15"/>
      <c r="O920" s="15"/>
      <c r="P920" s="13"/>
      <c r="Q920" s="13"/>
      <c r="R920" s="13"/>
      <c r="S920" s="13"/>
      <c r="T920" s="13"/>
      <c r="U920" s="13"/>
      <c r="V920" s="15"/>
      <c r="W920" s="15"/>
      <c r="X920" s="15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5"/>
      <c r="H921" s="13"/>
      <c r="I921" s="13"/>
      <c r="J921" s="13"/>
      <c r="K921" s="13"/>
      <c r="L921" s="14"/>
      <c r="M921" s="13"/>
      <c r="N921" s="15"/>
      <c r="O921" s="15"/>
      <c r="P921" s="13"/>
      <c r="Q921" s="13"/>
      <c r="R921" s="13"/>
      <c r="S921" s="13"/>
      <c r="T921" s="13"/>
      <c r="U921" s="13"/>
      <c r="V921" s="15"/>
      <c r="W921" s="15"/>
      <c r="X921" s="15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5"/>
      <c r="H922" s="13"/>
      <c r="I922" s="13"/>
      <c r="J922" s="13"/>
      <c r="K922" s="13"/>
      <c r="L922" s="14"/>
      <c r="M922" s="13"/>
      <c r="N922" s="15"/>
      <c r="O922" s="15"/>
      <c r="P922" s="13"/>
      <c r="Q922" s="13"/>
      <c r="R922" s="13"/>
      <c r="S922" s="13"/>
      <c r="T922" s="13"/>
      <c r="U922" s="13"/>
      <c r="V922" s="15"/>
      <c r="W922" s="15"/>
      <c r="X922" s="15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5"/>
      <c r="H923" s="13"/>
      <c r="I923" s="13"/>
      <c r="J923" s="13"/>
      <c r="K923" s="13"/>
      <c r="L923" s="14"/>
      <c r="M923" s="13"/>
      <c r="N923" s="15"/>
      <c r="O923" s="15"/>
      <c r="P923" s="13"/>
      <c r="Q923" s="13"/>
      <c r="R923" s="13"/>
      <c r="S923" s="13"/>
      <c r="T923" s="13"/>
      <c r="U923" s="13"/>
      <c r="V923" s="15"/>
      <c r="W923" s="15"/>
      <c r="X923" s="15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5"/>
      <c r="H924" s="13"/>
      <c r="I924" s="13"/>
      <c r="J924" s="13"/>
      <c r="K924" s="13"/>
      <c r="L924" s="14"/>
      <c r="M924" s="13"/>
      <c r="N924" s="15"/>
      <c r="O924" s="15"/>
      <c r="P924" s="13"/>
      <c r="Q924" s="13"/>
      <c r="R924" s="13"/>
      <c r="S924" s="13"/>
      <c r="T924" s="13"/>
      <c r="U924" s="13"/>
      <c r="V924" s="15"/>
      <c r="W924" s="15"/>
      <c r="X924" s="15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5"/>
      <c r="H925" s="13"/>
      <c r="I925" s="13"/>
      <c r="J925" s="13"/>
      <c r="K925" s="13"/>
      <c r="L925" s="14"/>
      <c r="M925" s="13"/>
      <c r="N925" s="15"/>
      <c r="O925" s="15"/>
      <c r="P925" s="13"/>
      <c r="Q925" s="13"/>
      <c r="R925" s="13"/>
      <c r="S925" s="13"/>
      <c r="T925" s="13"/>
      <c r="U925" s="13"/>
      <c r="V925" s="15"/>
      <c r="W925" s="15"/>
      <c r="X925" s="15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5"/>
      <c r="H926" s="13"/>
      <c r="I926" s="13"/>
      <c r="J926" s="13"/>
      <c r="K926" s="13"/>
      <c r="L926" s="14"/>
      <c r="M926" s="13"/>
      <c r="N926" s="15"/>
      <c r="O926" s="15"/>
      <c r="P926" s="13"/>
      <c r="Q926" s="13"/>
      <c r="R926" s="13"/>
      <c r="S926" s="13"/>
      <c r="T926" s="13"/>
      <c r="U926" s="13"/>
      <c r="V926" s="15"/>
      <c r="W926" s="15"/>
      <c r="X926" s="15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5"/>
      <c r="H927" s="13"/>
      <c r="I927" s="13"/>
      <c r="J927" s="13"/>
      <c r="K927" s="13"/>
      <c r="L927" s="14"/>
      <c r="M927" s="13"/>
      <c r="N927" s="15"/>
      <c r="O927" s="15"/>
      <c r="P927" s="13"/>
      <c r="Q927" s="13"/>
      <c r="R927" s="13"/>
      <c r="S927" s="13"/>
      <c r="T927" s="13"/>
      <c r="U927" s="13"/>
      <c r="V927" s="15"/>
      <c r="W927" s="15"/>
      <c r="X927" s="15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5"/>
      <c r="H928" s="13"/>
      <c r="I928" s="13"/>
      <c r="J928" s="13"/>
      <c r="K928" s="13"/>
      <c r="L928" s="14"/>
      <c r="M928" s="13"/>
      <c r="N928" s="15"/>
      <c r="O928" s="15"/>
      <c r="P928" s="13"/>
      <c r="Q928" s="13"/>
      <c r="R928" s="13"/>
      <c r="S928" s="13"/>
      <c r="T928" s="13"/>
      <c r="U928" s="13"/>
      <c r="V928" s="15"/>
      <c r="W928" s="15"/>
      <c r="X928" s="15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5"/>
      <c r="H929" s="13"/>
      <c r="I929" s="13"/>
      <c r="J929" s="13"/>
      <c r="K929" s="13"/>
      <c r="L929" s="14"/>
      <c r="M929" s="13"/>
      <c r="N929" s="15"/>
      <c r="O929" s="15"/>
      <c r="P929" s="13"/>
      <c r="Q929" s="13"/>
      <c r="R929" s="13"/>
      <c r="S929" s="13"/>
      <c r="T929" s="13"/>
      <c r="U929" s="13"/>
      <c r="V929" s="15"/>
      <c r="W929" s="15"/>
      <c r="X929" s="15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5"/>
      <c r="H930" s="13"/>
      <c r="I930" s="13"/>
      <c r="J930" s="13"/>
      <c r="K930" s="13"/>
      <c r="L930" s="14"/>
      <c r="M930" s="13"/>
      <c r="N930" s="15"/>
      <c r="O930" s="15"/>
      <c r="P930" s="13"/>
      <c r="Q930" s="13"/>
      <c r="R930" s="13"/>
      <c r="S930" s="13"/>
      <c r="T930" s="13"/>
      <c r="U930" s="13"/>
      <c r="V930" s="15"/>
      <c r="W930" s="15"/>
      <c r="X930" s="15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5"/>
      <c r="H931" s="13"/>
      <c r="I931" s="13"/>
      <c r="J931" s="13"/>
      <c r="K931" s="13"/>
      <c r="L931" s="14"/>
      <c r="M931" s="13"/>
      <c r="N931" s="15"/>
      <c r="O931" s="15"/>
      <c r="P931" s="13"/>
      <c r="Q931" s="13"/>
      <c r="R931" s="13"/>
      <c r="S931" s="13"/>
      <c r="T931" s="13"/>
      <c r="U931" s="13"/>
      <c r="V931" s="15"/>
      <c r="W931" s="15"/>
      <c r="X931" s="15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5"/>
      <c r="H932" s="13"/>
      <c r="I932" s="13"/>
      <c r="J932" s="13"/>
      <c r="K932" s="13"/>
      <c r="L932" s="14"/>
      <c r="M932" s="13"/>
      <c r="N932" s="15"/>
      <c r="O932" s="15"/>
      <c r="P932" s="13"/>
      <c r="Q932" s="13"/>
      <c r="R932" s="13"/>
      <c r="S932" s="13"/>
      <c r="T932" s="13"/>
      <c r="U932" s="13"/>
      <c r="V932" s="15"/>
      <c r="W932" s="15"/>
      <c r="X932" s="15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5"/>
      <c r="H933" s="13"/>
      <c r="I933" s="13"/>
      <c r="J933" s="13"/>
      <c r="K933" s="13"/>
      <c r="L933" s="14"/>
      <c r="M933" s="13"/>
      <c r="N933" s="15"/>
      <c r="O933" s="15"/>
      <c r="P933" s="13"/>
      <c r="Q933" s="13"/>
      <c r="R933" s="13"/>
      <c r="S933" s="13"/>
      <c r="T933" s="13"/>
      <c r="U933" s="13"/>
      <c r="V933" s="15"/>
      <c r="W933" s="15"/>
      <c r="X933" s="15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5"/>
      <c r="H934" s="13"/>
      <c r="I934" s="13"/>
      <c r="J934" s="13"/>
      <c r="K934" s="13"/>
      <c r="L934" s="14"/>
      <c r="M934" s="13"/>
      <c r="N934" s="15"/>
      <c r="O934" s="15"/>
      <c r="P934" s="13"/>
      <c r="Q934" s="13"/>
      <c r="R934" s="13"/>
      <c r="S934" s="13"/>
      <c r="T934" s="13"/>
      <c r="U934" s="13"/>
      <c r="V934" s="15"/>
      <c r="W934" s="15"/>
      <c r="X934" s="15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5"/>
      <c r="H935" s="13"/>
      <c r="I935" s="13"/>
      <c r="J935" s="13"/>
      <c r="K935" s="13"/>
      <c r="L935" s="14"/>
      <c r="M935" s="13"/>
      <c r="N935" s="15"/>
      <c r="O935" s="15"/>
      <c r="P935" s="13"/>
      <c r="Q935" s="13"/>
      <c r="R935" s="13"/>
      <c r="S935" s="13"/>
      <c r="T935" s="13"/>
      <c r="U935" s="13"/>
      <c r="V935" s="15"/>
      <c r="W935" s="15"/>
      <c r="X935" s="15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5"/>
      <c r="H936" s="13"/>
      <c r="I936" s="13"/>
      <c r="J936" s="13"/>
      <c r="K936" s="13"/>
      <c r="L936" s="14"/>
      <c r="M936" s="13"/>
      <c r="N936" s="15"/>
      <c r="O936" s="15"/>
      <c r="P936" s="13"/>
      <c r="Q936" s="13"/>
      <c r="R936" s="13"/>
      <c r="S936" s="13"/>
      <c r="T936" s="13"/>
      <c r="U936" s="13"/>
      <c r="V936" s="15"/>
      <c r="W936" s="15"/>
      <c r="X936" s="15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5"/>
      <c r="H937" s="13"/>
      <c r="I937" s="13"/>
      <c r="J937" s="13"/>
      <c r="K937" s="13"/>
      <c r="L937" s="14"/>
      <c r="M937" s="13"/>
      <c r="N937" s="15"/>
      <c r="O937" s="15"/>
      <c r="P937" s="13"/>
      <c r="Q937" s="13"/>
      <c r="R937" s="13"/>
      <c r="S937" s="13"/>
      <c r="T937" s="13"/>
      <c r="U937" s="13"/>
      <c r="V937" s="15"/>
      <c r="W937" s="15"/>
      <c r="X937" s="15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5"/>
      <c r="H938" s="13"/>
      <c r="I938" s="13"/>
      <c r="J938" s="13"/>
      <c r="K938" s="13"/>
      <c r="L938" s="14"/>
      <c r="M938" s="13"/>
      <c r="N938" s="15"/>
      <c r="O938" s="15"/>
      <c r="P938" s="13"/>
      <c r="Q938" s="13"/>
      <c r="R938" s="13"/>
      <c r="S938" s="13"/>
      <c r="T938" s="13"/>
      <c r="U938" s="13"/>
      <c r="V938" s="15"/>
      <c r="W938" s="15"/>
      <c r="X938" s="15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5"/>
      <c r="H939" s="13"/>
      <c r="I939" s="13"/>
      <c r="J939" s="13"/>
      <c r="K939" s="13"/>
      <c r="L939" s="14"/>
      <c r="M939" s="13"/>
      <c r="N939" s="15"/>
      <c r="O939" s="15"/>
      <c r="P939" s="13"/>
      <c r="Q939" s="13"/>
      <c r="R939" s="13"/>
      <c r="S939" s="13"/>
      <c r="T939" s="13"/>
      <c r="U939" s="13"/>
      <c r="V939" s="15"/>
      <c r="W939" s="15"/>
      <c r="X939" s="15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5"/>
      <c r="H940" s="13"/>
      <c r="I940" s="13"/>
      <c r="J940" s="13"/>
      <c r="K940" s="13"/>
      <c r="L940" s="14"/>
      <c r="M940" s="13"/>
      <c r="N940" s="15"/>
      <c r="O940" s="15"/>
      <c r="P940" s="13"/>
      <c r="Q940" s="13"/>
      <c r="R940" s="13"/>
      <c r="S940" s="13"/>
      <c r="T940" s="13"/>
      <c r="U940" s="13"/>
      <c r="V940" s="15"/>
      <c r="W940" s="15"/>
      <c r="X940" s="15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5"/>
      <c r="H941" s="13"/>
      <c r="I941" s="13"/>
      <c r="J941" s="13"/>
      <c r="K941" s="13"/>
      <c r="L941" s="14"/>
      <c r="M941" s="13"/>
      <c r="N941" s="15"/>
      <c r="O941" s="15"/>
      <c r="P941" s="13"/>
      <c r="Q941" s="13"/>
      <c r="R941" s="13"/>
      <c r="S941" s="13"/>
      <c r="T941" s="13"/>
      <c r="U941" s="13"/>
      <c r="V941" s="15"/>
      <c r="W941" s="15"/>
      <c r="X941" s="15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5"/>
      <c r="H942" s="13"/>
      <c r="I942" s="13"/>
      <c r="J942" s="13"/>
      <c r="K942" s="13"/>
      <c r="L942" s="14"/>
      <c r="M942" s="13"/>
      <c r="N942" s="15"/>
      <c r="O942" s="15"/>
      <c r="P942" s="13"/>
      <c r="Q942" s="13"/>
      <c r="R942" s="13"/>
      <c r="S942" s="13"/>
      <c r="T942" s="13"/>
      <c r="U942" s="13"/>
      <c r="V942" s="15"/>
      <c r="W942" s="15"/>
      <c r="X942" s="15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5"/>
      <c r="H943" s="13"/>
      <c r="I943" s="13"/>
      <c r="J943" s="13"/>
      <c r="K943" s="13"/>
      <c r="L943" s="14"/>
      <c r="M943" s="13"/>
      <c r="N943" s="15"/>
      <c r="O943" s="15"/>
      <c r="P943" s="13"/>
      <c r="Q943" s="13"/>
      <c r="R943" s="13"/>
      <c r="S943" s="13"/>
      <c r="T943" s="13"/>
      <c r="U943" s="13"/>
      <c r="V943" s="15"/>
      <c r="W943" s="15"/>
      <c r="X943" s="15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5"/>
      <c r="H944" s="13"/>
      <c r="I944" s="13"/>
      <c r="J944" s="13"/>
      <c r="K944" s="13"/>
      <c r="L944" s="14"/>
      <c r="M944" s="13"/>
      <c r="N944" s="15"/>
      <c r="O944" s="15"/>
      <c r="P944" s="13"/>
      <c r="Q944" s="13"/>
      <c r="R944" s="13"/>
      <c r="S944" s="13"/>
      <c r="T944" s="13"/>
      <c r="U944" s="13"/>
      <c r="V944" s="15"/>
      <c r="W944" s="15"/>
      <c r="X944" s="15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5"/>
      <c r="H945" s="13"/>
      <c r="I945" s="13"/>
      <c r="J945" s="13"/>
      <c r="K945" s="13"/>
      <c r="L945" s="14"/>
      <c r="M945" s="13"/>
      <c r="N945" s="15"/>
      <c r="O945" s="15"/>
      <c r="P945" s="13"/>
      <c r="Q945" s="13"/>
      <c r="R945" s="13"/>
      <c r="S945" s="13"/>
      <c r="T945" s="13"/>
      <c r="U945" s="13"/>
      <c r="V945" s="15"/>
      <c r="W945" s="15"/>
      <c r="X945" s="15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5"/>
      <c r="H946" s="13"/>
      <c r="I946" s="13"/>
      <c r="J946" s="13"/>
      <c r="K946" s="13"/>
      <c r="L946" s="14"/>
      <c r="M946" s="13"/>
      <c r="N946" s="15"/>
      <c r="O946" s="15"/>
      <c r="P946" s="13"/>
      <c r="Q946" s="13"/>
      <c r="R946" s="13"/>
      <c r="S946" s="13"/>
      <c r="T946" s="13"/>
      <c r="U946" s="13"/>
      <c r="V946" s="15"/>
      <c r="W946" s="15"/>
      <c r="X946" s="15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5"/>
      <c r="H947" s="13"/>
      <c r="I947" s="13"/>
      <c r="J947" s="13"/>
      <c r="K947" s="13"/>
      <c r="L947" s="14"/>
      <c r="M947" s="13"/>
      <c r="N947" s="15"/>
      <c r="O947" s="15"/>
      <c r="P947" s="13"/>
      <c r="Q947" s="13"/>
      <c r="R947" s="13"/>
      <c r="S947" s="13"/>
      <c r="T947" s="13"/>
      <c r="U947" s="13"/>
      <c r="V947" s="15"/>
      <c r="W947" s="15"/>
      <c r="X947" s="15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5"/>
      <c r="H948" s="13"/>
      <c r="I948" s="13"/>
      <c r="J948" s="13"/>
      <c r="K948" s="13"/>
      <c r="L948" s="14"/>
      <c r="M948" s="13"/>
      <c r="N948" s="15"/>
      <c r="O948" s="15"/>
      <c r="P948" s="13"/>
      <c r="Q948" s="13"/>
      <c r="R948" s="13"/>
      <c r="S948" s="13"/>
      <c r="T948" s="13"/>
      <c r="U948" s="13"/>
      <c r="V948" s="15"/>
      <c r="W948" s="15"/>
      <c r="X948" s="15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5"/>
      <c r="H949" s="13"/>
      <c r="I949" s="13"/>
      <c r="J949" s="13"/>
      <c r="K949" s="13"/>
      <c r="L949" s="14"/>
      <c r="M949" s="13"/>
      <c r="N949" s="15"/>
      <c r="O949" s="15"/>
      <c r="P949" s="13"/>
      <c r="Q949" s="13"/>
      <c r="R949" s="13"/>
      <c r="S949" s="13"/>
      <c r="T949" s="13"/>
      <c r="U949" s="13"/>
      <c r="V949" s="15"/>
      <c r="W949" s="15"/>
      <c r="X949" s="15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5"/>
      <c r="H950" s="13"/>
      <c r="I950" s="13"/>
      <c r="J950" s="13"/>
      <c r="K950" s="13"/>
      <c r="L950" s="14"/>
      <c r="M950" s="13"/>
      <c r="N950" s="15"/>
      <c r="O950" s="15"/>
      <c r="P950" s="13"/>
      <c r="Q950" s="13"/>
      <c r="R950" s="13"/>
      <c r="S950" s="13"/>
      <c r="T950" s="13"/>
      <c r="U950" s="13"/>
      <c r="V950" s="15"/>
      <c r="W950" s="15"/>
      <c r="X950" s="15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5"/>
      <c r="H951" s="13"/>
      <c r="I951" s="13"/>
      <c r="J951" s="13"/>
      <c r="K951" s="13"/>
      <c r="L951" s="14"/>
      <c r="M951" s="13"/>
      <c r="N951" s="15"/>
      <c r="O951" s="15"/>
      <c r="P951" s="13"/>
      <c r="Q951" s="13"/>
      <c r="R951" s="13"/>
      <c r="S951" s="13"/>
      <c r="T951" s="13"/>
      <c r="U951" s="13"/>
      <c r="V951" s="15"/>
      <c r="W951" s="15"/>
      <c r="X951" s="15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5"/>
      <c r="H952" s="13"/>
      <c r="I952" s="13"/>
      <c r="J952" s="13"/>
      <c r="K952" s="13"/>
      <c r="L952" s="14"/>
      <c r="M952" s="13"/>
      <c r="N952" s="15"/>
      <c r="O952" s="15"/>
      <c r="P952" s="13"/>
      <c r="Q952" s="13"/>
      <c r="R952" s="13"/>
      <c r="S952" s="13"/>
      <c r="T952" s="13"/>
      <c r="U952" s="13"/>
      <c r="V952" s="15"/>
      <c r="W952" s="15"/>
      <c r="X952" s="15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5"/>
      <c r="H953" s="13"/>
      <c r="I953" s="13"/>
      <c r="J953" s="13"/>
      <c r="K953" s="13"/>
      <c r="L953" s="14"/>
      <c r="M953" s="13"/>
      <c r="N953" s="15"/>
      <c r="O953" s="15"/>
      <c r="P953" s="13"/>
      <c r="Q953" s="13"/>
      <c r="R953" s="13"/>
      <c r="S953" s="13"/>
      <c r="T953" s="13"/>
      <c r="U953" s="13"/>
      <c r="V953" s="15"/>
      <c r="W953" s="15"/>
      <c r="X953" s="15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5"/>
      <c r="H954" s="13"/>
      <c r="I954" s="13"/>
      <c r="J954" s="13"/>
      <c r="K954" s="13"/>
      <c r="L954" s="14"/>
      <c r="M954" s="13"/>
      <c r="N954" s="15"/>
      <c r="O954" s="15"/>
      <c r="P954" s="13"/>
      <c r="Q954" s="13"/>
      <c r="R954" s="13"/>
      <c r="S954" s="13"/>
      <c r="T954" s="13"/>
      <c r="U954" s="13"/>
      <c r="V954" s="15"/>
      <c r="W954" s="15"/>
      <c r="X954" s="15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5"/>
      <c r="H955" s="13"/>
      <c r="I955" s="13"/>
      <c r="J955" s="13"/>
      <c r="K955" s="13"/>
      <c r="L955" s="14"/>
      <c r="M955" s="13"/>
      <c r="N955" s="15"/>
      <c r="O955" s="15"/>
      <c r="P955" s="13"/>
      <c r="Q955" s="13"/>
      <c r="R955" s="13"/>
      <c r="S955" s="13"/>
      <c r="T955" s="13"/>
      <c r="U955" s="13"/>
      <c r="V955" s="15"/>
      <c r="W955" s="15"/>
      <c r="X955" s="15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5"/>
      <c r="H956" s="13"/>
      <c r="I956" s="13"/>
      <c r="J956" s="13"/>
      <c r="K956" s="13"/>
      <c r="L956" s="14"/>
      <c r="M956" s="13"/>
      <c r="N956" s="15"/>
      <c r="O956" s="15"/>
      <c r="P956" s="13"/>
      <c r="Q956" s="13"/>
      <c r="R956" s="13"/>
      <c r="S956" s="13"/>
      <c r="T956" s="13"/>
      <c r="U956" s="13"/>
      <c r="V956" s="15"/>
      <c r="W956" s="15"/>
      <c r="X956" s="15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5"/>
      <c r="H957" s="13"/>
      <c r="I957" s="13"/>
      <c r="J957" s="13"/>
      <c r="K957" s="13"/>
      <c r="L957" s="14"/>
      <c r="M957" s="13"/>
      <c r="N957" s="15"/>
      <c r="O957" s="15"/>
      <c r="P957" s="13"/>
      <c r="Q957" s="13"/>
      <c r="R957" s="13"/>
      <c r="S957" s="13"/>
      <c r="T957" s="13"/>
      <c r="U957" s="13"/>
      <c r="V957" s="15"/>
      <c r="W957" s="15"/>
      <c r="X957" s="15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5"/>
      <c r="H958" s="13"/>
      <c r="I958" s="13"/>
      <c r="J958" s="13"/>
      <c r="K958" s="13"/>
      <c r="L958" s="14"/>
      <c r="M958" s="13"/>
      <c r="N958" s="15"/>
      <c r="O958" s="15"/>
      <c r="P958" s="13"/>
      <c r="Q958" s="13"/>
      <c r="R958" s="13"/>
      <c r="S958" s="13"/>
      <c r="T958" s="13"/>
      <c r="U958" s="13"/>
      <c r="V958" s="15"/>
      <c r="W958" s="15"/>
      <c r="X958" s="15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5"/>
      <c r="H959" s="13"/>
      <c r="I959" s="13"/>
      <c r="J959" s="13"/>
      <c r="K959" s="13"/>
      <c r="L959" s="14"/>
      <c r="M959" s="13"/>
      <c r="N959" s="15"/>
      <c r="O959" s="15"/>
      <c r="P959" s="13"/>
      <c r="Q959" s="13"/>
      <c r="R959" s="13"/>
      <c r="S959" s="13"/>
      <c r="T959" s="13"/>
      <c r="U959" s="13"/>
      <c r="V959" s="15"/>
      <c r="W959" s="15"/>
      <c r="X959" s="15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5"/>
      <c r="H960" s="13"/>
      <c r="I960" s="13"/>
      <c r="J960" s="13"/>
      <c r="K960" s="13"/>
      <c r="L960" s="14"/>
      <c r="M960" s="13"/>
      <c r="N960" s="15"/>
      <c r="O960" s="15"/>
      <c r="P960" s="13"/>
      <c r="Q960" s="13"/>
      <c r="R960" s="13"/>
      <c r="S960" s="13"/>
      <c r="T960" s="13"/>
      <c r="U960" s="13"/>
      <c r="V960" s="15"/>
      <c r="W960" s="15"/>
      <c r="X960" s="15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5"/>
      <c r="H961" s="13"/>
      <c r="I961" s="13"/>
      <c r="J961" s="13"/>
      <c r="K961" s="13"/>
      <c r="L961" s="14"/>
      <c r="M961" s="13"/>
      <c r="N961" s="15"/>
      <c r="O961" s="15"/>
      <c r="P961" s="13"/>
      <c r="Q961" s="13"/>
      <c r="R961" s="13"/>
      <c r="S961" s="13"/>
      <c r="T961" s="13"/>
      <c r="U961" s="13"/>
      <c r="V961" s="15"/>
      <c r="W961" s="15"/>
      <c r="X961" s="15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5"/>
      <c r="H962" s="13"/>
      <c r="I962" s="13"/>
      <c r="J962" s="13"/>
      <c r="K962" s="13"/>
      <c r="L962" s="14"/>
      <c r="M962" s="13"/>
      <c r="N962" s="15"/>
      <c r="O962" s="15"/>
      <c r="P962" s="13"/>
      <c r="Q962" s="13"/>
      <c r="R962" s="13"/>
      <c r="S962" s="13"/>
      <c r="T962" s="13"/>
      <c r="U962" s="13"/>
      <c r="V962" s="15"/>
      <c r="W962" s="15"/>
      <c r="X962" s="15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5"/>
      <c r="H963" s="13"/>
      <c r="I963" s="13"/>
      <c r="J963" s="13"/>
      <c r="K963" s="13"/>
      <c r="L963" s="14"/>
      <c r="M963" s="13"/>
      <c r="N963" s="15"/>
      <c r="O963" s="15"/>
      <c r="P963" s="13"/>
      <c r="Q963" s="13"/>
      <c r="R963" s="13"/>
      <c r="S963" s="13"/>
      <c r="T963" s="13"/>
      <c r="U963" s="13"/>
      <c r="V963" s="15"/>
      <c r="W963" s="15"/>
      <c r="X963" s="15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5"/>
      <c r="H964" s="13"/>
      <c r="I964" s="13"/>
      <c r="J964" s="13"/>
      <c r="K964" s="13"/>
      <c r="L964" s="14"/>
      <c r="M964" s="13"/>
      <c r="N964" s="15"/>
      <c r="O964" s="15"/>
      <c r="P964" s="13"/>
      <c r="Q964" s="13"/>
      <c r="R964" s="13"/>
      <c r="S964" s="13"/>
      <c r="T964" s="13"/>
      <c r="U964" s="13"/>
      <c r="V964" s="15"/>
      <c r="W964" s="15"/>
      <c r="X964" s="15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5"/>
      <c r="H965" s="13"/>
      <c r="I965" s="13"/>
      <c r="J965" s="13"/>
      <c r="K965" s="13"/>
      <c r="L965" s="14"/>
      <c r="M965" s="13"/>
      <c r="N965" s="15"/>
      <c r="O965" s="15"/>
      <c r="P965" s="13"/>
      <c r="Q965" s="13"/>
      <c r="R965" s="13"/>
      <c r="S965" s="13"/>
      <c r="T965" s="13"/>
      <c r="U965" s="13"/>
      <c r="V965" s="15"/>
      <c r="W965" s="15"/>
      <c r="X965" s="15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5"/>
      <c r="H966" s="13"/>
      <c r="I966" s="13"/>
      <c r="J966" s="13"/>
      <c r="K966" s="13"/>
      <c r="L966" s="14"/>
      <c r="M966" s="13"/>
      <c r="N966" s="15"/>
      <c r="O966" s="15"/>
      <c r="P966" s="13"/>
      <c r="Q966" s="13"/>
      <c r="R966" s="13"/>
      <c r="S966" s="13"/>
      <c r="T966" s="13"/>
      <c r="U966" s="13"/>
      <c r="V966" s="15"/>
      <c r="W966" s="15"/>
      <c r="X966" s="15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5"/>
      <c r="H967" s="13"/>
      <c r="I967" s="13"/>
      <c r="J967" s="13"/>
      <c r="K967" s="13"/>
      <c r="L967" s="14"/>
      <c r="M967" s="13"/>
      <c r="N967" s="15"/>
      <c r="O967" s="15"/>
      <c r="P967" s="13"/>
      <c r="Q967" s="13"/>
      <c r="R967" s="13"/>
      <c r="S967" s="13"/>
      <c r="T967" s="13"/>
      <c r="U967" s="13"/>
      <c r="V967" s="15"/>
      <c r="W967" s="15"/>
      <c r="X967" s="15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5"/>
      <c r="H968" s="13"/>
      <c r="I968" s="13"/>
      <c r="J968" s="13"/>
      <c r="K968" s="13"/>
      <c r="L968" s="14"/>
      <c r="M968" s="13"/>
      <c r="N968" s="15"/>
      <c r="O968" s="15"/>
      <c r="P968" s="13"/>
      <c r="Q968" s="13"/>
      <c r="R968" s="13"/>
      <c r="S968" s="13"/>
      <c r="T968" s="13"/>
      <c r="U968" s="13"/>
      <c r="V968" s="15"/>
      <c r="W968" s="15"/>
      <c r="X968" s="15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5"/>
      <c r="H969" s="13"/>
      <c r="I969" s="13"/>
      <c r="J969" s="13"/>
      <c r="K969" s="13"/>
      <c r="L969" s="14"/>
      <c r="M969" s="13"/>
      <c r="N969" s="15"/>
      <c r="O969" s="15"/>
      <c r="P969" s="13"/>
      <c r="Q969" s="13"/>
      <c r="R969" s="13"/>
      <c r="S969" s="13"/>
      <c r="T969" s="13"/>
      <c r="U969" s="13"/>
      <c r="V969" s="15"/>
      <c r="W969" s="15"/>
      <c r="X969" s="15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5"/>
      <c r="H970" s="13"/>
      <c r="I970" s="13"/>
      <c r="J970" s="13"/>
      <c r="K970" s="13"/>
      <c r="L970" s="14"/>
      <c r="M970" s="13"/>
      <c r="N970" s="15"/>
      <c r="O970" s="15"/>
      <c r="P970" s="13"/>
      <c r="Q970" s="13"/>
      <c r="R970" s="13"/>
      <c r="S970" s="13"/>
      <c r="T970" s="13"/>
      <c r="U970" s="13"/>
      <c r="V970" s="15"/>
      <c r="W970" s="15"/>
      <c r="X970" s="15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5"/>
      <c r="H971" s="13"/>
      <c r="I971" s="13"/>
      <c r="J971" s="13"/>
      <c r="K971" s="13"/>
      <c r="L971" s="14"/>
      <c r="M971" s="13"/>
      <c r="N971" s="15"/>
      <c r="O971" s="15"/>
      <c r="P971" s="13"/>
      <c r="Q971" s="13"/>
      <c r="R971" s="13"/>
      <c r="S971" s="13"/>
      <c r="T971" s="13"/>
      <c r="U971" s="13"/>
      <c r="V971" s="15"/>
      <c r="W971" s="15"/>
      <c r="X971" s="15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5"/>
      <c r="H972" s="13"/>
      <c r="I972" s="13"/>
      <c r="J972" s="13"/>
      <c r="K972" s="13"/>
      <c r="L972" s="14"/>
      <c r="M972" s="13"/>
      <c r="N972" s="15"/>
      <c r="O972" s="15"/>
      <c r="P972" s="13"/>
      <c r="Q972" s="13"/>
      <c r="R972" s="13"/>
      <c r="S972" s="13"/>
      <c r="T972" s="13"/>
      <c r="U972" s="13"/>
      <c r="V972" s="15"/>
      <c r="W972" s="15"/>
      <c r="X972" s="15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5"/>
      <c r="H973" s="13"/>
      <c r="I973" s="13"/>
      <c r="J973" s="13"/>
      <c r="K973" s="13"/>
      <c r="L973" s="14"/>
      <c r="M973" s="13"/>
      <c r="N973" s="15"/>
      <c r="O973" s="15"/>
      <c r="P973" s="13"/>
      <c r="Q973" s="13"/>
      <c r="R973" s="13"/>
      <c r="S973" s="13"/>
      <c r="T973" s="13"/>
      <c r="U973" s="13"/>
      <c r="V973" s="15"/>
      <c r="W973" s="15"/>
      <c r="X973" s="15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5"/>
      <c r="H974" s="13"/>
      <c r="I974" s="13"/>
      <c r="J974" s="13"/>
      <c r="K974" s="13"/>
      <c r="L974" s="14"/>
      <c r="M974" s="13"/>
      <c r="N974" s="15"/>
      <c r="O974" s="15"/>
      <c r="P974" s="13"/>
      <c r="Q974" s="13"/>
      <c r="R974" s="13"/>
      <c r="S974" s="13"/>
      <c r="T974" s="13"/>
      <c r="U974" s="13"/>
      <c r="V974" s="15"/>
      <c r="W974" s="15"/>
      <c r="X974" s="15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5"/>
      <c r="H975" s="13"/>
      <c r="I975" s="13"/>
      <c r="J975" s="13"/>
      <c r="K975" s="13"/>
      <c r="L975" s="14"/>
      <c r="M975" s="13"/>
      <c r="N975" s="15"/>
      <c r="O975" s="15"/>
      <c r="P975" s="13"/>
      <c r="Q975" s="13"/>
      <c r="R975" s="13"/>
      <c r="S975" s="13"/>
      <c r="T975" s="13"/>
      <c r="U975" s="13"/>
      <c r="V975" s="15"/>
      <c r="W975" s="15"/>
      <c r="X975" s="15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5"/>
      <c r="H976" s="13"/>
      <c r="I976" s="13"/>
      <c r="J976" s="13"/>
      <c r="K976" s="13"/>
      <c r="L976" s="14"/>
      <c r="M976" s="13"/>
      <c r="N976" s="15"/>
      <c r="O976" s="15"/>
      <c r="P976" s="13"/>
      <c r="Q976" s="13"/>
      <c r="R976" s="13"/>
      <c r="S976" s="13"/>
      <c r="T976" s="13"/>
      <c r="U976" s="13"/>
      <c r="V976" s="15"/>
      <c r="W976" s="15"/>
      <c r="X976" s="15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5"/>
      <c r="H977" s="13"/>
      <c r="I977" s="13"/>
      <c r="J977" s="13"/>
      <c r="K977" s="13"/>
      <c r="L977" s="14"/>
      <c r="M977" s="13"/>
      <c r="N977" s="15"/>
      <c r="O977" s="15"/>
      <c r="P977" s="13"/>
      <c r="Q977" s="13"/>
      <c r="R977" s="13"/>
      <c r="S977" s="13"/>
      <c r="T977" s="13"/>
      <c r="U977" s="13"/>
      <c r="V977" s="15"/>
      <c r="W977" s="15"/>
      <c r="X977" s="15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5"/>
      <c r="H978" s="13"/>
      <c r="I978" s="13"/>
      <c r="J978" s="13"/>
      <c r="K978" s="13"/>
      <c r="L978" s="14"/>
      <c r="M978" s="13"/>
      <c r="N978" s="15"/>
      <c r="O978" s="15"/>
      <c r="P978" s="13"/>
      <c r="Q978" s="13"/>
      <c r="R978" s="13"/>
      <c r="S978" s="13"/>
      <c r="T978" s="13"/>
      <c r="U978" s="13"/>
      <c r="V978" s="15"/>
      <c r="W978" s="15"/>
      <c r="X978" s="15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5"/>
      <c r="H979" s="13"/>
      <c r="I979" s="13"/>
      <c r="J979" s="13"/>
      <c r="K979" s="13"/>
      <c r="L979" s="14"/>
      <c r="M979" s="13"/>
      <c r="N979" s="15"/>
      <c r="O979" s="15"/>
      <c r="P979" s="13"/>
      <c r="Q979" s="13"/>
      <c r="R979" s="13"/>
      <c r="S979" s="13"/>
      <c r="T979" s="13"/>
      <c r="U979" s="13"/>
      <c r="V979" s="15"/>
      <c r="W979" s="15"/>
      <c r="X979" s="15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5"/>
      <c r="H980" s="13"/>
      <c r="I980" s="13"/>
      <c r="J980" s="13"/>
      <c r="K980" s="13"/>
      <c r="L980" s="14"/>
      <c r="M980" s="13"/>
      <c r="N980" s="15"/>
      <c r="O980" s="15"/>
      <c r="P980" s="13"/>
      <c r="Q980" s="13"/>
      <c r="R980" s="13"/>
      <c r="S980" s="13"/>
      <c r="T980" s="13"/>
      <c r="U980" s="13"/>
      <c r="V980" s="15"/>
      <c r="W980" s="15"/>
      <c r="X980" s="15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5"/>
      <c r="H981" s="13"/>
      <c r="I981" s="13"/>
      <c r="J981" s="13"/>
      <c r="K981" s="13"/>
      <c r="L981" s="14"/>
      <c r="M981" s="13"/>
      <c r="N981" s="15"/>
      <c r="O981" s="15"/>
      <c r="P981" s="13"/>
      <c r="Q981" s="13"/>
      <c r="R981" s="13"/>
      <c r="S981" s="13"/>
      <c r="T981" s="13"/>
      <c r="U981" s="13"/>
      <c r="V981" s="15"/>
      <c r="W981" s="15"/>
      <c r="X981" s="15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5"/>
      <c r="H982" s="13"/>
      <c r="I982" s="13"/>
      <c r="J982" s="13"/>
      <c r="K982" s="13"/>
      <c r="L982" s="14"/>
      <c r="M982" s="13"/>
      <c r="N982" s="15"/>
      <c r="O982" s="15"/>
      <c r="P982" s="13"/>
      <c r="Q982" s="13"/>
      <c r="R982" s="13"/>
      <c r="S982" s="13"/>
      <c r="T982" s="13"/>
      <c r="U982" s="13"/>
      <c r="V982" s="15"/>
      <c r="W982" s="15"/>
      <c r="X982" s="15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5"/>
      <c r="H983" s="13"/>
      <c r="I983" s="13"/>
      <c r="J983" s="13"/>
      <c r="K983" s="13"/>
      <c r="L983" s="14"/>
      <c r="M983" s="13"/>
      <c r="N983" s="15"/>
      <c r="O983" s="15"/>
      <c r="P983" s="13"/>
      <c r="Q983" s="13"/>
      <c r="R983" s="13"/>
      <c r="S983" s="13"/>
      <c r="T983" s="13"/>
      <c r="U983" s="13"/>
      <c r="V983" s="15"/>
      <c r="W983" s="15"/>
      <c r="X983" s="15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5"/>
      <c r="H984" s="13"/>
      <c r="I984" s="13"/>
      <c r="J984" s="13"/>
      <c r="K984" s="13"/>
      <c r="L984" s="14"/>
      <c r="M984" s="13"/>
      <c r="N984" s="15"/>
      <c r="O984" s="15"/>
      <c r="P984" s="13"/>
      <c r="Q984" s="13"/>
      <c r="R984" s="13"/>
      <c r="S984" s="13"/>
      <c r="T984" s="13"/>
      <c r="U984" s="13"/>
      <c r="V984" s="15"/>
      <c r="W984" s="15"/>
      <c r="X984" s="15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5"/>
      <c r="H985" s="13"/>
      <c r="I985" s="13"/>
      <c r="J985" s="13"/>
      <c r="K985" s="13"/>
      <c r="L985" s="14"/>
      <c r="M985" s="13"/>
      <c r="N985" s="15"/>
      <c r="O985" s="15"/>
      <c r="P985" s="13"/>
      <c r="Q985" s="13"/>
      <c r="R985" s="13"/>
      <c r="S985" s="13"/>
      <c r="T985" s="13"/>
      <c r="U985" s="13"/>
      <c r="V985" s="15"/>
      <c r="W985" s="15"/>
      <c r="X985" s="15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5"/>
      <c r="H986" s="13"/>
      <c r="I986" s="13"/>
      <c r="J986" s="13"/>
      <c r="K986" s="13"/>
      <c r="L986" s="14"/>
      <c r="M986" s="13"/>
      <c r="N986" s="15"/>
      <c r="O986" s="15"/>
      <c r="P986" s="13"/>
      <c r="Q986" s="13"/>
      <c r="R986" s="13"/>
      <c r="S986" s="13"/>
      <c r="T986" s="13"/>
      <c r="U986" s="13"/>
      <c r="V986" s="15"/>
      <c r="W986" s="15"/>
      <c r="X986" s="15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5"/>
      <c r="H987" s="13"/>
      <c r="I987" s="13"/>
      <c r="J987" s="13"/>
      <c r="K987" s="13"/>
      <c r="L987" s="14"/>
      <c r="M987" s="13"/>
      <c r="N987" s="15"/>
      <c r="O987" s="15"/>
      <c r="P987" s="13"/>
      <c r="Q987" s="13"/>
      <c r="R987" s="13"/>
      <c r="S987" s="13"/>
      <c r="T987" s="13"/>
      <c r="U987" s="13"/>
      <c r="V987" s="15"/>
      <c r="W987" s="15"/>
      <c r="X987" s="15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5"/>
      <c r="H988" s="13"/>
      <c r="I988" s="13"/>
      <c r="J988" s="13"/>
      <c r="K988" s="13"/>
      <c r="L988" s="14"/>
      <c r="M988" s="13"/>
      <c r="N988" s="15"/>
      <c r="O988" s="15"/>
      <c r="P988" s="13"/>
      <c r="Q988" s="13"/>
      <c r="R988" s="13"/>
      <c r="S988" s="13"/>
      <c r="T988" s="13"/>
      <c r="U988" s="13"/>
      <c r="V988" s="15"/>
      <c r="W988" s="15"/>
      <c r="X988" s="15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5"/>
      <c r="H989" s="13"/>
      <c r="I989" s="13"/>
      <c r="J989" s="13"/>
      <c r="K989" s="13"/>
      <c r="L989" s="14"/>
      <c r="M989" s="13"/>
      <c r="N989" s="15"/>
      <c r="O989" s="15"/>
      <c r="P989" s="13"/>
      <c r="Q989" s="13"/>
      <c r="R989" s="13"/>
      <c r="S989" s="13"/>
      <c r="T989" s="13"/>
      <c r="U989" s="13"/>
      <c r="V989" s="15"/>
      <c r="W989" s="15"/>
      <c r="X989" s="15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5"/>
      <c r="H990" s="13"/>
      <c r="I990" s="13"/>
      <c r="J990" s="13"/>
      <c r="K990" s="13"/>
      <c r="L990" s="14"/>
      <c r="M990" s="13"/>
      <c r="N990" s="15"/>
      <c r="O990" s="15"/>
      <c r="P990" s="13"/>
      <c r="Q990" s="13"/>
      <c r="R990" s="13"/>
      <c r="S990" s="13"/>
      <c r="T990" s="13"/>
      <c r="U990" s="13"/>
      <c r="V990" s="15"/>
      <c r="W990" s="15"/>
      <c r="X990" s="15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5"/>
      <c r="H991" s="13"/>
      <c r="I991" s="13"/>
      <c r="J991" s="13"/>
      <c r="K991" s="13"/>
      <c r="L991" s="14"/>
      <c r="M991" s="13"/>
      <c r="N991" s="15"/>
      <c r="O991" s="15"/>
      <c r="P991" s="13"/>
      <c r="Q991" s="13"/>
      <c r="R991" s="13"/>
      <c r="S991" s="13"/>
      <c r="T991" s="13"/>
      <c r="U991" s="13"/>
      <c r="V991" s="15"/>
      <c r="W991" s="15"/>
      <c r="X991" s="15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5"/>
      <c r="H992" s="13"/>
      <c r="I992" s="13"/>
      <c r="J992" s="13"/>
      <c r="K992" s="13"/>
      <c r="L992" s="14"/>
      <c r="M992" s="13"/>
      <c r="N992" s="15"/>
      <c r="O992" s="15"/>
      <c r="P992" s="13"/>
      <c r="Q992" s="13"/>
      <c r="R992" s="13"/>
      <c r="S992" s="13"/>
      <c r="T992" s="13"/>
      <c r="U992" s="13"/>
      <c r="V992" s="15"/>
      <c r="W992" s="15"/>
      <c r="X992" s="15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5"/>
      <c r="H993" s="13"/>
      <c r="I993" s="13"/>
      <c r="J993" s="13"/>
      <c r="K993" s="13"/>
      <c r="L993" s="14"/>
      <c r="M993" s="13"/>
      <c r="N993" s="15"/>
      <c r="O993" s="15"/>
      <c r="P993" s="13"/>
      <c r="Q993" s="13"/>
      <c r="R993" s="13"/>
      <c r="S993" s="13"/>
      <c r="T993" s="13"/>
      <c r="U993" s="13"/>
      <c r="V993" s="15"/>
      <c r="W993" s="15"/>
      <c r="X993" s="15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5"/>
      <c r="H994" s="13"/>
      <c r="I994" s="13"/>
      <c r="J994" s="13"/>
      <c r="K994" s="13"/>
      <c r="L994" s="14"/>
      <c r="M994" s="13"/>
      <c r="N994" s="15"/>
      <c r="O994" s="15"/>
      <c r="P994" s="13"/>
      <c r="Q994" s="13"/>
      <c r="R994" s="13"/>
      <c r="S994" s="13"/>
      <c r="T994" s="13"/>
      <c r="U994" s="13"/>
      <c r="V994" s="15"/>
      <c r="W994" s="15"/>
      <c r="X994" s="15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5"/>
      <c r="H995" s="13"/>
      <c r="I995" s="13"/>
      <c r="J995" s="13"/>
      <c r="K995" s="13"/>
      <c r="L995" s="14"/>
      <c r="M995" s="13"/>
      <c r="N995" s="15"/>
      <c r="O995" s="15"/>
      <c r="P995" s="13"/>
      <c r="Q995" s="13"/>
      <c r="R995" s="13"/>
      <c r="S995" s="13"/>
      <c r="T995" s="13"/>
      <c r="U995" s="13"/>
      <c r="V995" s="15"/>
      <c r="W995" s="15"/>
      <c r="X995" s="15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5"/>
      <c r="H996" s="13"/>
      <c r="I996" s="13"/>
      <c r="J996" s="13"/>
      <c r="K996" s="13"/>
      <c r="L996" s="14"/>
      <c r="M996" s="13"/>
      <c r="N996" s="15"/>
      <c r="O996" s="15"/>
      <c r="P996" s="13"/>
      <c r="Q996" s="13"/>
      <c r="R996" s="13"/>
      <c r="S996" s="13"/>
      <c r="T996" s="13"/>
      <c r="U996" s="13"/>
      <c r="V996" s="15"/>
      <c r="W996" s="15"/>
      <c r="X996" s="15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5"/>
      <c r="H997" s="13"/>
      <c r="I997" s="13"/>
      <c r="J997" s="13"/>
      <c r="K997" s="13"/>
      <c r="L997" s="14"/>
      <c r="M997" s="13"/>
      <c r="N997" s="15"/>
      <c r="O997" s="15"/>
      <c r="P997" s="13"/>
      <c r="Q997" s="13"/>
      <c r="R997" s="13"/>
      <c r="S997" s="13"/>
      <c r="T997" s="13"/>
      <c r="U997" s="13"/>
      <c r="V997" s="15"/>
      <c r="W997" s="15"/>
      <c r="X997" s="15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5"/>
      <c r="H998" s="13"/>
      <c r="I998" s="13"/>
      <c r="J998" s="13"/>
      <c r="K998" s="13"/>
      <c r="L998" s="14"/>
      <c r="M998" s="13"/>
      <c r="N998" s="15"/>
      <c r="O998" s="15"/>
      <c r="P998" s="13"/>
      <c r="Q998" s="13"/>
      <c r="R998" s="13"/>
      <c r="S998" s="13"/>
      <c r="T998" s="13"/>
      <c r="U998" s="13"/>
      <c r="V998" s="15"/>
      <c r="W998" s="15"/>
      <c r="X998" s="15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5"/>
      <c r="H999" s="13"/>
      <c r="I999" s="13"/>
      <c r="J999" s="13"/>
      <c r="K999" s="13"/>
      <c r="L999" s="14"/>
      <c r="M999" s="13"/>
      <c r="N999" s="15"/>
      <c r="O999" s="15"/>
      <c r="P999" s="13"/>
      <c r="Q999" s="13"/>
      <c r="R999" s="13"/>
      <c r="S999" s="13"/>
      <c r="T999" s="13"/>
      <c r="U999" s="13"/>
      <c r="V999" s="15"/>
      <c r="W999" s="15"/>
      <c r="X999" s="15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5"/>
      <c r="H1000" s="13"/>
      <c r="I1000" s="13"/>
      <c r="J1000" s="13"/>
      <c r="K1000" s="13"/>
      <c r="L1000" s="14"/>
      <c r="M1000" s="13"/>
      <c r="N1000" s="15"/>
      <c r="O1000" s="15"/>
      <c r="P1000" s="13"/>
      <c r="Q1000" s="13"/>
      <c r="R1000" s="13"/>
      <c r="S1000" s="13"/>
      <c r="T1000" s="13"/>
      <c r="U1000" s="13"/>
      <c r="V1000" s="15"/>
      <c r="W1000" s="15"/>
      <c r="X1000" s="15"/>
      <c r="Y1000" s="13"/>
      <c r="Z1000" s="13"/>
      <c r="AA1000" s="13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Y8"/>
    <hyperlink r:id="rId9" ref="T9"/>
    <hyperlink r:id="rId10" ref="Y9"/>
    <hyperlink r:id="rId11" ref="T10"/>
    <hyperlink r:id="rId12" ref="Y10"/>
    <hyperlink r:id="rId13" ref="T11"/>
    <hyperlink r:id="rId14" ref="Y11"/>
    <hyperlink r:id="rId15" ref="T12"/>
    <hyperlink r:id="rId16" ref="Y12"/>
    <hyperlink r:id="rId17" ref="T13"/>
    <hyperlink r:id="rId18" ref="Y13"/>
    <hyperlink r:id="rId19" ref="T14"/>
    <hyperlink r:id="rId20" ref="Y14"/>
    <hyperlink r:id="rId21" ref="T15"/>
    <hyperlink r:id="rId22" ref="Y15"/>
    <hyperlink r:id="rId23" ref="T16"/>
    <hyperlink r:id="rId24" ref="Y16"/>
    <hyperlink r:id="rId25" ref="T17"/>
    <hyperlink r:id="rId26" ref="Y17"/>
    <hyperlink r:id="rId27" ref="T18"/>
    <hyperlink r:id="rId28" ref="Y18"/>
    <hyperlink r:id="rId29" ref="T19"/>
    <hyperlink r:id="rId30" ref="Y19"/>
    <hyperlink r:id="rId31" ref="T20"/>
    <hyperlink r:id="rId32" ref="Y20"/>
    <hyperlink r:id="rId33" ref="T21"/>
    <hyperlink r:id="rId34" ref="Y21"/>
    <hyperlink r:id="rId35" ref="T22"/>
    <hyperlink r:id="rId36" ref="Y22"/>
    <hyperlink r:id="rId37" ref="T23"/>
    <hyperlink r:id="rId38" ref="Y23"/>
    <hyperlink r:id="rId39" ref="T24"/>
    <hyperlink r:id="rId40" ref="Y24"/>
    <hyperlink r:id="rId41" ref="T25"/>
    <hyperlink r:id="rId42" ref="Y25"/>
    <hyperlink r:id="rId43" ref="T26"/>
    <hyperlink r:id="rId44" ref="Y26"/>
    <hyperlink r:id="rId45" ref="T27"/>
    <hyperlink r:id="rId46" ref="Y27"/>
    <hyperlink r:id="rId47" ref="T28"/>
    <hyperlink r:id="rId48" ref="Y28"/>
    <hyperlink r:id="rId49" ref="T29"/>
    <hyperlink r:id="rId50" ref="Y29"/>
    <hyperlink r:id="rId51" ref="T30"/>
    <hyperlink r:id="rId52" ref="Y30"/>
    <hyperlink r:id="rId53" ref="T31"/>
    <hyperlink r:id="rId54" ref="Y31"/>
    <hyperlink r:id="rId55" ref="T32"/>
    <hyperlink r:id="rId56" ref="Y32"/>
    <hyperlink r:id="rId57" ref="T33"/>
    <hyperlink r:id="rId58" ref="Y33"/>
    <hyperlink r:id="rId59" ref="T34"/>
    <hyperlink r:id="rId60" ref="Y34"/>
    <hyperlink r:id="rId61" ref="T35"/>
    <hyperlink r:id="rId62" ref="Y35"/>
    <hyperlink r:id="rId63" ref="T36"/>
    <hyperlink r:id="rId64" ref="Y36"/>
    <hyperlink r:id="rId65" ref="T37"/>
    <hyperlink r:id="rId66" ref="Y37"/>
    <hyperlink r:id="rId67" ref="T38"/>
    <hyperlink r:id="rId68" ref="Y38"/>
    <hyperlink r:id="rId69" ref="T39"/>
    <hyperlink r:id="rId70" ref="Y39"/>
    <hyperlink r:id="rId71" ref="T40"/>
    <hyperlink r:id="rId72" ref="Y40"/>
    <hyperlink r:id="rId73" ref="T41"/>
    <hyperlink r:id="rId74" ref="Y41"/>
    <hyperlink r:id="rId75" ref="T42"/>
    <hyperlink r:id="rId76" ref="Y42"/>
    <hyperlink r:id="rId77" ref="T43"/>
    <hyperlink r:id="rId78" ref="Y43"/>
    <hyperlink r:id="rId79" ref="T44"/>
    <hyperlink r:id="rId80" ref="Y44"/>
    <hyperlink r:id="rId81" ref="T45"/>
    <hyperlink r:id="rId82" ref="Y45"/>
    <hyperlink r:id="rId83" ref="T46"/>
    <hyperlink r:id="rId84" ref="Y46"/>
    <hyperlink r:id="rId85" ref="T47"/>
    <hyperlink r:id="rId86" ref="Y47"/>
    <hyperlink r:id="rId87" ref="T48"/>
    <hyperlink r:id="rId88" ref="Y48"/>
    <hyperlink r:id="rId89" ref="T49"/>
    <hyperlink r:id="rId90" ref="Y49"/>
    <hyperlink r:id="rId91" ref="T50"/>
    <hyperlink r:id="rId92" ref="Y50"/>
    <hyperlink r:id="rId93" ref="T51"/>
    <hyperlink r:id="rId94" ref="Y51"/>
    <hyperlink r:id="rId95" ref="T52"/>
    <hyperlink r:id="rId96" ref="Y52"/>
    <hyperlink r:id="rId97" ref="T53"/>
    <hyperlink r:id="rId98" ref="Y53"/>
    <hyperlink r:id="rId99" ref="T54"/>
    <hyperlink r:id="rId100" ref="Y54"/>
    <hyperlink r:id="rId101" ref="T55"/>
    <hyperlink r:id="rId102" ref="Y55"/>
    <hyperlink r:id="rId103" ref="T56"/>
    <hyperlink r:id="rId104" ref="Y56"/>
    <hyperlink r:id="rId105" ref="T57"/>
    <hyperlink r:id="rId106" ref="Y57"/>
    <hyperlink r:id="rId107" ref="T58"/>
    <hyperlink r:id="rId108" ref="Y58"/>
    <hyperlink r:id="rId109" ref="T59"/>
    <hyperlink r:id="rId110" ref="Y59"/>
    <hyperlink r:id="rId111" ref="T60"/>
    <hyperlink r:id="rId112" ref="Y60"/>
    <hyperlink r:id="rId113" ref="T61"/>
    <hyperlink r:id="rId114" ref="Y61"/>
    <hyperlink r:id="rId115" ref="T62"/>
    <hyperlink r:id="rId116" ref="Y62"/>
    <hyperlink r:id="rId117" ref="T63"/>
    <hyperlink r:id="rId118" ref="Y63"/>
    <hyperlink r:id="rId119" ref="T64"/>
    <hyperlink r:id="rId120" ref="Y64"/>
    <hyperlink r:id="rId121" ref="T65"/>
    <hyperlink r:id="rId122" ref="Y65"/>
    <hyperlink r:id="rId123" ref="T66"/>
    <hyperlink r:id="rId124" ref="Y66"/>
    <hyperlink r:id="rId125" ref="T67"/>
    <hyperlink r:id="rId126" ref="Y67"/>
    <hyperlink r:id="rId127" ref="T68"/>
    <hyperlink r:id="rId128" ref="Y68"/>
    <hyperlink r:id="rId129" ref="T69"/>
    <hyperlink r:id="rId130" ref="Y69"/>
    <hyperlink r:id="rId131" ref="T70"/>
    <hyperlink r:id="rId132" ref="Y70"/>
    <hyperlink r:id="rId133" ref="T71"/>
    <hyperlink r:id="rId134" ref="Y71"/>
    <hyperlink r:id="rId135" ref="T72"/>
    <hyperlink r:id="rId136" ref="Y72"/>
    <hyperlink r:id="rId137" ref="T73"/>
    <hyperlink r:id="rId138" ref="Y73"/>
    <hyperlink r:id="rId139" ref="T74"/>
    <hyperlink r:id="rId140" ref="Y74"/>
    <hyperlink r:id="rId141" ref="T75"/>
    <hyperlink r:id="rId142" ref="Y75"/>
    <hyperlink r:id="rId143" ref="T76"/>
    <hyperlink r:id="rId144" ref="Y76"/>
    <hyperlink r:id="rId145" ref="T77"/>
    <hyperlink r:id="rId146" ref="Y77"/>
    <hyperlink r:id="rId147" ref="T78"/>
    <hyperlink r:id="rId148" ref="Y78"/>
    <hyperlink r:id="rId149" ref="T79"/>
    <hyperlink r:id="rId150" ref="Y79"/>
    <hyperlink r:id="rId151" ref="T80"/>
    <hyperlink r:id="rId152" ref="Y80"/>
    <hyperlink r:id="rId153" ref="T81"/>
    <hyperlink r:id="rId154" ref="Y81"/>
    <hyperlink r:id="rId155" ref="T82"/>
    <hyperlink r:id="rId156" ref="Y82"/>
    <hyperlink r:id="rId157" ref="T83"/>
    <hyperlink r:id="rId158" ref="Y83"/>
    <hyperlink r:id="rId159" ref="T84"/>
    <hyperlink r:id="rId160" ref="Y84"/>
    <hyperlink r:id="rId161" ref="T85"/>
    <hyperlink r:id="rId162" ref="Y85"/>
    <hyperlink r:id="rId163" ref="T86"/>
    <hyperlink r:id="rId164" ref="Y86"/>
    <hyperlink r:id="rId165" ref="T87"/>
    <hyperlink r:id="rId166" ref="Y87"/>
    <hyperlink r:id="rId167" ref="T88"/>
    <hyperlink r:id="rId168" ref="Y88"/>
    <hyperlink r:id="rId169" ref="T89"/>
    <hyperlink r:id="rId170" ref="Y89"/>
    <hyperlink r:id="rId171" ref="T90"/>
    <hyperlink r:id="rId172" ref="Y90"/>
    <hyperlink r:id="rId173" ref="T91"/>
    <hyperlink r:id="rId174" ref="Y91"/>
    <hyperlink r:id="rId175" ref="T92"/>
    <hyperlink r:id="rId176" ref="Y92"/>
    <hyperlink r:id="rId177" ref="T93"/>
    <hyperlink r:id="rId178" ref="Y93"/>
    <hyperlink r:id="rId179" ref="T94"/>
    <hyperlink r:id="rId180" ref="Y94"/>
    <hyperlink r:id="rId181" ref="T95"/>
    <hyperlink r:id="rId182" ref="Y95"/>
    <hyperlink r:id="rId183" ref="T96"/>
    <hyperlink r:id="rId184" ref="Y96"/>
    <hyperlink r:id="rId185" ref="T97"/>
    <hyperlink r:id="rId186" ref="Y97"/>
    <hyperlink r:id="rId187" ref="T98"/>
    <hyperlink r:id="rId188" ref="Y98"/>
    <hyperlink r:id="rId189" ref="T99"/>
    <hyperlink r:id="rId190" ref="Y99"/>
    <hyperlink r:id="rId191" ref="T100"/>
    <hyperlink r:id="rId192" ref="Y100"/>
    <hyperlink r:id="rId193" ref="T101"/>
    <hyperlink r:id="rId194" ref="Y101"/>
    <hyperlink r:id="rId195" ref="T102"/>
    <hyperlink r:id="rId196" ref="Y102"/>
    <hyperlink r:id="rId197" ref="T103"/>
    <hyperlink r:id="rId198" ref="T104"/>
    <hyperlink r:id="rId199" ref="T105"/>
    <hyperlink r:id="rId200" ref="T106"/>
    <hyperlink r:id="rId201" ref="T107"/>
    <hyperlink r:id="rId202" ref="T108"/>
    <hyperlink r:id="rId203" ref="T109"/>
    <hyperlink r:id="rId204" ref="T110"/>
    <hyperlink r:id="rId205" ref="T111"/>
    <hyperlink r:id="rId206" ref="T112"/>
    <hyperlink r:id="rId207" ref="T113"/>
    <hyperlink r:id="rId208" ref="Y113"/>
    <hyperlink r:id="rId209" ref="T114"/>
    <hyperlink r:id="rId210" ref="Y114"/>
    <hyperlink r:id="rId211" ref="T115"/>
    <hyperlink r:id="rId212" ref="Y115"/>
    <hyperlink r:id="rId213" ref="T116"/>
    <hyperlink r:id="rId214" ref="Y116"/>
    <hyperlink r:id="rId215" ref="T117"/>
    <hyperlink r:id="rId216" ref="Y117"/>
    <hyperlink r:id="rId217" ref="T118"/>
    <hyperlink r:id="rId218" ref="Y118"/>
    <hyperlink r:id="rId219" ref="T119"/>
    <hyperlink r:id="rId220" ref="Y119"/>
    <hyperlink r:id="rId221" ref="T120"/>
    <hyperlink r:id="rId222" ref="Y120"/>
    <hyperlink r:id="rId223" ref="T121"/>
    <hyperlink r:id="rId224" ref="Y121"/>
    <hyperlink r:id="rId225" ref="T122"/>
    <hyperlink r:id="rId226" ref="Y122"/>
    <hyperlink r:id="rId227" ref="T123"/>
    <hyperlink r:id="rId228" ref="Y123"/>
    <hyperlink r:id="rId229" ref="T124"/>
    <hyperlink r:id="rId230" ref="Y124"/>
    <hyperlink r:id="rId231" ref="T125"/>
    <hyperlink r:id="rId232" ref="Y125"/>
    <hyperlink r:id="rId233" ref="T126"/>
    <hyperlink r:id="rId234" ref="Y126"/>
    <hyperlink r:id="rId235" ref="T127"/>
    <hyperlink r:id="rId236" ref="Y127"/>
    <hyperlink r:id="rId237" ref="T128"/>
    <hyperlink r:id="rId238" ref="Y128"/>
    <hyperlink r:id="rId239" ref="T129"/>
    <hyperlink r:id="rId240" ref="Y129"/>
    <hyperlink r:id="rId241" ref="T130"/>
    <hyperlink r:id="rId242" ref="Y130"/>
    <hyperlink r:id="rId243" ref="T131"/>
    <hyperlink r:id="rId244" ref="Y131"/>
    <hyperlink r:id="rId245" ref="T132"/>
    <hyperlink r:id="rId246" ref="Y132"/>
  </hyperlinks>
  <drawing r:id="rId2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8.0"/>
    <col customWidth="1" min="3" max="3" width="10.75"/>
    <col customWidth="1" min="4" max="4" width="12.63"/>
    <col customWidth="1" min="5" max="5" width="17.63"/>
    <col customWidth="1" min="6" max="6" width="11.63"/>
    <col customWidth="1" min="7" max="7" width="21.0"/>
    <col customWidth="1" min="8" max="8" width="25.5"/>
    <col customWidth="1" min="9" max="9" width="5.5"/>
    <col customWidth="1" min="10" max="10" width="13.0"/>
    <col customWidth="1" min="12" max="12" width="13.5"/>
    <col customWidth="1" min="13" max="13" width="9.38"/>
    <col customWidth="1" min="14" max="14" width="6.5"/>
    <col customWidth="1" min="16" max="16" width="11.63"/>
    <col customWidth="1" min="17" max="17" width="13.75"/>
    <col customWidth="1" min="18" max="18" width="11.75"/>
    <col customWidth="1" min="19" max="20" width="10.75"/>
    <col customWidth="1" min="21" max="21" width="11.5"/>
    <col customWidth="1" min="22" max="22" width="9.38"/>
    <col customWidth="1" min="23" max="23" width="8.63"/>
    <col customWidth="1" min="24" max="24" width="16.25"/>
    <col customWidth="1" min="25" max="25" width="11.63"/>
    <col customWidth="1" min="26" max="26" width="13.0"/>
  </cols>
  <sheetData>
    <row r="1">
      <c r="A1" s="17" t="str">
        <f>IFERROR(__xludf.DUMMYFUNCTION("QUERY(
   IMPORTRANGE(""https://docs.google.com/spreadsheets/d/16TqrqLY_pSNx0kBAX6c6JzSLOEmwd7bdLhwPWXEI1vE/edit?gid=1062861532#gid=1062861532"", ""Контроль Чайхана!A:Z""),)"),"Период")</f>
        <v>Период</v>
      </c>
      <c r="B1" s="18" t="str">
        <f>IFERROR(__xludf.DUMMYFUNCTION("""COMPUTED_VALUE"""),"Месяц")</f>
        <v>Месяц</v>
      </c>
      <c r="C1" s="18" t="str">
        <f>IFERROR(__xludf.DUMMYFUNCTION("""COMPUTED_VALUE"""),"ФОТ")</f>
        <v>ФОТ</v>
      </c>
      <c r="D1" s="19" t="str">
        <f>IFERROR(__xludf.DUMMYFUNCTION("""COMPUTED_VALUE"""),"Выручка")</f>
        <v>Выручка</v>
      </c>
      <c r="E1" s="18" t="str">
        <f>IFERROR(__xludf.DUMMYFUNCTION("""COMPUTED_VALUE"""),"Оплачено Чайханой")</f>
        <v>Оплачено Чайханой</v>
      </c>
      <c r="F1" s="18" t="str">
        <f>IFERROR(__xludf.DUMMYFUNCTION("""COMPUTED_VALUE"""),"Разница")</f>
        <v>Разница</v>
      </c>
      <c r="G1" s="18" t="str">
        <f>IFERROR(__xludf.DUMMYFUNCTION("""COMPUTED_VALUE"""),"Статус")</f>
        <v>Статус</v>
      </c>
      <c r="H1" s="17" t="str">
        <f>IFERROR(__xludf.DUMMYFUNCTION("""COMPUTED_VALUE"""),"Комментарий")</f>
        <v>Комментарий</v>
      </c>
      <c r="I1" s="20" t="str">
        <f>IFERROR(__xludf.DUMMYFUNCTION("""COMPUTED_VALUE"""),"")</f>
        <v/>
      </c>
      <c r="J1" s="21" t="str">
        <f>IFERROR(__xludf.DUMMYFUNCTION("""COMPUTED_VALUE"""),"39 009 598,42 ₽")</f>
        <v>39 009 598,42 ₽</v>
      </c>
      <c r="K1" s="20" t="str">
        <f>IFERROR(__xludf.DUMMYFUNCTION("""COMPUTED_VALUE"""),"К оплате")</f>
        <v>К оплате</v>
      </c>
      <c r="L1" s="22" t="str">
        <f>IFERROR(__xludf.DUMMYFUNCTION("""COMPUTED_VALUE"""),"Лицо")</f>
        <v>Лицо</v>
      </c>
      <c r="M1" s="23" t="str">
        <f>IFERROR(__xludf.DUMMYFUNCTION("""COMPUTED_VALUE"""),"Дата")</f>
        <v>Дата</v>
      </c>
      <c r="N1" s="24" t="str">
        <f>IFERROR(__xludf.DUMMYFUNCTION("""COMPUTED_VALUE"""),"Сумма")</f>
        <v>Сумма</v>
      </c>
      <c r="O1" s="20" t="str">
        <f>IFERROR(__xludf.DUMMYFUNCTION("""COMPUTED_VALUE"""),"")</f>
        <v/>
      </c>
      <c r="P1" s="25" t="str">
        <f>IFERROR(__xludf.DUMMYFUNCTION("""COMPUTED_VALUE"""),"Разбивки")</f>
        <v>Разбивки</v>
      </c>
      <c r="Q1" s="26" t="str">
        <f>IFERROR(__xludf.DUMMYFUNCTION("""COMPUTED_VALUE"""),"НАУИОКАЙТИС")</f>
        <v>НАУИОКАЙТИС</v>
      </c>
      <c r="R1" s="27" t="str">
        <f>IFERROR(__xludf.DUMMYFUNCTION("""COMPUTED_VALUE"""),"Джанашвили")</f>
        <v>Джанашвили</v>
      </c>
      <c r="S1" s="26" t="str">
        <f>IFERROR(__xludf.DUMMYFUNCTION("""COMPUTED_VALUE"""),"Маукеева")</f>
        <v>Маукеева</v>
      </c>
      <c r="T1" s="27" t="str">
        <f>IFERROR(__xludf.DUMMYFUNCTION("""COMPUTED_VALUE"""),"БЕН-ЭЛИ")</f>
        <v>БЕН-ЭЛИ</v>
      </c>
      <c r="U1" s="26" t="str">
        <f>IFERROR(__xludf.DUMMYFUNCTION("""COMPUTED_VALUE"""),"Мадмурадов")</f>
        <v>Мадмурадов</v>
      </c>
      <c r="V1" s="27" t="str">
        <f>IFERROR(__xludf.DUMMYFUNCTION("""COMPUTED_VALUE"""),"Жамгоцян")</f>
        <v>Жамгоцян</v>
      </c>
      <c r="W1" s="26" t="str">
        <f>IFERROR(__xludf.DUMMYFUNCTION("""COMPUTED_VALUE"""),"ПАШАЯН")</f>
        <v>ПАШАЯН</v>
      </c>
      <c r="X1" s="28" t="str">
        <f>IFERROR(__xludf.DUMMYFUNCTION("""COMPUTED_VALUE"""),"Итого выставлено")</f>
        <v>Итого выставлено</v>
      </c>
      <c r="Y1" s="28" t="str">
        <f>IFERROR(__xludf.DUMMYFUNCTION("""COMPUTED_VALUE"""),"Выручка")</f>
        <v>Выручка</v>
      </c>
      <c r="Z1" s="28" t="str">
        <f>IFERROR(__xludf.DUMMYFUNCTION("""COMPUTED_VALUE"""),"Итого разница")</f>
        <v>Итого разница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9"/>
      <c r="AQ1" s="29"/>
      <c r="AR1" s="29"/>
      <c r="AS1" s="29"/>
      <c r="AT1" s="29"/>
      <c r="AU1" s="29"/>
      <c r="AV1" s="29"/>
      <c r="AW1" s="29"/>
      <c r="AX1" s="29"/>
    </row>
    <row r="2">
      <c r="A2" s="30" t="str">
        <f>IFERROR(__xludf.DUMMYFUNCTION("""COMPUTED_VALUE"""),"1-31.10.2025")</f>
        <v>1-31.10.2025</v>
      </c>
      <c r="B2" s="17" t="str">
        <f>IFERROR(__xludf.DUMMYFUNCTION("""COMPUTED_VALUE"""),"Октябрь")</f>
        <v>Октябрь</v>
      </c>
      <c r="C2" s="31">
        <f>IFERROR(__xludf.DUMMYFUNCTION("""COMPUTED_VALUE"""),6392720.0)</f>
        <v>6392720</v>
      </c>
      <c r="D2" s="32">
        <f>IFERROR(__xludf.DUMMYFUNCTION("""COMPUTED_VALUE"""),7415555.199999999)</f>
        <v>7415555.2</v>
      </c>
      <c r="E2" s="31">
        <f>IFERROR(__xludf.DUMMYFUNCTION("""COMPUTED_VALUE"""),7415555.199999999)</f>
        <v>7415555.2</v>
      </c>
      <c r="F2" s="31">
        <f>IFERROR(__xludf.DUMMYFUNCTION("""COMPUTED_VALUE"""),0.0)</f>
        <v>0</v>
      </c>
      <c r="G2" s="17" t="str">
        <f>IFERROR(__xludf.DUMMYFUNCTION("""COMPUTED_VALUE"""),"Оплачено")</f>
        <v>Оплачено</v>
      </c>
      <c r="H2" s="33" t="str">
        <f>IFERROR(__xludf.DUMMYFUNCTION("""COMPUTED_VALUE"""),"Выставили в ноябрь счет")</f>
        <v>Выставили в ноябрь счет</v>
      </c>
      <c r="I2" s="20"/>
      <c r="J2" s="34">
        <f>IFERROR(__xludf.DUMMYFUNCTION("""COMPUTED_VALUE"""),2.134165689E7)</f>
        <v>21341656.89</v>
      </c>
      <c r="K2" s="20" t="str">
        <f>IFERROR(__xludf.DUMMYFUNCTION("""COMPUTED_VALUE"""),"Оплачено")</f>
        <v>Оплачено</v>
      </c>
      <c r="L2" s="35" t="str">
        <f>IFERROR(__xludf.DUMMYFUNCTION("""COMPUTED_VALUE"""),"Мадмурадов")</f>
        <v>Мадмурадов</v>
      </c>
      <c r="M2" s="36">
        <f>IFERROR(__xludf.DUMMYFUNCTION("""COMPUTED_VALUE"""),45982.0)</f>
        <v>45982</v>
      </c>
      <c r="N2" s="29">
        <f>IFERROR(__xludf.DUMMYFUNCTION("""COMPUTED_VALUE"""),162500.0)</f>
        <v>162500</v>
      </c>
      <c r="O2" s="20"/>
      <c r="P2" s="37" t="str">
        <f>IFERROR(__xludf.DUMMYFUNCTION("""COMPUTED_VALUE"""),"1-30.10.2025")</f>
        <v>1-30.10.2025</v>
      </c>
      <c r="Q2" s="38">
        <f>IFERROR(__xludf.DUMMYFUNCTION("""COMPUTED_VALUE"""),3475945.0)</f>
        <v>3475945</v>
      </c>
      <c r="R2" s="39">
        <f>IFERROR(__xludf.DUMMYFUNCTION("""COMPUTED_VALUE"""),1368925.0)</f>
        <v>1368925</v>
      </c>
      <c r="S2" s="38">
        <f>IFERROR(__xludf.DUMMYFUNCTION("""COMPUTED_VALUE"""),1175748.0)</f>
        <v>1175748</v>
      </c>
      <c r="T2" s="39">
        <f>IFERROR(__xludf.DUMMYFUNCTION("""COMPUTED_VALUE"""),901295.0)</f>
        <v>901295</v>
      </c>
      <c r="U2" s="38">
        <f>IFERROR(__xludf.DUMMYFUNCTION("""COMPUTED_VALUE"""),493740.0)</f>
        <v>493740</v>
      </c>
      <c r="V2" s="40"/>
      <c r="W2" s="41"/>
      <c r="X2" s="42">
        <f>IFERROR(__xludf.DUMMYFUNCTION("""COMPUTED_VALUE"""),7415653.0)</f>
        <v>7415653</v>
      </c>
      <c r="Y2" s="42">
        <f>IFERROR(__xludf.DUMMYFUNCTION("""COMPUTED_VALUE"""),7415653.0)</f>
        <v>7415653</v>
      </c>
      <c r="Z2" s="42">
        <f>IFERROR(__xludf.DUMMYFUNCTION("""COMPUTED_VALUE"""),0.0)</f>
        <v>0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9"/>
      <c r="AQ2" s="29"/>
      <c r="AR2" s="29"/>
      <c r="AS2" s="29"/>
      <c r="AT2" s="29"/>
      <c r="AU2" s="29"/>
      <c r="AV2" s="29"/>
      <c r="AW2" s="29"/>
      <c r="AX2" s="29"/>
    </row>
    <row r="3">
      <c r="A3" s="30" t="str">
        <f>IFERROR(__xludf.DUMMYFUNCTION("""COMPUTED_VALUE"""),"1-15.11.2025")</f>
        <v>1-15.11.2025</v>
      </c>
      <c r="B3" s="17" t="str">
        <f>IFERROR(__xludf.DUMMYFUNCTION("""COMPUTED_VALUE"""),"Ноябрь")</f>
        <v>Ноябрь</v>
      </c>
      <c r="C3" s="31">
        <f>IFERROR(__xludf.DUMMYFUNCTION("""COMPUTED_VALUE"""),3555636.0)</f>
        <v>3555636</v>
      </c>
      <c r="D3" s="32">
        <f>IFERROR(__xludf.DUMMYFUNCTION("""COMPUTED_VALUE"""),4373432.28)</f>
        <v>4373432.28</v>
      </c>
      <c r="E3" s="31">
        <f>IFERROR(__xludf.DUMMYFUNCTION("""COMPUTED_VALUE"""),4373432.28)</f>
        <v>4373432.28</v>
      </c>
      <c r="F3" s="31">
        <f>IFERROR(__xludf.DUMMYFUNCTION("""COMPUTED_VALUE"""),0.0)</f>
        <v>0</v>
      </c>
      <c r="G3" s="17" t="str">
        <f>IFERROR(__xludf.DUMMYFUNCTION("""COMPUTED_VALUE"""),"Оплачено")</f>
        <v>Оплачено</v>
      </c>
      <c r="H3" s="30"/>
      <c r="I3" s="20"/>
      <c r="J3" s="21">
        <f>IFERROR(__xludf.DUMMYFUNCTION("""COMPUTED_VALUE"""),1.766794153E7)</f>
        <v>17667941.53</v>
      </c>
      <c r="K3" s="20" t="str">
        <f>IFERROR(__xludf.DUMMYFUNCTION("""COMPUTED_VALUE"""),"Разница")</f>
        <v>Разница</v>
      </c>
      <c r="L3" s="20" t="str">
        <f>IFERROR(__xludf.DUMMYFUNCTION("""COMPUTED_VALUE"""),"Маукеева")</f>
        <v>Маукеева</v>
      </c>
      <c r="M3" s="36">
        <f>IFERROR(__xludf.DUMMYFUNCTION("""COMPUTED_VALUE"""),45982.0)</f>
        <v>45982</v>
      </c>
      <c r="N3" s="29">
        <f>IFERROR(__xludf.DUMMYFUNCTION("""COMPUTED_VALUE"""),254700.0)</f>
        <v>254700</v>
      </c>
      <c r="O3" s="20"/>
      <c r="P3" s="37" t="str">
        <f>IFERROR(__xludf.DUMMYFUNCTION("""COMPUTED_VALUE"""),"1-15.11.2025")</f>
        <v>1-15.11.2025</v>
      </c>
      <c r="Q3" s="38">
        <f>IFERROR(__xludf.DUMMYFUNCTION("""COMPUTED_VALUE"""),1702545.28)</f>
        <v>1702545.28</v>
      </c>
      <c r="R3" s="39">
        <f>IFERROR(__xludf.DUMMYFUNCTION("""COMPUTED_VALUE"""),986350.0)</f>
        <v>986350</v>
      </c>
      <c r="S3" s="38">
        <f>IFERROR(__xludf.DUMMYFUNCTION("""COMPUTED_VALUE"""),1240240.0)</f>
        <v>1240240</v>
      </c>
      <c r="T3" s="39">
        <f>IFERROR(__xludf.DUMMYFUNCTION("""COMPUTED_VALUE"""),444297.0)</f>
        <v>444297</v>
      </c>
      <c r="U3" s="41"/>
      <c r="V3" s="40"/>
      <c r="W3" s="41"/>
      <c r="X3" s="42">
        <f>IFERROR(__xludf.DUMMYFUNCTION("""COMPUTED_VALUE"""),4373432.28)</f>
        <v>4373432.28</v>
      </c>
      <c r="Y3" s="42">
        <f>IFERROR(__xludf.DUMMYFUNCTION("""COMPUTED_VALUE"""),4373432.28)</f>
        <v>4373432.28</v>
      </c>
      <c r="Z3" s="42">
        <f>IFERROR(__xludf.DUMMYFUNCTION("""COMPUTED_VALUE"""),0.0)</f>
        <v>0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9"/>
      <c r="AQ3" s="29"/>
      <c r="AR3" s="29"/>
      <c r="AS3" s="29"/>
      <c r="AT3" s="29"/>
      <c r="AU3" s="29"/>
      <c r="AV3" s="29"/>
      <c r="AW3" s="29"/>
      <c r="AX3" s="29"/>
    </row>
    <row r="4">
      <c r="A4" s="30" t="str">
        <f>IFERROR(__xludf.DUMMYFUNCTION("""COMPUTED_VALUE"""),"16-30.11.2025")</f>
        <v>16-30.11.2025</v>
      </c>
      <c r="B4" s="17" t="str">
        <f>IFERROR(__xludf.DUMMYFUNCTION("""COMPUTED_VALUE"""),"Ноябрь")</f>
        <v>Ноябрь</v>
      </c>
      <c r="C4" s="31">
        <f>IFERROR(__xludf.DUMMYFUNCTION("""COMPUTED_VALUE"""),5004007.0)</f>
        <v>5004007</v>
      </c>
      <c r="D4" s="32">
        <f>IFERROR(__xludf.DUMMYFUNCTION("""COMPUTED_VALUE"""),6154928.61)</f>
        <v>6154928.61</v>
      </c>
      <c r="E4" s="31">
        <f>IFERROR(__xludf.DUMMYFUNCTION("""COMPUTED_VALUE"""),6154928.61)</f>
        <v>6154928.61</v>
      </c>
      <c r="F4" s="31">
        <f>IFERROR(__xludf.DUMMYFUNCTION("""COMPUTED_VALUE"""),0.0)</f>
        <v>0</v>
      </c>
      <c r="G4" s="17" t="str">
        <f>IFERROR(__xludf.DUMMYFUNCTION("""COMPUTED_VALUE"""),"Оплачено")</f>
        <v>Оплачено</v>
      </c>
      <c r="H4" s="30"/>
      <c r="I4" s="20"/>
      <c r="J4" s="34"/>
      <c r="K4" s="20"/>
      <c r="L4" s="20" t="str">
        <f>IFERROR(__xludf.DUMMYFUNCTION("""COMPUTED_VALUE"""),"Джанашвили")</f>
        <v>Джанашвили</v>
      </c>
      <c r="M4" s="36">
        <f>IFERROR(__xludf.DUMMYFUNCTION("""COMPUTED_VALUE"""),45982.0)</f>
        <v>45982</v>
      </c>
      <c r="N4" s="29">
        <f>IFERROR(__xludf.DUMMYFUNCTION("""COMPUTED_VALUE"""),141200.0)</f>
        <v>141200</v>
      </c>
      <c r="O4" s="20"/>
      <c r="P4" s="37" t="str">
        <f>IFERROR(__xludf.DUMMYFUNCTION("""COMPUTED_VALUE"""),"16-30.11.2025")</f>
        <v>16-30.11.2025</v>
      </c>
      <c r="Q4" s="38">
        <f>IFERROR(__xludf.DUMMYFUNCTION("""COMPUTED_VALUE"""),2657130.87)</f>
        <v>2657130.87</v>
      </c>
      <c r="R4" s="39">
        <f>IFERROR(__xludf.DUMMYFUNCTION("""COMPUTED_VALUE"""),1461920.19)</f>
        <v>1461920.19</v>
      </c>
      <c r="S4" s="38">
        <f>IFERROR(__xludf.DUMMYFUNCTION("""COMPUTED_VALUE"""),1386191.55)</f>
        <v>1386191.55</v>
      </c>
      <c r="T4" s="39">
        <f>IFERROR(__xludf.DUMMYFUNCTION("""COMPUTED_VALUE"""),649686.0)</f>
        <v>649686</v>
      </c>
      <c r="U4" s="41"/>
      <c r="V4" s="40"/>
      <c r="W4" s="41"/>
      <c r="X4" s="42">
        <f>IFERROR(__xludf.DUMMYFUNCTION("""COMPUTED_VALUE"""),6154928.61)</f>
        <v>6154928.61</v>
      </c>
      <c r="Y4" s="42">
        <f>IFERROR(__xludf.DUMMYFUNCTION("""COMPUTED_VALUE"""),6154928.61)</f>
        <v>6154928.61</v>
      </c>
      <c r="Z4" s="42">
        <f>IFERROR(__xludf.DUMMYFUNCTION("""COMPUTED_VALUE"""),0.0)</f>
        <v>0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9"/>
      <c r="AQ4" s="29"/>
      <c r="AR4" s="29"/>
      <c r="AS4" s="29"/>
      <c r="AT4" s="29"/>
      <c r="AU4" s="29"/>
      <c r="AV4" s="29"/>
      <c r="AW4" s="29"/>
      <c r="AX4" s="29"/>
    </row>
    <row r="5">
      <c r="A5" s="30" t="str">
        <f>IFERROR(__xludf.DUMMYFUNCTION("""COMPUTED_VALUE"""),"1-31.12.2025")</f>
        <v>1-31.12.2025</v>
      </c>
      <c r="B5" s="17" t="str">
        <f>IFERROR(__xludf.DUMMYFUNCTION("""COMPUTED_VALUE"""),"Декабрь")</f>
        <v>Декабрь</v>
      </c>
      <c r="C5" s="31">
        <f>IFERROR(__xludf.DUMMYFUNCTION("""COMPUTED_VALUE"""),8714742.0)</f>
        <v>8714742</v>
      </c>
      <c r="D5" s="32">
        <f>IFERROR(__xludf.DUMMYFUNCTION("""COMPUTED_VALUE"""),1.071913266E7)</f>
        <v>10719132.66</v>
      </c>
      <c r="E5" s="31">
        <f>IFERROR(__xludf.DUMMYFUNCTION("""COMPUTED_VALUE"""),3397740.8000000007)</f>
        <v>3397740.8</v>
      </c>
      <c r="F5" s="31">
        <f>IFERROR(__xludf.DUMMYFUNCTION("""COMPUTED_VALUE"""),7321391.859999999)</f>
        <v>7321391.86</v>
      </c>
      <c r="G5" s="17" t="str">
        <f>IFERROR(__xludf.DUMMYFUNCTION("""COMPUTED_VALUE"""),"Сч выставлен, ожидаем")</f>
        <v>Сч выставлен, ожидаем</v>
      </c>
      <c r="H5" s="30"/>
      <c r="I5" s="20"/>
      <c r="J5" s="21"/>
      <c r="K5" s="20"/>
      <c r="L5" s="20" t="str">
        <f>IFERROR(__xludf.DUMMYFUNCTION("""COMPUTED_VALUE"""),"Маукеева")</f>
        <v>Маукеева</v>
      </c>
      <c r="M5" s="36">
        <f>IFERROR(__xludf.DUMMYFUNCTION("""COMPUTED_VALUE"""),45982.0)</f>
        <v>45982</v>
      </c>
      <c r="N5" s="29">
        <f>IFERROR(__xludf.DUMMYFUNCTION("""COMPUTED_VALUE"""),110300.0)</f>
        <v>110300</v>
      </c>
      <c r="O5" s="20"/>
      <c r="P5" s="37" t="str">
        <f>IFERROR(__xludf.DUMMYFUNCTION("""COMPUTED_VALUE"""),"1-31.12.2025")</f>
        <v>1-31.12.2025</v>
      </c>
      <c r="Q5" s="38">
        <f>IFERROR(__xludf.DUMMYFUNCTION("""COMPUTED_VALUE"""),4287654.66)</f>
        <v>4287654.66</v>
      </c>
      <c r="R5" s="39">
        <f>IFERROR(__xludf.DUMMYFUNCTION("""COMPUTED_VALUE"""),3460907.0)</f>
        <v>3460907</v>
      </c>
      <c r="S5" s="38">
        <f>IFERROR(__xludf.DUMMYFUNCTION("""COMPUTED_VALUE"""),2143826.0)</f>
        <v>2143826</v>
      </c>
      <c r="T5" s="39">
        <f>IFERROR(__xludf.DUMMYFUNCTION("""COMPUTED_VALUE"""),826745.0)</f>
        <v>826745</v>
      </c>
      <c r="U5" s="41"/>
      <c r="V5" s="40"/>
      <c r="W5" s="41"/>
      <c r="X5" s="42">
        <f>IFERROR(__xludf.DUMMYFUNCTION("""COMPUTED_VALUE"""),1.071913266E7)</f>
        <v>10719132.66</v>
      </c>
      <c r="Y5" s="42">
        <f>IFERROR(__xludf.DUMMYFUNCTION("""COMPUTED_VALUE"""),1.071913266E7)</f>
        <v>10719132.66</v>
      </c>
      <c r="Z5" s="42">
        <f>IFERROR(__xludf.DUMMYFUNCTION("""COMPUTED_VALUE"""),0.0)</f>
        <v>0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9"/>
      <c r="AQ5" s="29"/>
      <c r="AR5" s="29"/>
      <c r="AS5" s="29"/>
      <c r="AT5" s="29"/>
      <c r="AU5" s="29"/>
      <c r="AV5" s="29"/>
      <c r="AW5" s="29"/>
      <c r="AX5" s="29"/>
    </row>
    <row r="6">
      <c r="A6" s="30" t="str">
        <f>IFERROR(__xludf.DUMMYFUNCTION("""COMPUTED_VALUE"""),"1-31.01.2026")</f>
        <v>1-31.01.2026</v>
      </c>
      <c r="B6" s="17" t="str">
        <f>IFERROR(__xludf.DUMMYFUNCTION("""COMPUTED_VALUE"""),"Январь")</f>
        <v>Январь</v>
      </c>
      <c r="C6" s="31">
        <f>IFERROR(__xludf.DUMMYFUNCTION("""COMPUTED_VALUE"""),8411829.0)</f>
        <v>8411829</v>
      </c>
      <c r="D6" s="32">
        <f>IFERROR(__xludf.DUMMYFUNCTION("""COMPUTED_VALUE"""),1.034654967E7)</f>
        <v>10346549.67</v>
      </c>
      <c r="E6" s="31">
        <f>IFERROR(__xludf.DUMMYFUNCTION("""COMPUTED_VALUE"""),0.0)</f>
        <v>0</v>
      </c>
      <c r="F6" s="31">
        <f>IFERROR(__xludf.DUMMYFUNCTION("""COMPUTED_VALUE"""),1.034654967E7)</f>
        <v>10346549.67</v>
      </c>
      <c r="G6" s="17" t="str">
        <f>IFERROR(__xludf.DUMMYFUNCTION("""COMPUTED_VALUE"""),"Сч выставлен, ожидаем")</f>
        <v>Сч выставлен, ожидаем</v>
      </c>
      <c r="H6" s="30"/>
      <c r="I6" s="20"/>
      <c r="J6" s="34"/>
      <c r="K6" s="20"/>
      <c r="L6" s="35" t="str">
        <f>IFERROR(__xludf.DUMMYFUNCTION("""COMPUTED_VALUE"""),"Мадмурадов")</f>
        <v>Мадмурадов</v>
      </c>
      <c r="M6" s="36">
        <f>IFERROR(__xludf.DUMMYFUNCTION("""COMPUTED_VALUE"""),45982.0)</f>
        <v>45982</v>
      </c>
      <c r="N6" s="29">
        <f>IFERROR(__xludf.DUMMYFUNCTION("""COMPUTED_VALUE"""),183250.0)</f>
        <v>183250</v>
      </c>
      <c r="O6" s="20"/>
      <c r="P6" s="37" t="str">
        <f>IFERROR(__xludf.DUMMYFUNCTION("""COMPUTED_VALUE"""),"1-31.01.2026")</f>
        <v>1-31.01.2026</v>
      </c>
      <c r="Q6" s="38">
        <f>IFERROR(__xludf.DUMMYFUNCTION("""COMPUTED_VALUE"""),4138619.67)</f>
        <v>4138619.67</v>
      </c>
      <c r="R6" s="39">
        <f>IFERROR(__xludf.DUMMYFUNCTION("""COMPUTED_VALUE"""),3103965.0)</f>
        <v>3103965</v>
      </c>
      <c r="S6" s="38">
        <f>IFERROR(__xludf.DUMMYFUNCTION("""COMPUTED_VALUE"""),2069310.0)</f>
        <v>2069310</v>
      </c>
      <c r="T6" s="39">
        <f>IFERROR(__xludf.DUMMYFUNCTION("""COMPUTED_VALUE"""),1034655.0)</f>
        <v>1034655</v>
      </c>
      <c r="U6" s="41"/>
      <c r="V6" s="40"/>
      <c r="W6" s="41"/>
      <c r="X6" s="42">
        <f>IFERROR(__xludf.DUMMYFUNCTION("""COMPUTED_VALUE"""),1.034654967E7)</f>
        <v>10346549.67</v>
      </c>
      <c r="Y6" s="42">
        <f>IFERROR(__xludf.DUMMYFUNCTION("""COMPUTED_VALUE"""),1.034654967E7)</f>
        <v>10346549.67</v>
      </c>
      <c r="Z6" s="42">
        <f>IFERROR(__xludf.DUMMYFUNCTION("""COMPUTED_VALUE"""),0.0)</f>
        <v>0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9"/>
      <c r="AQ6" s="29"/>
      <c r="AR6" s="29"/>
      <c r="AS6" s="29"/>
      <c r="AT6" s="29"/>
      <c r="AU6" s="29"/>
      <c r="AV6" s="29"/>
      <c r="AW6" s="29"/>
      <c r="AX6" s="29"/>
    </row>
    <row r="7">
      <c r="A7" s="30"/>
      <c r="B7" s="30"/>
      <c r="C7" s="43"/>
      <c r="D7" s="44"/>
      <c r="E7" s="43"/>
      <c r="F7" s="43"/>
      <c r="G7" s="30"/>
      <c r="H7" s="33" t="str">
        <f>IFERROR(__xludf.DUMMYFUNCTION("""COMPUTED_VALUE"""),"Вычесть 60926 р. из Выручки")</f>
        <v>Вычесть 60926 р. из Выручки</v>
      </c>
      <c r="I7" s="20"/>
      <c r="J7" s="45"/>
      <c r="K7" s="20"/>
      <c r="L7" s="20" t="str">
        <f>IFERROR(__xludf.DUMMYFUNCTION("""COMPUTED_VALUE"""),"НАУИОКАЙТИС")</f>
        <v>НАУИОКАЙТИС</v>
      </c>
      <c r="M7" s="36">
        <f>IFERROR(__xludf.DUMMYFUNCTION("""COMPUTED_VALUE"""),45982.0)</f>
        <v>45982</v>
      </c>
      <c r="N7" s="29">
        <f>IFERROR(__xludf.DUMMYFUNCTION("""COMPUTED_VALUE"""),394000.0)</f>
        <v>394000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9"/>
      <c r="AQ7" s="29"/>
      <c r="AR7" s="29"/>
      <c r="AS7" s="29"/>
      <c r="AT7" s="29"/>
      <c r="AU7" s="29"/>
      <c r="AV7" s="29"/>
      <c r="AW7" s="29"/>
      <c r="AX7" s="29"/>
    </row>
    <row r="8">
      <c r="A8" s="20"/>
      <c r="B8" s="20"/>
      <c r="C8" s="20"/>
      <c r="D8" s="46"/>
      <c r="E8" s="20"/>
      <c r="F8" s="20"/>
      <c r="G8" s="20"/>
      <c r="H8" s="20"/>
      <c r="I8" s="20"/>
      <c r="J8" s="47"/>
      <c r="K8" s="20"/>
      <c r="L8" s="20" t="str">
        <f>IFERROR(__xludf.DUMMYFUNCTION("""COMPUTED_VALUE"""),"Маукеева")</f>
        <v>Маукеева</v>
      </c>
      <c r="M8" s="36">
        <f>IFERROR(__xludf.DUMMYFUNCTION("""COMPUTED_VALUE"""),45985.0)</f>
        <v>45985</v>
      </c>
      <c r="N8" s="29">
        <f>IFERROR(__xludf.DUMMYFUNCTION("""COMPUTED_VALUE"""),130115.0)</f>
        <v>130115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9"/>
      <c r="AQ8" s="29"/>
      <c r="AR8" s="29"/>
      <c r="AS8" s="29"/>
      <c r="AT8" s="29"/>
      <c r="AU8" s="29"/>
      <c r="AV8" s="29"/>
      <c r="AW8" s="29"/>
      <c r="AX8" s="29"/>
    </row>
    <row r="9">
      <c r="A9" s="20"/>
      <c r="B9" s="20"/>
      <c r="C9" s="20"/>
      <c r="D9" s="46"/>
      <c r="E9" s="20"/>
      <c r="F9" s="20"/>
      <c r="G9" s="20"/>
      <c r="H9" s="20"/>
      <c r="I9" s="20"/>
      <c r="J9" s="47"/>
      <c r="K9" s="20"/>
      <c r="L9" s="20" t="str">
        <f>IFERROR(__xludf.DUMMYFUNCTION("""COMPUTED_VALUE"""),"НАУИОКАЙТИС")</f>
        <v>НАУИОКАЙТИС</v>
      </c>
      <c r="M9" s="36">
        <f>IFERROR(__xludf.DUMMYFUNCTION("""COMPUTED_VALUE"""),45985.0)</f>
        <v>45985</v>
      </c>
      <c r="N9" s="29">
        <f>IFERROR(__xludf.DUMMYFUNCTION("""COMPUTED_VALUE"""),478880.0)</f>
        <v>478880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9"/>
      <c r="AQ9" s="29"/>
      <c r="AR9" s="29"/>
      <c r="AS9" s="29"/>
      <c r="AT9" s="29"/>
      <c r="AU9" s="29"/>
      <c r="AV9" s="29"/>
      <c r="AW9" s="29"/>
      <c r="AX9" s="29"/>
    </row>
    <row r="10">
      <c r="A10" s="20"/>
      <c r="B10" s="20"/>
      <c r="C10" s="20"/>
      <c r="D10" s="46"/>
      <c r="E10" s="20"/>
      <c r="F10" s="20"/>
      <c r="G10" s="20"/>
      <c r="H10" s="20"/>
      <c r="I10" s="20"/>
      <c r="J10" s="47"/>
      <c r="K10" s="20"/>
      <c r="L10" s="20" t="str">
        <f>IFERROR(__xludf.DUMMYFUNCTION("""COMPUTED_VALUE"""),"Джанашвили")</f>
        <v>Джанашвили</v>
      </c>
      <c r="M10" s="36">
        <f>IFERROR(__xludf.DUMMYFUNCTION("""COMPUTED_VALUE"""),45985.0)</f>
        <v>45985</v>
      </c>
      <c r="N10" s="29">
        <f>IFERROR(__xludf.DUMMYFUNCTION("""COMPUTED_VALUE"""),204045.0)</f>
        <v>204045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9"/>
      <c r="AQ10" s="29"/>
      <c r="AR10" s="29"/>
      <c r="AS10" s="29"/>
      <c r="AT10" s="29"/>
      <c r="AU10" s="29"/>
      <c r="AV10" s="29"/>
      <c r="AW10" s="29"/>
      <c r="AX10" s="29"/>
    </row>
    <row r="11">
      <c r="A11" s="20"/>
      <c r="B11" s="20"/>
      <c r="C11" s="20"/>
      <c r="D11" s="46"/>
      <c r="E11" s="20"/>
      <c r="F11" s="20"/>
      <c r="G11" s="20"/>
      <c r="H11" s="20"/>
      <c r="I11" s="20"/>
      <c r="J11" s="47"/>
      <c r="K11" s="20"/>
      <c r="L11" s="20" t="str">
        <f>IFERROR(__xludf.DUMMYFUNCTION("""COMPUTED_VALUE"""),"Маукеева")</f>
        <v>Маукеева</v>
      </c>
      <c r="M11" s="36">
        <f>IFERROR(__xludf.DUMMYFUNCTION("""COMPUTED_VALUE"""),45985.0)</f>
        <v>45985</v>
      </c>
      <c r="N11" s="29">
        <f>IFERROR(__xludf.DUMMYFUNCTION("""COMPUTED_VALUE"""),78130.0)</f>
        <v>78130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9"/>
      <c r="AQ11" s="29"/>
      <c r="AR11" s="29"/>
      <c r="AS11" s="29"/>
      <c r="AT11" s="29"/>
      <c r="AU11" s="29"/>
      <c r="AV11" s="29"/>
      <c r="AW11" s="29"/>
      <c r="AX11" s="29"/>
    </row>
    <row r="12">
      <c r="A12" s="20"/>
      <c r="B12" s="20"/>
      <c r="C12" s="20"/>
      <c r="D12" s="46"/>
      <c r="E12" s="20"/>
      <c r="F12" s="20"/>
      <c r="G12" s="20"/>
      <c r="H12" s="20"/>
      <c r="I12" s="20"/>
      <c r="J12" s="47"/>
      <c r="K12" s="20"/>
      <c r="L12" s="35" t="str">
        <f>IFERROR(__xludf.DUMMYFUNCTION("""COMPUTED_VALUE"""),"Мадмурадов")</f>
        <v>Мадмурадов</v>
      </c>
      <c r="M12" s="36">
        <f>IFERROR(__xludf.DUMMYFUNCTION("""COMPUTED_VALUE"""),45985.0)</f>
        <v>45985</v>
      </c>
      <c r="N12" s="29">
        <f>IFERROR(__xludf.DUMMYFUNCTION("""COMPUTED_VALUE"""),58130.0)</f>
        <v>58130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9"/>
      <c r="AQ12" s="29"/>
      <c r="AR12" s="29"/>
      <c r="AS12" s="29"/>
      <c r="AT12" s="29"/>
      <c r="AU12" s="29"/>
      <c r="AV12" s="29"/>
      <c r="AW12" s="29"/>
      <c r="AX12" s="29"/>
    </row>
    <row r="13">
      <c r="A13" s="20"/>
      <c r="B13" s="20"/>
      <c r="C13" s="20"/>
      <c r="D13" s="46"/>
      <c r="E13" s="20"/>
      <c r="F13" s="20"/>
      <c r="G13" s="20"/>
      <c r="H13" s="20"/>
      <c r="I13" s="20"/>
      <c r="J13" s="47"/>
      <c r="K13" s="20"/>
      <c r="L13" s="20" t="str">
        <f>IFERROR(__xludf.DUMMYFUNCTION("""COMPUTED_VALUE"""),"БЕН-ЭЛИ")</f>
        <v>БЕН-ЭЛИ</v>
      </c>
      <c r="M13" s="36">
        <f>IFERROR(__xludf.DUMMYFUNCTION("""COMPUTED_VALUE"""),45985.0)</f>
        <v>45985</v>
      </c>
      <c r="N13" s="29">
        <f>IFERROR(__xludf.DUMMYFUNCTION("""COMPUTED_VALUE"""),901295.0)</f>
        <v>901295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9"/>
      <c r="AQ13" s="29"/>
      <c r="AR13" s="29"/>
      <c r="AS13" s="29"/>
      <c r="AT13" s="29"/>
      <c r="AU13" s="29"/>
      <c r="AV13" s="29"/>
      <c r="AW13" s="29"/>
      <c r="AX13" s="29"/>
    </row>
    <row r="14">
      <c r="A14" s="20"/>
      <c r="B14" s="20"/>
      <c r="C14" s="20"/>
      <c r="D14" s="46"/>
      <c r="E14" s="20"/>
      <c r="F14" s="20"/>
      <c r="G14" s="20"/>
      <c r="H14" s="20"/>
      <c r="I14" s="20"/>
      <c r="J14" s="47"/>
      <c r="K14" s="20"/>
      <c r="L14" s="20" t="str">
        <f>IFERROR(__xludf.DUMMYFUNCTION("""COMPUTED_VALUE"""),"Джанашвили")</f>
        <v>Джанашвили</v>
      </c>
      <c r="M14" s="48">
        <f>IFERROR(__xludf.DUMMYFUNCTION("""COMPUTED_VALUE"""),45992.0)</f>
        <v>45992</v>
      </c>
      <c r="N14" s="29">
        <f>IFERROR(__xludf.DUMMYFUNCTION("""COMPUTED_VALUE"""),110250.0)</f>
        <v>110250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9"/>
      <c r="AQ14" s="29"/>
      <c r="AR14" s="29"/>
      <c r="AS14" s="29"/>
      <c r="AT14" s="29"/>
      <c r="AU14" s="29"/>
      <c r="AV14" s="29"/>
      <c r="AW14" s="29"/>
      <c r="AX14" s="29"/>
    </row>
    <row r="15">
      <c r="A15" s="20"/>
      <c r="B15" s="20"/>
      <c r="C15" s="20"/>
      <c r="D15" s="46"/>
      <c r="E15" s="20"/>
      <c r="F15" s="20"/>
      <c r="G15" s="20"/>
      <c r="H15" s="20"/>
      <c r="I15" s="20"/>
      <c r="J15" s="47"/>
      <c r="K15" s="20"/>
      <c r="L15" s="20" t="str">
        <f>IFERROR(__xludf.DUMMYFUNCTION("""COMPUTED_VALUE"""),"Джанашвили")</f>
        <v>Джанашвили</v>
      </c>
      <c r="M15" s="48">
        <f>IFERROR(__xludf.DUMMYFUNCTION("""COMPUTED_VALUE"""),45993.0)</f>
        <v>45993</v>
      </c>
      <c r="N15" s="29">
        <f>IFERROR(__xludf.DUMMYFUNCTION("""COMPUTED_VALUE"""),184630.0)</f>
        <v>184630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9"/>
      <c r="AQ15" s="29"/>
      <c r="AR15" s="29"/>
      <c r="AS15" s="29"/>
      <c r="AT15" s="29"/>
      <c r="AU15" s="29"/>
      <c r="AV15" s="29"/>
      <c r="AW15" s="29"/>
      <c r="AX15" s="29"/>
    </row>
    <row r="16">
      <c r="A16" s="20"/>
      <c r="B16" s="20"/>
      <c r="C16" s="20"/>
      <c r="D16" s="46"/>
      <c r="E16" s="20"/>
      <c r="F16" s="20"/>
      <c r="G16" s="20"/>
      <c r="H16" s="20"/>
      <c r="I16" s="20"/>
      <c r="J16" s="47"/>
      <c r="K16" s="20"/>
      <c r="L16" s="20" t="str">
        <f>IFERROR(__xludf.DUMMYFUNCTION("""COMPUTED_VALUE"""),"Маукеева")</f>
        <v>Маукеева</v>
      </c>
      <c r="M16" s="48">
        <f>IFERROR(__xludf.DUMMYFUNCTION("""COMPUTED_VALUE"""),45993.0)</f>
        <v>45993</v>
      </c>
      <c r="N16" s="29">
        <f>IFERROR(__xludf.DUMMYFUNCTION("""COMPUTED_VALUE"""),132950.0)</f>
        <v>132950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9"/>
      <c r="AQ16" s="29"/>
      <c r="AR16" s="29"/>
      <c r="AS16" s="29"/>
      <c r="AT16" s="29"/>
      <c r="AU16" s="29"/>
      <c r="AV16" s="29"/>
      <c r="AW16" s="29"/>
      <c r="AX16" s="29"/>
    </row>
    <row r="17">
      <c r="A17" s="20"/>
      <c r="B17" s="20"/>
      <c r="C17" s="20"/>
      <c r="D17" s="46"/>
      <c r="E17" s="20"/>
      <c r="F17" s="20"/>
      <c r="G17" s="20"/>
      <c r="H17" s="20"/>
      <c r="I17" s="20"/>
      <c r="J17" s="45"/>
      <c r="K17" s="20"/>
      <c r="L17" s="35" t="str">
        <f>IFERROR(__xludf.DUMMYFUNCTION("""COMPUTED_VALUE"""),"Мадмурадов")</f>
        <v>Мадмурадов</v>
      </c>
      <c r="M17" s="48">
        <f>IFERROR(__xludf.DUMMYFUNCTION("""COMPUTED_VALUE"""),45993.0)</f>
        <v>45993</v>
      </c>
      <c r="N17" s="29">
        <f>IFERROR(__xludf.DUMMYFUNCTION("""COMPUTED_VALUE"""),89860.0)</f>
        <v>89860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9"/>
      <c r="AQ17" s="29"/>
      <c r="AR17" s="29"/>
      <c r="AS17" s="29"/>
      <c r="AT17" s="29"/>
      <c r="AU17" s="29"/>
      <c r="AV17" s="29"/>
      <c r="AW17" s="29"/>
      <c r="AX17" s="29"/>
    </row>
    <row r="18">
      <c r="A18" s="20"/>
      <c r="B18" s="20"/>
      <c r="C18" s="20"/>
      <c r="D18" s="46"/>
      <c r="E18" s="20"/>
      <c r="F18" s="20"/>
      <c r="G18" s="20"/>
      <c r="H18" s="20"/>
      <c r="I18" s="20"/>
      <c r="J18" s="45"/>
      <c r="K18" s="20"/>
      <c r="L18" s="20" t="str">
        <f>IFERROR(__xludf.DUMMYFUNCTION("""COMPUTED_VALUE"""),"НАУИОКАЙТИС")</f>
        <v>НАУИОКАЙТИС</v>
      </c>
      <c r="M18" s="48">
        <f>IFERROR(__xludf.DUMMYFUNCTION("""COMPUTED_VALUE"""),45993.0)</f>
        <v>45993</v>
      </c>
      <c r="N18" s="29">
        <f>IFERROR(__xludf.DUMMYFUNCTION("""COMPUTED_VALUE"""),105820.0)</f>
        <v>105820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9"/>
      <c r="AQ18" s="29"/>
      <c r="AR18" s="29"/>
      <c r="AS18" s="29"/>
      <c r="AT18" s="29"/>
      <c r="AU18" s="29"/>
      <c r="AV18" s="29"/>
      <c r="AW18" s="29"/>
      <c r="AX18" s="29"/>
    </row>
    <row r="19">
      <c r="A19" s="20"/>
      <c r="B19" s="20"/>
      <c r="C19" s="20"/>
      <c r="D19" s="46"/>
      <c r="E19" s="20"/>
      <c r="F19" s="20"/>
      <c r="G19" s="20"/>
      <c r="H19" s="20"/>
      <c r="I19" s="20"/>
      <c r="J19" s="45"/>
      <c r="K19" s="20"/>
      <c r="L19" s="20" t="str">
        <f>IFERROR(__xludf.DUMMYFUNCTION("""COMPUTED_VALUE"""),"НАУИОКАЙТИС")</f>
        <v>НАУИОКАЙТИС</v>
      </c>
      <c r="M19" s="48">
        <f>IFERROR(__xludf.DUMMYFUNCTION("""COMPUTED_VALUE"""),45996.0)</f>
        <v>45996</v>
      </c>
      <c r="N19" s="29">
        <f>IFERROR(__xludf.DUMMYFUNCTION("""COMPUTED_VALUE"""),150650.0)</f>
        <v>150650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9"/>
      <c r="AQ19" s="29"/>
      <c r="AR19" s="29"/>
      <c r="AS19" s="29"/>
      <c r="AT19" s="29"/>
      <c r="AU19" s="29"/>
      <c r="AV19" s="29"/>
      <c r="AW19" s="29"/>
      <c r="AX19" s="29"/>
    </row>
    <row r="20">
      <c r="A20" s="20"/>
      <c r="B20" s="20"/>
      <c r="C20" s="20"/>
      <c r="D20" s="46"/>
      <c r="E20" s="20"/>
      <c r="F20" s="20"/>
      <c r="G20" s="20"/>
      <c r="H20" s="20"/>
      <c r="I20" s="20"/>
      <c r="J20" s="45"/>
      <c r="K20" s="20"/>
      <c r="L20" s="20" t="str">
        <f>IFERROR(__xludf.DUMMYFUNCTION("""COMPUTED_VALUE"""),"Маукеева")</f>
        <v>Маукеева</v>
      </c>
      <c r="M20" s="48">
        <f>IFERROR(__xludf.DUMMYFUNCTION("""COMPUTED_VALUE"""),45996.0)</f>
        <v>45996</v>
      </c>
      <c r="N20" s="29">
        <f>IFERROR(__xludf.DUMMYFUNCTION("""COMPUTED_VALUE"""),160290.0)</f>
        <v>160290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9"/>
      <c r="AQ20" s="29"/>
      <c r="AR20" s="29"/>
      <c r="AS20" s="29"/>
      <c r="AT20" s="29"/>
      <c r="AU20" s="29"/>
      <c r="AV20" s="29"/>
      <c r="AW20" s="29"/>
      <c r="AX20" s="29"/>
    </row>
    <row r="21">
      <c r="A21" s="20"/>
      <c r="B21" s="20"/>
      <c r="C21" s="20"/>
      <c r="D21" s="46"/>
      <c r="E21" s="20"/>
      <c r="F21" s="20"/>
      <c r="G21" s="20"/>
      <c r="H21" s="20"/>
      <c r="I21" s="20"/>
      <c r="J21" s="45"/>
      <c r="K21" s="20"/>
      <c r="L21" s="20" t="str">
        <f>IFERROR(__xludf.DUMMYFUNCTION("""COMPUTED_VALUE"""),"НАУИОКАЙТИС")</f>
        <v>НАУИОКАЙТИС</v>
      </c>
      <c r="M21" s="48">
        <f>IFERROR(__xludf.DUMMYFUNCTION("""COMPUTED_VALUE"""),45999.0)</f>
        <v>45999</v>
      </c>
      <c r="N21" s="29">
        <f>IFERROR(__xludf.DUMMYFUNCTION("""COMPUTED_VALUE"""),402000.0)</f>
        <v>402000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9"/>
      <c r="AQ21" s="29"/>
      <c r="AR21" s="29"/>
      <c r="AS21" s="29"/>
      <c r="AT21" s="29"/>
      <c r="AU21" s="29"/>
      <c r="AV21" s="29"/>
      <c r="AW21" s="29"/>
      <c r="AX21" s="29"/>
    </row>
    <row r="22">
      <c r="A22" s="20"/>
      <c r="B22" s="20"/>
      <c r="C22" s="20"/>
      <c r="D22" s="46"/>
      <c r="E22" s="20"/>
      <c r="F22" s="20"/>
      <c r="G22" s="20"/>
      <c r="H22" s="20"/>
      <c r="I22" s="20"/>
      <c r="J22" s="45"/>
      <c r="K22" s="20"/>
      <c r="L22" s="20" t="str">
        <f>IFERROR(__xludf.DUMMYFUNCTION("""COMPUTED_VALUE"""),"НАУИОКАЙТИС")</f>
        <v>НАУИОКАЙТИС</v>
      </c>
      <c r="M22" s="48">
        <f>IFERROR(__xludf.DUMMYFUNCTION("""COMPUTED_VALUE"""),45999.0)</f>
        <v>45999</v>
      </c>
      <c r="N22" s="29">
        <f>IFERROR(__xludf.DUMMYFUNCTION("""COMPUTED_VALUE"""),442800.0)</f>
        <v>442800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9"/>
      <c r="AQ22" s="29"/>
      <c r="AR22" s="29"/>
      <c r="AS22" s="29"/>
      <c r="AT22" s="29"/>
      <c r="AU22" s="29"/>
      <c r="AV22" s="29"/>
      <c r="AW22" s="29"/>
      <c r="AX22" s="29"/>
    </row>
    <row r="23">
      <c r="A23" s="20"/>
      <c r="B23" s="20"/>
      <c r="C23" s="20"/>
      <c r="D23" s="46"/>
      <c r="E23" s="20"/>
      <c r="F23" s="20"/>
      <c r="G23" s="20"/>
      <c r="H23" s="20"/>
      <c r="I23" s="20"/>
      <c r="J23" s="45"/>
      <c r="K23" s="20"/>
      <c r="L23" s="20" t="str">
        <f>IFERROR(__xludf.DUMMYFUNCTION("""COMPUTED_VALUE"""),"Джанашвили")</f>
        <v>Джанашвили</v>
      </c>
      <c r="M23" s="48">
        <f>IFERROR(__xludf.DUMMYFUNCTION("""COMPUTED_VALUE"""),45999.0)</f>
        <v>45999</v>
      </c>
      <c r="N23" s="29">
        <f>IFERROR(__xludf.DUMMYFUNCTION("""COMPUTED_VALUE"""),202600.0)</f>
        <v>202600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9"/>
      <c r="AQ23" s="29"/>
      <c r="AR23" s="29"/>
      <c r="AS23" s="29"/>
      <c r="AT23" s="29"/>
      <c r="AU23" s="29"/>
      <c r="AV23" s="29"/>
      <c r="AW23" s="29"/>
      <c r="AX23" s="29"/>
    </row>
    <row r="24">
      <c r="A24" s="20"/>
      <c r="B24" s="20"/>
      <c r="C24" s="20"/>
      <c r="D24" s="46"/>
      <c r="E24" s="20"/>
      <c r="F24" s="20"/>
      <c r="G24" s="20"/>
      <c r="H24" s="20"/>
      <c r="I24" s="20"/>
      <c r="J24" s="45"/>
      <c r="K24" s="20"/>
      <c r="L24" s="20" t="str">
        <f>IFERROR(__xludf.DUMMYFUNCTION("""COMPUTED_VALUE"""),"НАУИОКАЙТИС")</f>
        <v>НАУИОКАЙТИС</v>
      </c>
      <c r="M24" s="36">
        <f>IFERROR(__xludf.DUMMYFUNCTION("""COMPUTED_VALUE"""),46006.0)</f>
        <v>46006</v>
      </c>
      <c r="N24" s="29">
        <f>IFERROR(__xludf.DUMMYFUNCTION("""COMPUTED_VALUE"""),104500.0)</f>
        <v>104500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9"/>
      <c r="AQ24" s="29"/>
      <c r="AR24" s="29"/>
      <c r="AS24" s="29"/>
      <c r="AT24" s="29"/>
      <c r="AU24" s="29"/>
      <c r="AV24" s="29"/>
      <c r="AW24" s="29"/>
      <c r="AX24" s="29"/>
    </row>
    <row r="25">
      <c r="A25" s="20"/>
      <c r="B25" s="20"/>
      <c r="C25" s="20"/>
      <c r="D25" s="46"/>
      <c r="E25" s="20"/>
      <c r="F25" s="20"/>
      <c r="G25" s="20"/>
      <c r="H25" s="20"/>
      <c r="I25" s="20"/>
      <c r="J25" s="45"/>
      <c r="K25" s="20"/>
      <c r="L25" s="20" t="str">
        <f>IFERROR(__xludf.DUMMYFUNCTION("""COMPUTED_VALUE"""),"Джанашвили")</f>
        <v>Джанашвили</v>
      </c>
      <c r="M25" s="36">
        <f>IFERROR(__xludf.DUMMYFUNCTION("""COMPUTED_VALUE"""),46006.0)</f>
        <v>46006</v>
      </c>
      <c r="N25" s="29">
        <f>IFERROR(__xludf.DUMMYFUNCTION("""COMPUTED_VALUE"""),102600.0)</f>
        <v>102600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9"/>
      <c r="AQ25" s="29"/>
      <c r="AR25" s="29"/>
      <c r="AS25" s="29"/>
      <c r="AT25" s="29"/>
      <c r="AU25" s="29"/>
      <c r="AV25" s="29"/>
      <c r="AW25" s="29"/>
      <c r="AX25" s="29"/>
    </row>
    <row r="26">
      <c r="A26" s="20"/>
      <c r="B26" s="20"/>
      <c r="C26" s="20"/>
      <c r="D26" s="46"/>
      <c r="E26" s="20"/>
      <c r="F26" s="20"/>
      <c r="G26" s="20"/>
      <c r="H26" s="20"/>
      <c r="I26" s="20"/>
      <c r="J26" s="45"/>
      <c r="K26" s="20"/>
      <c r="L26" s="20" t="str">
        <f>IFERROR(__xludf.DUMMYFUNCTION("""COMPUTED_VALUE"""),"Маукеева")</f>
        <v>Маукеева</v>
      </c>
      <c r="M26" s="36">
        <f>IFERROR(__xludf.DUMMYFUNCTION("""COMPUTED_VALUE"""),46007.0)</f>
        <v>46007</v>
      </c>
      <c r="N26" s="29">
        <f>IFERROR(__xludf.DUMMYFUNCTION("""COMPUTED_VALUE"""),106250.0)</f>
        <v>106250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9"/>
      <c r="AQ26" s="29"/>
      <c r="AR26" s="29"/>
      <c r="AS26" s="29"/>
      <c r="AT26" s="29"/>
      <c r="AU26" s="29"/>
      <c r="AV26" s="29"/>
      <c r="AW26" s="29"/>
      <c r="AX26" s="29"/>
    </row>
    <row r="27">
      <c r="A27" s="20"/>
      <c r="B27" s="20"/>
      <c r="C27" s="20"/>
      <c r="D27" s="46"/>
      <c r="E27" s="20"/>
      <c r="F27" s="20"/>
      <c r="G27" s="20"/>
      <c r="H27" s="20"/>
      <c r="I27" s="20"/>
      <c r="J27" s="45"/>
      <c r="K27" s="20"/>
      <c r="L27" s="20" t="str">
        <f>IFERROR(__xludf.DUMMYFUNCTION("""COMPUTED_VALUE"""),"НАУИОКАЙТИС")</f>
        <v>НАУИОКАЙТИС</v>
      </c>
      <c r="M27" s="36">
        <f>IFERROR(__xludf.DUMMYFUNCTION("""COMPUTED_VALUE"""),46007.0)</f>
        <v>46007</v>
      </c>
      <c r="N27" s="29">
        <f>IFERROR(__xludf.DUMMYFUNCTION("""COMPUTED_VALUE"""),142500.0)</f>
        <v>142500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9"/>
      <c r="AQ27" s="29"/>
      <c r="AR27" s="29"/>
      <c r="AS27" s="29"/>
      <c r="AT27" s="29"/>
      <c r="AU27" s="29"/>
      <c r="AV27" s="29"/>
      <c r="AW27" s="29"/>
      <c r="AX27" s="29"/>
    </row>
    <row r="28">
      <c r="A28" s="20"/>
      <c r="B28" s="20"/>
      <c r="C28" s="20"/>
      <c r="D28" s="46"/>
      <c r="E28" s="20"/>
      <c r="F28" s="20"/>
      <c r="G28" s="20"/>
      <c r="H28" s="20"/>
      <c r="I28" s="20"/>
      <c r="J28" s="45"/>
      <c r="K28" s="20"/>
      <c r="L28" s="20" t="str">
        <f>IFERROR(__xludf.DUMMYFUNCTION("""COMPUTED_VALUE"""),"Маукеева")</f>
        <v>Маукеева</v>
      </c>
      <c r="M28" s="36">
        <f>IFERROR(__xludf.DUMMYFUNCTION("""COMPUTED_VALUE"""),46009.0)</f>
        <v>46009</v>
      </c>
      <c r="N28" s="29">
        <f>IFERROR(__xludf.DUMMYFUNCTION("""COMPUTED_VALUE"""),82590.0)</f>
        <v>82590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9"/>
      <c r="AQ28" s="29"/>
      <c r="AR28" s="29"/>
      <c r="AS28" s="29"/>
      <c r="AT28" s="29"/>
      <c r="AU28" s="29"/>
      <c r="AV28" s="29"/>
      <c r="AW28" s="29"/>
      <c r="AX28" s="29"/>
    </row>
    <row r="29">
      <c r="A29" s="20"/>
      <c r="B29" s="20"/>
      <c r="C29" s="20"/>
      <c r="D29" s="46"/>
      <c r="E29" s="20"/>
      <c r="F29" s="20"/>
      <c r="G29" s="20"/>
      <c r="H29" s="20"/>
      <c r="I29" s="20"/>
      <c r="J29" s="45"/>
      <c r="K29" s="20"/>
      <c r="L29" s="20" t="str">
        <f>IFERROR(__xludf.DUMMYFUNCTION("""COMPUTED_VALUE"""),"НАУИОКАЙТИС")</f>
        <v>НАУИОКАЙТИС</v>
      </c>
      <c r="M29" s="36">
        <f>IFERROR(__xludf.DUMMYFUNCTION("""COMPUTED_VALUE"""),46009.0)</f>
        <v>46009</v>
      </c>
      <c r="N29" s="29">
        <f>IFERROR(__xludf.DUMMYFUNCTION("""COMPUTED_VALUE"""),284800.0)</f>
        <v>284800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9"/>
      <c r="AQ29" s="29"/>
      <c r="AR29" s="29"/>
      <c r="AS29" s="29"/>
      <c r="AT29" s="29"/>
      <c r="AU29" s="29"/>
      <c r="AV29" s="29"/>
      <c r="AW29" s="29"/>
      <c r="AX29" s="29"/>
    </row>
    <row r="30">
      <c r="A30" s="20"/>
      <c r="B30" s="20"/>
      <c r="C30" s="20"/>
      <c r="D30" s="46"/>
      <c r="E30" s="20"/>
      <c r="F30" s="20"/>
      <c r="G30" s="20"/>
      <c r="H30" s="20"/>
      <c r="I30" s="20"/>
      <c r="J30" s="45"/>
      <c r="K30" s="20"/>
      <c r="L30" s="20" t="str">
        <f>IFERROR(__xludf.DUMMYFUNCTION("""COMPUTED_VALUE"""),"Джанашвили")</f>
        <v>Джанашвили</v>
      </c>
      <c r="M30" s="36">
        <f>IFERROR(__xludf.DUMMYFUNCTION("""COMPUTED_VALUE"""),46009.0)</f>
        <v>46009</v>
      </c>
      <c r="N30" s="29">
        <f>IFERROR(__xludf.DUMMYFUNCTION("""COMPUTED_VALUE"""),89250.0)</f>
        <v>89250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9"/>
      <c r="AQ30" s="29"/>
      <c r="AR30" s="29"/>
      <c r="AS30" s="29"/>
      <c r="AT30" s="29"/>
      <c r="AU30" s="29"/>
      <c r="AV30" s="29"/>
      <c r="AW30" s="29"/>
      <c r="AX30" s="29"/>
    </row>
    <row r="31">
      <c r="A31" s="20"/>
      <c r="B31" s="20"/>
      <c r="C31" s="20"/>
      <c r="D31" s="46"/>
      <c r="E31" s="20"/>
      <c r="F31" s="20"/>
      <c r="G31" s="20"/>
      <c r="H31" s="20"/>
      <c r="I31" s="20"/>
      <c r="J31" s="45"/>
      <c r="K31" s="20"/>
      <c r="L31" s="20" t="str">
        <f>IFERROR(__xludf.DUMMYFUNCTION("""COMPUTED_VALUE"""),"НАУИОКАЙТИС")</f>
        <v>НАУИОКАЙТИС</v>
      </c>
      <c r="M31" s="36">
        <f>IFERROR(__xludf.DUMMYFUNCTION("""COMPUTED_VALUE"""),46010.0)</f>
        <v>46010</v>
      </c>
      <c r="N31" s="29">
        <f>IFERROR(__xludf.DUMMYFUNCTION("""COMPUTED_VALUE"""),190285.0)</f>
        <v>190285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9"/>
      <c r="AQ31" s="29"/>
      <c r="AR31" s="29"/>
      <c r="AS31" s="29"/>
      <c r="AT31" s="29"/>
      <c r="AU31" s="29"/>
      <c r="AV31" s="29"/>
      <c r="AW31" s="29"/>
      <c r="AX31" s="29"/>
    </row>
    <row r="32">
      <c r="A32" s="20"/>
      <c r="B32" s="20"/>
      <c r="C32" s="20"/>
      <c r="D32" s="46"/>
      <c r="E32" s="20"/>
      <c r="F32" s="20"/>
      <c r="G32" s="20"/>
      <c r="H32" s="20"/>
      <c r="I32" s="20"/>
      <c r="J32" s="45"/>
      <c r="K32" s="20"/>
      <c r="L32" s="20" t="str">
        <f>IFERROR(__xludf.DUMMYFUNCTION("""COMPUTED_VALUE"""),"Джанашвили")</f>
        <v>Джанашвили</v>
      </c>
      <c r="M32" s="36">
        <f>IFERROR(__xludf.DUMMYFUNCTION("""COMPUTED_VALUE"""),46010.0)</f>
        <v>46010</v>
      </c>
      <c r="N32" s="29">
        <f>IFERROR(__xludf.DUMMYFUNCTION("""COMPUTED_VALUE"""),229850.0)</f>
        <v>229850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9"/>
      <c r="AQ32" s="29"/>
      <c r="AR32" s="29"/>
      <c r="AS32" s="29"/>
      <c r="AT32" s="29"/>
      <c r="AU32" s="29"/>
      <c r="AV32" s="29"/>
      <c r="AW32" s="29"/>
      <c r="AX32" s="29"/>
    </row>
    <row r="33">
      <c r="A33" s="20"/>
      <c r="B33" s="20"/>
      <c r="C33" s="20"/>
      <c r="D33" s="46"/>
      <c r="E33" s="20"/>
      <c r="F33" s="20"/>
      <c r="G33" s="20"/>
      <c r="H33" s="20"/>
      <c r="I33" s="20"/>
      <c r="J33" s="45"/>
      <c r="K33" s="20"/>
      <c r="L33" s="20" t="str">
        <f>IFERROR(__xludf.DUMMYFUNCTION("""COMPUTED_VALUE"""),"Джанашвили")</f>
        <v>Джанашвили</v>
      </c>
      <c r="M33" s="36">
        <f>IFERROR(__xludf.DUMMYFUNCTION("""COMPUTED_VALUE"""),46013.0)</f>
        <v>46013</v>
      </c>
      <c r="N33" s="29">
        <f>IFERROR(__xludf.DUMMYFUNCTION("""COMPUTED_VALUE"""),104500.0)</f>
        <v>104500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9"/>
      <c r="AQ33" s="29"/>
      <c r="AR33" s="29"/>
      <c r="AS33" s="29"/>
      <c r="AT33" s="29"/>
      <c r="AU33" s="29"/>
      <c r="AV33" s="29"/>
      <c r="AW33" s="29"/>
      <c r="AX33" s="29"/>
    </row>
    <row r="34">
      <c r="A34" s="20"/>
      <c r="B34" s="20"/>
      <c r="C34" s="20"/>
      <c r="D34" s="46"/>
      <c r="E34" s="20"/>
      <c r="F34" s="20"/>
      <c r="G34" s="20"/>
      <c r="H34" s="20"/>
      <c r="I34" s="20"/>
      <c r="J34" s="45"/>
      <c r="K34" s="20"/>
      <c r="L34" s="20" t="str">
        <f>IFERROR(__xludf.DUMMYFUNCTION("""COMPUTED_VALUE"""),"НАУИОКАЙТИС")</f>
        <v>НАУИОКАЙТИС</v>
      </c>
      <c r="M34" s="36">
        <f>IFERROR(__xludf.DUMMYFUNCTION("""COMPUTED_VALUE"""),46013.0)</f>
        <v>46013</v>
      </c>
      <c r="N34" s="29">
        <f>IFERROR(__xludf.DUMMYFUNCTION("""COMPUTED_VALUE"""),520760.0)</f>
        <v>520760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9"/>
      <c r="AQ34" s="29"/>
      <c r="AR34" s="29"/>
      <c r="AS34" s="29"/>
      <c r="AT34" s="29"/>
      <c r="AU34" s="29"/>
      <c r="AV34" s="29"/>
      <c r="AW34" s="29"/>
      <c r="AX34" s="29"/>
    </row>
    <row r="35">
      <c r="A35" s="20"/>
      <c r="B35" s="20"/>
      <c r="C35" s="20"/>
      <c r="D35" s="46"/>
      <c r="E35" s="20"/>
      <c r="F35" s="20"/>
      <c r="G35" s="20"/>
      <c r="H35" s="20"/>
      <c r="I35" s="20"/>
      <c r="J35" s="45"/>
      <c r="K35" s="20"/>
      <c r="L35" s="20" t="str">
        <f>IFERROR(__xludf.DUMMYFUNCTION("""COMPUTED_VALUE"""),"НАУИОКАЙТИС")</f>
        <v>НАУИОКАЙТИС</v>
      </c>
      <c r="M35" s="36">
        <f>IFERROR(__xludf.DUMMYFUNCTION("""COMPUTED_VALUE"""),46013.0)</f>
        <v>46013</v>
      </c>
      <c r="N35" s="29">
        <f>IFERROR(__xludf.DUMMYFUNCTION("""COMPUTED_VALUE"""),258950.0)</f>
        <v>258950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9"/>
      <c r="AQ35" s="29"/>
      <c r="AR35" s="29"/>
      <c r="AS35" s="29"/>
      <c r="AT35" s="29"/>
      <c r="AU35" s="29"/>
      <c r="AV35" s="29"/>
      <c r="AW35" s="29"/>
      <c r="AX35" s="29"/>
    </row>
    <row r="36">
      <c r="A36" s="20"/>
      <c r="B36" s="20"/>
      <c r="C36" s="20"/>
      <c r="D36" s="46"/>
      <c r="E36" s="20"/>
      <c r="F36" s="20"/>
      <c r="G36" s="20"/>
      <c r="H36" s="20"/>
      <c r="I36" s="20"/>
      <c r="J36" s="45"/>
      <c r="K36" s="20"/>
      <c r="L36" s="20" t="str">
        <f>IFERROR(__xludf.DUMMYFUNCTION("""COMPUTED_VALUE"""),"Маукеева")</f>
        <v>Маукеева</v>
      </c>
      <c r="M36" s="36">
        <f>IFERROR(__xludf.DUMMYFUNCTION("""COMPUTED_VALUE"""),46013.0)</f>
        <v>46013</v>
      </c>
      <c r="N36" s="29">
        <f>IFERROR(__xludf.DUMMYFUNCTION("""COMPUTED_VALUE"""),120423.0)</f>
        <v>120423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9"/>
      <c r="AQ36" s="29"/>
      <c r="AR36" s="29"/>
      <c r="AS36" s="29"/>
      <c r="AT36" s="29"/>
      <c r="AU36" s="29"/>
      <c r="AV36" s="29"/>
      <c r="AW36" s="29"/>
      <c r="AX36" s="29"/>
    </row>
    <row r="37">
      <c r="A37" s="20"/>
      <c r="B37" s="20"/>
      <c r="C37" s="20"/>
      <c r="D37" s="46"/>
      <c r="E37" s="20"/>
      <c r="F37" s="20"/>
      <c r="G37" s="20"/>
      <c r="H37" s="20"/>
      <c r="I37" s="20"/>
      <c r="J37" s="45"/>
      <c r="K37" s="20"/>
      <c r="L37" s="20" t="str">
        <f>IFERROR(__xludf.DUMMYFUNCTION("""COMPUTED_VALUE"""),"БЕН-ЭЛИ")</f>
        <v>БЕН-ЭЛИ</v>
      </c>
      <c r="M37" s="36">
        <f>IFERROR(__xludf.DUMMYFUNCTION("""COMPUTED_VALUE"""),46017.0)</f>
        <v>46017</v>
      </c>
      <c r="N37" s="29">
        <f>IFERROR(__xludf.DUMMYFUNCTION("""COMPUTED_VALUE"""),444297.0)</f>
        <v>444297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9"/>
      <c r="AQ37" s="29"/>
      <c r="AR37" s="29"/>
      <c r="AS37" s="29"/>
      <c r="AT37" s="29"/>
      <c r="AU37" s="29"/>
      <c r="AV37" s="29"/>
      <c r="AW37" s="29"/>
      <c r="AX37" s="29"/>
    </row>
    <row r="38">
      <c r="A38" s="20"/>
      <c r="B38" s="20"/>
      <c r="C38" s="20"/>
      <c r="D38" s="46"/>
      <c r="E38" s="20"/>
      <c r="F38" s="20"/>
      <c r="G38" s="20"/>
      <c r="H38" s="20"/>
      <c r="I38" s="20"/>
      <c r="J38" s="45"/>
      <c r="K38" s="20"/>
      <c r="L38" s="20" t="str">
        <f>IFERROR(__xludf.DUMMYFUNCTION("""COMPUTED_VALUE"""),"БЕН-ЭЛИ")</f>
        <v>БЕН-ЭЛИ</v>
      </c>
      <c r="M38" s="36">
        <f>IFERROR(__xludf.DUMMYFUNCTION("""COMPUTED_VALUE"""),46020.0)</f>
        <v>46020</v>
      </c>
      <c r="N38" s="29">
        <f>IFERROR(__xludf.DUMMYFUNCTION("""COMPUTED_VALUE"""),649686.0)</f>
        <v>649686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9"/>
      <c r="AQ38" s="29"/>
      <c r="AR38" s="29"/>
      <c r="AS38" s="29"/>
      <c r="AT38" s="29"/>
      <c r="AU38" s="29"/>
      <c r="AV38" s="29"/>
      <c r="AW38" s="29"/>
      <c r="AX38" s="29"/>
    </row>
    <row r="39">
      <c r="A39" s="20"/>
      <c r="B39" s="20"/>
      <c r="C39" s="20"/>
      <c r="D39" s="46"/>
      <c r="E39" s="20"/>
      <c r="F39" s="20"/>
      <c r="G39" s="20"/>
      <c r="H39" s="20"/>
      <c r="I39" s="20"/>
      <c r="J39" s="45"/>
      <c r="K39" s="20"/>
      <c r="L39" s="20" t="str">
        <f>IFERROR(__xludf.DUMMYFUNCTION("""COMPUTED_VALUE"""),"Маукеева")</f>
        <v>Маукеева</v>
      </c>
      <c r="M39" s="48">
        <f>IFERROR(__xludf.DUMMYFUNCTION("""COMPUTED_VALUE"""),46030.0)</f>
        <v>46030</v>
      </c>
      <c r="N39" s="29">
        <f>IFERROR(__xludf.DUMMYFUNCTION("""COMPUTED_VALUE"""),348955.0)</f>
        <v>348955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9"/>
      <c r="AQ39" s="29"/>
      <c r="AR39" s="29"/>
      <c r="AS39" s="29"/>
      <c r="AT39" s="29"/>
      <c r="AU39" s="29"/>
      <c r="AV39" s="29"/>
      <c r="AW39" s="29"/>
      <c r="AX39" s="29"/>
    </row>
    <row r="40">
      <c r="A40" s="20"/>
      <c r="B40" s="20"/>
      <c r="C40" s="20"/>
      <c r="D40" s="46"/>
      <c r="E40" s="20"/>
      <c r="F40" s="20"/>
      <c r="G40" s="20"/>
      <c r="H40" s="20"/>
      <c r="I40" s="20"/>
      <c r="J40" s="45"/>
      <c r="K40" s="20"/>
      <c r="L40" s="20" t="str">
        <f>IFERROR(__xludf.DUMMYFUNCTION("""COMPUTED_VALUE"""),"НАУИОКАЙТИС")</f>
        <v>НАУИОКАЙТИС</v>
      </c>
      <c r="M40" s="48">
        <f>IFERROR(__xludf.DUMMYFUNCTION("""COMPUTED_VALUE"""),46030.0)</f>
        <v>46030</v>
      </c>
      <c r="N40" s="29">
        <f>IFERROR(__xludf.DUMMYFUNCTION("""COMPUTED_VALUE"""),220300.0)</f>
        <v>220300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9"/>
      <c r="AQ40" s="29"/>
      <c r="AR40" s="29"/>
      <c r="AS40" s="29"/>
      <c r="AT40" s="29"/>
      <c r="AU40" s="29"/>
      <c r="AV40" s="29"/>
      <c r="AW40" s="29"/>
      <c r="AX40" s="29"/>
    </row>
    <row r="41">
      <c r="A41" s="20"/>
      <c r="B41" s="20"/>
      <c r="C41" s="20"/>
      <c r="D41" s="46"/>
      <c r="E41" s="20"/>
      <c r="F41" s="20"/>
      <c r="G41" s="20"/>
      <c r="H41" s="20"/>
      <c r="I41" s="20"/>
      <c r="J41" s="45"/>
      <c r="K41" s="20"/>
      <c r="L41" s="20" t="str">
        <f>IFERROR(__xludf.DUMMYFUNCTION("""COMPUTED_VALUE"""),"Джанашвили")</f>
        <v>Джанашвили</v>
      </c>
      <c r="M41" s="48">
        <f>IFERROR(__xludf.DUMMYFUNCTION("""COMPUTED_VALUE"""),46030.0)</f>
        <v>46030</v>
      </c>
      <c r="N41" s="29">
        <f>IFERROR(__xludf.DUMMYFUNCTION("""COMPUTED_VALUE"""),235400.0)</f>
        <v>235400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9"/>
      <c r="AQ41" s="29"/>
      <c r="AR41" s="29"/>
      <c r="AS41" s="29"/>
      <c r="AT41" s="29"/>
      <c r="AU41" s="29"/>
      <c r="AV41" s="29"/>
      <c r="AW41" s="29"/>
      <c r="AX41" s="29"/>
    </row>
    <row r="42">
      <c r="A42" s="20"/>
      <c r="B42" s="20"/>
      <c r="C42" s="20"/>
      <c r="D42" s="46"/>
      <c r="E42" s="20"/>
      <c r="F42" s="20"/>
      <c r="G42" s="20"/>
      <c r="H42" s="20"/>
      <c r="I42" s="20"/>
      <c r="J42" s="45"/>
      <c r="K42" s="20"/>
      <c r="L42" s="20" t="str">
        <f>IFERROR(__xludf.DUMMYFUNCTION("""COMPUTED_VALUE"""),"Маукеева")</f>
        <v>Маукеева</v>
      </c>
      <c r="M42" s="48">
        <f>IFERROR(__xludf.DUMMYFUNCTION("""COMPUTED_VALUE"""),46034.0)</f>
        <v>46034</v>
      </c>
      <c r="N42" s="29">
        <f>IFERROR(__xludf.DUMMYFUNCTION("""COMPUTED_VALUE"""),391285.0)</f>
        <v>391285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9"/>
      <c r="AQ42" s="29"/>
      <c r="AR42" s="29"/>
      <c r="AS42" s="29"/>
      <c r="AT42" s="29"/>
      <c r="AU42" s="29"/>
      <c r="AV42" s="29"/>
      <c r="AW42" s="29"/>
      <c r="AX42" s="29"/>
    </row>
    <row r="43">
      <c r="A43" s="20"/>
      <c r="B43" s="20"/>
      <c r="C43" s="20"/>
      <c r="D43" s="46"/>
      <c r="E43" s="20"/>
      <c r="F43" s="20"/>
      <c r="G43" s="20"/>
      <c r="H43" s="20"/>
      <c r="I43" s="20"/>
      <c r="J43" s="45"/>
      <c r="K43" s="20"/>
      <c r="L43" s="20" t="str">
        <f>IFERROR(__xludf.DUMMYFUNCTION("""COMPUTED_VALUE"""),"Джанашвили")</f>
        <v>Джанашвили</v>
      </c>
      <c r="M43" s="48">
        <f>IFERROR(__xludf.DUMMYFUNCTION("""COMPUTED_VALUE"""),46034.0)</f>
        <v>46034</v>
      </c>
      <c r="N43" s="29">
        <f>IFERROR(__xludf.DUMMYFUNCTION("""COMPUTED_VALUE"""),250950.0)</f>
        <v>250950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9"/>
      <c r="AQ43" s="29"/>
      <c r="AR43" s="29"/>
      <c r="AS43" s="29"/>
      <c r="AT43" s="29"/>
      <c r="AU43" s="29"/>
      <c r="AV43" s="29"/>
      <c r="AW43" s="29"/>
      <c r="AX43" s="29"/>
    </row>
    <row r="44">
      <c r="A44" s="20"/>
      <c r="B44" s="20"/>
      <c r="C44" s="20"/>
      <c r="D44" s="46"/>
      <c r="E44" s="20"/>
      <c r="F44" s="20"/>
      <c r="G44" s="20"/>
      <c r="H44" s="20"/>
      <c r="I44" s="20"/>
      <c r="J44" s="45"/>
      <c r="K44" s="20"/>
      <c r="L44" s="20" t="str">
        <f>IFERROR(__xludf.DUMMYFUNCTION("""COMPUTED_VALUE"""),"НАУИОКАЙТИС")</f>
        <v>НАУИОКАЙТИС</v>
      </c>
      <c r="M44" s="48">
        <f>IFERROR(__xludf.DUMMYFUNCTION("""COMPUTED_VALUE"""),46034.0)</f>
        <v>46034</v>
      </c>
      <c r="N44" s="29">
        <f>IFERROR(__xludf.DUMMYFUNCTION("""COMPUTED_VALUE"""),498700.0)</f>
        <v>498700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9"/>
      <c r="AQ44" s="29"/>
      <c r="AR44" s="29"/>
      <c r="AS44" s="29"/>
      <c r="AT44" s="29"/>
      <c r="AU44" s="29"/>
      <c r="AV44" s="29"/>
      <c r="AW44" s="29"/>
      <c r="AX44" s="29"/>
    </row>
    <row r="45">
      <c r="A45" s="20"/>
      <c r="B45" s="20"/>
      <c r="C45" s="20"/>
      <c r="D45" s="46"/>
      <c r="E45" s="20"/>
      <c r="F45" s="20"/>
      <c r="G45" s="20"/>
      <c r="H45" s="20"/>
      <c r="I45" s="20"/>
      <c r="J45" s="45"/>
      <c r="K45" s="20"/>
      <c r="L45" s="20" t="str">
        <f>IFERROR(__xludf.DUMMYFUNCTION("""COMPUTED_VALUE"""),"Маукеева")</f>
        <v>Маукеева</v>
      </c>
      <c r="M45" s="49">
        <f>IFERROR(__xludf.DUMMYFUNCTION("""COMPUTED_VALUE"""),46035.0)</f>
        <v>46035</v>
      </c>
      <c r="N45" s="50">
        <f>IFERROR(__xludf.DUMMYFUNCTION("""COMPUTED_VALUE"""),55850.0)</f>
        <v>55850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9"/>
      <c r="AQ45" s="29"/>
      <c r="AR45" s="29"/>
      <c r="AS45" s="29"/>
      <c r="AT45" s="29"/>
      <c r="AU45" s="29"/>
      <c r="AV45" s="29"/>
      <c r="AW45" s="29"/>
      <c r="AX45" s="29"/>
    </row>
    <row r="46">
      <c r="A46" s="20"/>
      <c r="B46" s="20"/>
      <c r="C46" s="20"/>
      <c r="D46" s="46"/>
      <c r="E46" s="20"/>
      <c r="F46" s="20"/>
      <c r="G46" s="20"/>
      <c r="H46" s="20"/>
      <c r="I46" s="20"/>
      <c r="J46" s="45"/>
      <c r="K46" s="20"/>
      <c r="L46" s="20" t="str">
        <f>IFERROR(__xludf.DUMMYFUNCTION("""COMPUTED_VALUE"""),"НАУИОКАЙТИС")</f>
        <v>НАУИОКАЙТИС</v>
      </c>
      <c r="M46" s="49">
        <f>IFERROR(__xludf.DUMMYFUNCTION("""COMPUTED_VALUE"""),46035.0)</f>
        <v>46035</v>
      </c>
      <c r="N46" s="50">
        <f>IFERROR(__xludf.DUMMYFUNCTION("""COMPUTED_VALUE"""),210000.0)</f>
        <v>210000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9"/>
      <c r="AQ46" s="29"/>
      <c r="AR46" s="29"/>
      <c r="AS46" s="29"/>
      <c r="AT46" s="29"/>
      <c r="AU46" s="29"/>
      <c r="AV46" s="29"/>
      <c r="AW46" s="29"/>
      <c r="AX46" s="29"/>
    </row>
    <row r="47">
      <c r="A47" s="20"/>
      <c r="B47" s="20"/>
      <c r="C47" s="20"/>
      <c r="D47" s="46"/>
      <c r="E47" s="20"/>
      <c r="F47" s="20"/>
      <c r="G47" s="20"/>
      <c r="H47" s="20"/>
      <c r="I47" s="20"/>
      <c r="J47" s="45"/>
      <c r="K47" s="20"/>
      <c r="L47" s="20" t="str">
        <f>IFERROR(__xludf.DUMMYFUNCTION("""COMPUTED_VALUE"""),"Джанашвили")</f>
        <v>Джанашвили</v>
      </c>
      <c r="M47" s="49">
        <f>IFERROR(__xludf.DUMMYFUNCTION("""COMPUTED_VALUE"""),46035.0)</f>
        <v>46035</v>
      </c>
      <c r="N47" s="50">
        <f>IFERROR(__xludf.DUMMYFUNCTION("""COMPUTED_VALUE"""),220000.0)</f>
        <v>220000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9"/>
      <c r="AQ47" s="29"/>
      <c r="AR47" s="29"/>
      <c r="AS47" s="29"/>
      <c r="AT47" s="29"/>
      <c r="AU47" s="29"/>
      <c r="AV47" s="29"/>
      <c r="AW47" s="29"/>
      <c r="AX47" s="29"/>
    </row>
    <row r="48">
      <c r="A48" s="20"/>
      <c r="B48" s="20"/>
      <c r="C48" s="20"/>
      <c r="D48" s="46"/>
      <c r="E48" s="20"/>
      <c r="F48" s="20"/>
      <c r="G48" s="20"/>
      <c r="H48" s="20"/>
      <c r="I48" s="20"/>
      <c r="J48" s="45"/>
      <c r="K48" s="20"/>
      <c r="L48" s="20" t="str">
        <f>IFERROR(__xludf.DUMMYFUNCTION("""COMPUTED_VALUE"""),"БЕН-ЭЛИ")</f>
        <v>БЕН-ЭЛИ</v>
      </c>
      <c r="M48" s="49">
        <f>IFERROR(__xludf.DUMMYFUNCTION("""COMPUTED_VALUE"""),46035.0)</f>
        <v>46035</v>
      </c>
      <c r="N48" s="50">
        <f>IFERROR(__xludf.DUMMYFUNCTION("""COMPUTED_VALUE"""),580743.0)</f>
        <v>580743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9"/>
      <c r="AQ48" s="29"/>
      <c r="AR48" s="29"/>
      <c r="AS48" s="29"/>
      <c r="AT48" s="29"/>
      <c r="AU48" s="29"/>
      <c r="AV48" s="29"/>
      <c r="AW48" s="29"/>
      <c r="AX48" s="29"/>
    </row>
    <row r="49">
      <c r="A49" s="20"/>
      <c r="B49" s="20"/>
      <c r="C49" s="20"/>
      <c r="D49" s="46"/>
      <c r="E49" s="20"/>
      <c r="F49" s="20"/>
      <c r="G49" s="20"/>
      <c r="H49" s="20"/>
      <c r="I49" s="20"/>
      <c r="J49" s="45"/>
      <c r="K49" s="20"/>
      <c r="L49" s="20" t="str">
        <f>IFERROR(__xludf.DUMMYFUNCTION("""COMPUTED_VALUE"""),"НАУИОКАЙТИС")</f>
        <v>НАУИОКАЙТИС</v>
      </c>
      <c r="M49" s="49">
        <f>IFERROR(__xludf.DUMMYFUNCTION("""COMPUTED_VALUE"""),46036.0)</f>
        <v>46036</v>
      </c>
      <c r="N49" s="50">
        <f>IFERROR(__xludf.DUMMYFUNCTION("""COMPUTED_VALUE"""),196500.0)</f>
        <v>196500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9"/>
      <c r="AQ49" s="29"/>
      <c r="AR49" s="29"/>
      <c r="AS49" s="29"/>
      <c r="AT49" s="29"/>
      <c r="AU49" s="29"/>
      <c r="AV49" s="29"/>
      <c r="AW49" s="29"/>
      <c r="AX49" s="29"/>
    </row>
    <row r="50">
      <c r="A50" s="20"/>
      <c r="B50" s="20"/>
      <c r="C50" s="20"/>
      <c r="D50" s="46"/>
      <c r="E50" s="20"/>
      <c r="F50" s="20"/>
      <c r="G50" s="20"/>
      <c r="H50" s="20"/>
      <c r="I50" s="20"/>
      <c r="J50" s="45"/>
      <c r="K50" s="20"/>
      <c r="L50" s="20" t="str">
        <f>IFERROR(__xludf.DUMMYFUNCTION("""COMPUTED_VALUE"""),"Джанашвили")</f>
        <v>Джанашвили</v>
      </c>
      <c r="M50" s="49">
        <f>IFERROR(__xludf.DUMMYFUNCTION("""COMPUTED_VALUE"""),46036.0)</f>
        <v>46036</v>
      </c>
      <c r="N50" s="50">
        <f>IFERROR(__xludf.DUMMYFUNCTION("""COMPUTED_VALUE"""),170000.0)</f>
        <v>170000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9"/>
      <c r="AQ50" s="29"/>
      <c r="AR50" s="29"/>
      <c r="AS50" s="29"/>
      <c r="AT50" s="29"/>
      <c r="AU50" s="29"/>
      <c r="AV50" s="29"/>
      <c r="AW50" s="29"/>
      <c r="AX50" s="29"/>
    </row>
    <row r="51">
      <c r="A51" s="20"/>
      <c r="B51" s="20"/>
      <c r="C51" s="20"/>
      <c r="D51" s="46"/>
      <c r="E51" s="20"/>
      <c r="F51" s="20"/>
      <c r="G51" s="20"/>
      <c r="H51" s="20"/>
      <c r="I51" s="20"/>
      <c r="J51" s="45"/>
      <c r="K51" s="20"/>
      <c r="L51" s="20" t="str">
        <f>IFERROR(__xludf.DUMMYFUNCTION("""COMPUTED_VALUE"""),"Маукеева")</f>
        <v>Маукеева</v>
      </c>
      <c r="M51" s="49">
        <f>IFERROR(__xludf.DUMMYFUNCTION("""COMPUTED_VALUE"""),46038.0)</f>
        <v>46038</v>
      </c>
      <c r="N51" s="50">
        <f>IFERROR(__xludf.DUMMYFUNCTION("""COMPUTED_VALUE"""),130890.0)</f>
        <v>130890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9"/>
      <c r="AQ51" s="29"/>
      <c r="AR51" s="29"/>
      <c r="AS51" s="29"/>
      <c r="AT51" s="29"/>
      <c r="AU51" s="29"/>
      <c r="AV51" s="29"/>
      <c r="AW51" s="29"/>
      <c r="AX51" s="29"/>
    </row>
    <row r="52">
      <c r="A52" s="20"/>
      <c r="B52" s="20"/>
      <c r="C52" s="20"/>
      <c r="D52" s="46"/>
      <c r="E52" s="20"/>
      <c r="F52" s="20"/>
      <c r="G52" s="20"/>
      <c r="H52" s="20"/>
      <c r="I52" s="20"/>
      <c r="J52" s="45"/>
      <c r="K52" s="20"/>
      <c r="L52" s="20" t="str">
        <f>IFERROR(__xludf.DUMMYFUNCTION("""COMPUTED_VALUE"""),"Джанашвили")</f>
        <v>Джанашвили</v>
      </c>
      <c r="M52" s="49">
        <f>IFERROR(__xludf.DUMMYFUNCTION("""COMPUTED_VALUE"""),46038.0)</f>
        <v>46038</v>
      </c>
      <c r="N52" s="50">
        <f>IFERROR(__xludf.DUMMYFUNCTION("""COMPUTED_VALUE"""),256350.0)</f>
        <v>256350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9"/>
      <c r="AQ52" s="29"/>
      <c r="AR52" s="29"/>
      <c r="AS52" s="29"/>
      <c r="AT52" s="29"/>
      <c r="AU52" s="29"/>
      <c r="AV52" s="29"/>
      <c r="AW52" s="29"/>
      <c r="AX52" s="29"/>
    </row>
    <row r="53">
      <c r="A53" s="20"/>
      <c r="B53" s="20"/>
      <c r="C53" s="20"/>
      <c r="D53" s="46"/>
      <c r="E53" s="20"/>
      <c r="F53" s="20"/>
      <c r="G53" s="20"/>
      <c r="H53" s="20"/>
      <c r="I53" s="20"/>
      <c r="J53" s="45"/>
      <c r="K53" s="20"/>
      <c r="L53" s="20" t="str">
        <f>IFERROR(__xludf.DUMMYFUNCTION("""COMPUTED_VALUE"""),"Маукеева")</f>
        <v>Маукеева</v>
      </c>
      <c r="M53" s="49">
        <f>IFERROR(__xludf.DUMMYFUNCTION("""COMPUTED_VALUE"""),46038.0)</f>
        <v>46038</v>
      </c>
      <c r="N53" s="50">
        <f>IFERROR(__xludf.DUMMYFUNCTION("""COMPUTED_VALUE"""),210260.0)</f>
        <v>210260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9"/>
      <c r="AQ53" s="29"/>
      <c r="AR53" s="29"/>
      <c r="AS53" s="29"/>
      <c r="AT53" s="29"/>
      <c r="AU53" s="29"/>
      <c r="AV53" s="29"/>
      <c r="AW53" s="29"/>
      <c r="AX53" s="29"/>
    </row>
    <row r="54">
      <c r="A54" s="20"/>
      <c r="B54" s="20"/>
      <c r="C54" s="20"/>
      <c r="D54" s="46"/>
      <c r="E54" s="20"/>
      <c r="F54" s="20"/>
      <c r="G54" s="20"/>
      <c r="H54" s="20"/>
      <c r="I54" s="20"/>
      <c r="J54" s="45"/>
      <c r="K54" s="20"/>
      <c r="L54" s="20" t="str">
        <f>IFERROR(__xludf.DUMMYFUNCTION("""COMPUTED_VALUE"""),"Джанашвили")</f>
        <v>Джанашвили</v>
      </c>
      <c r="M54" s="49">
        <f>IFERROR(__xludf.DUMMYFUNCTION("""COMPUTED_VALUE"""),46041.0)</f>
        <v>46041</v>
      </c>
      <c r="N54" s="50">
        <f>IFERROR(__xludf.DUMMYFUNCTION("""COMPUTED_VALUE"""),299870.0)</f>
        <v>299870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9"/>
      <c r="AQ54" s="29"/>
      <c r="AR54" s="29"/>
      <c r="AS54" s="29"/>
      <c r="AT54" s="29"/>
      <c r="AU54" s="29"/>
      <c r="AV54" s="29"/>
      <c r="AW54" s="29"/>
      <c r="AX54" s="29"/>
    </row>
    <row r="55">
      <c r="A55" s="20"/>
      <c r="B55" s="20"/>
      <c r="C55" s="20"/>
      <c r="D55" s="46"/>
      <c r="E55" s="20"/>
      <c r="F55" s="20"/>
      <c r="G55" s="20"/>
      <c r="H55" s="20"/>
      <c r="I55" s="20"/>
      <c r="J55" s="45"/>
      <c r="K55" s="20"/>
      <c r="L55" s="20" t="str">
        <f>IFERROR(__xludf.DUMMYFUNCTION("""COMPUTED_VALUE"""),"НАУИОКАЙТИС")</f>
        <v>НАУИОКАЙТИС</v>
      </c>
      <c r="M55" s="49">
        <f>IFERROR(__xludf.DUMMYFUNCTION("""COMPUTED_VALUE"""),46041.0)</f>
        <v>46041</v>
      </c>
      <c r="N55" s="50">
        <f>IFERROR(__xludf.DUMMYFUNCTION("""COMPUTED_VALUE"""),687960.0)</f>
        <v>687960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9"/>
      <c r="AQ55" s="29"/>
      <c r="AR55" s="29"/>
      <c r="AS55" s="29"/>
      <c r="AT55" s="29"/>
      <c r="AU55" s="29"/>
      <c r="AV55" s="29"/>
      <c r="AW55" s="29"/>
      <c r="AX55" s="29"/>
    </row>
    <row r="56">
      <c r="A56" s="20"/>
      <c r="B56" s="20"/>
      <c r="C56" s="20"/>
      <c r="D56" s="46"/>
      <c r="E56" s="20"/>
      <c r="F56" s="20"/>
      <c r="G56" s="20"/>
      <c r="H56" s="20"/>
      <c r="I56" s="20"/>
      <c r="J56" s="45"/>
      <c r="K56" s="20"/>
      <c r="L56" s="20" t="str">
        <f>IFERROR(__xludf.DUMMYFUNCTION("""COMPUTED_VALUE"""),"БЕН-ЭЛИ")</f>
        <v>БЕН-ЭЛИ</v>
      </c>
      <c r="M56" s="49">
        <f>IFERROR(__xludf.DUMMYFUNCTION("""COMPUTED_VALUE"""),46041.0)</f>
        <v>46041</v>
      </c>
      <c r="N56" s="50">
        <f>IFERROR(__xludf.DUMMYFUNCTION("""COMPUTED_VALUE"""),246000.0)</f>
        <v>246000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9"/>
      <c r="AQ56" s="29"/>
      <c r="AR56" s="29"/>
      <c r="AS56" s="29"/>
      <c r="AT56" s="29"/>
      <c r="AU56" s="29"/>
      <c r="AV56" s="29"/>
      <c r="AW56" s="29"/>
      <c r="AX56" s="29"/>
    </row>
    <row r="57">
      <c r="A57" s="20"/>
      <c r="B57" s="20"/>
      <c r="C57" s="20"/>
      <c r="D57" s="46"/>
      <c r="E57" s="20"/>
      <c r="F57" s="20"/>
      <c r="G57" s="20"/>
      <c r="H57" s="20"/>
      <c r="I57" s="20"/>
      <c r="J57" s="45"/>
      <c r="K57" s="20"/>
      <c r="L57" s="20" t="str">
        <f>IFERROR(__xludf.DUMMYFUNCTION("""COMPUTED_VALUE"""),"НАУИОКАЙТИС")</f>
        <v>НАУИОКАЙТИС</v>
      </c>
      <c r="M57" s="49">
        <f>IFERROR(__xludf.DUMMYFUNCTION("""COMPUTED_VALUE"""),46042.0)</f>
        <v>46042</v>
      </c>
      <c r="N57" s="50">
        <f>IFERROR(__xludf.DUMMYFUNCTION("""COMPUTED_VALUE"""),265840.0)</f>
        <v>265840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9"/>
      <c r="AQ57" s="29"/>
      <c r="AR57" s="29"/>
      <c r="AS57" s="29"/>
      <c r="AT57" s="29"/>
      <c r="AU57" s="29"/>
      <c r="AV57" s="29"/>
      <c r="AW57" s="29"/>
      <c r="AX57" s="29"/>
    </row>
    <row r="58">
      <c r="A58" s="20"/>
      <c r="B58" s="20"/>
      <c r="C58" s="20"/>
      <c r="D58" s="46"/>
      <c r="E58" s="20"/>
      <c r="F58" s="20"/>
      <c r="G58" s="20"/>
      <c r="H58" s="20"/>
      <c r="I58" s="20"/>
      <c r="J58" s="45"/>
      <c r="K58" s="20"/>
      <c r="L58" s="20" t="str">
        <f>IFERROR(__xludf.DUMMYFUNCTION("""COMPUTED_VALUE"""),"Маукеева")</f>
        <v>Маукеева</v>
      </c>
      <c r="M58" s="49">
        <f>IFERROR(__xludf.DUMMYFUNCTION("""COMPUTED_VALUE"""),46042.0)</f>
        <v>46042</v>
      </c>
      <c r="N58" s="50">
        <f>IFERROR(__xludf.DUMMYFUNCTION("""COMPUTED_VALUE"""),172191.55)</f>
        <v>172191.55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9"/>
      <c r="AQ58" s="29"/>
      <c r="AR58" s="29"/>
      <c r="AS58" s="29"/>
      <c r="AT58" s="29"/>
      <c r="AU58" s="29"/>
      <c r="AV58" s="29"/>
      <c r="AW58" s="29"/>
      <c r="AX58" s="29"/>
    </row>
    <row r="59">
      <c r="A59" s="20"/>
      <c r="B59" s="20"/>
      <c r="C59" s="20"/>
      <c r="D59" s="46"/>
      <c r="E59" s="20"/>
      <c r="F59" s="20"/>
      <c r="G59" s="20"/>
      <c r="H59" s="20"/>
      <c r="I59" s="20"/>
      <c r="J59" s="45"/>
      <c r="K59" s="20"/>
      <c r="L59" s="20" t="str">
        <f>IFERROR(__xludf.DUMMYFUNCTION("""COMPUTED_VALUE"""),"Джанашвили")</f>
        <v>Джанашвили</v>
      </c>
      <c r="M59" s="49">
        <f>IFERROR(__xludf.DUMMYFUNCTION("""COMPUTED_VALUE"""),46042.0)</f>
        <v>46042</v>
      </c>
      <c r="N59" s="50">
        <f>IFERROR(__xludf.DUMMYFUNCTION("""COMPUTED_VALUE"""),231550.0)</f>
        <v>231550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9"/>
      <c r="AQ59" s="29"/>
      <c r="AR59" s="29"/>
      <c r="AS59" s="29"/>
      <c r="AT59" s="29"/>
      <c r="AU59" s="29"/>
      <c r="AV59" s="29"/>
      <c r="AW59" s="29"/>
      <c r="AX59" s="29"/>
    </row>
    <row r="60">
      <c r="A60" s="20"/>
      <c r="B60" s="20"/>
      <c r="C60" s="20"/>
      <c r="D60" s="46"/>
      <c r="E60" s="20"/>
      <c r="F60" s="20"/>
      <c r="G60" s="20"/>
      <c r="H60" s="20"/>
      <c r="I60" s="20"/>
      <c r="J60" s="45"/>
      <c r="K60" s="20"/>
      <c r="L60" s="20" t="str">
        <f>IFERROR(__xludf.DUMMYFUNCTION("""COMPUTED_VALUE"""),"Маукеева")</f>
        <v>Маукеева</v>
      </c>
      <c r="M60" s="49">
        <f>IFERROR(__xludf.DUMMYFUNCTION("""COMPUTED_VALUE"""),46043.0)</f>
        <v>46043</v>
      </c>
      <c r="N60" s="50">
        <f>IFERROR(__xludf.DUMMYFUNCTION("""COMPUTED_VALUE"""),54000.0)</f>
        <v>54000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9"/>
      <c r="AQ60" s="29"/>
      <c r="AR60" s="29"/>
      <c r="AS60" s="29"/>
      <c r="AT60" s="29"/>
      <c r="AU60" s="29"/>
      <c r="AV60" s="29"/>
      <c r="AW60" s="29"/>
      <c r="AX60" s="29"/>
    </row>
    <row r="61">
      <c r="A61" s="20"/>
      <c r="B61" s="20"/>
      <c r="C61" s="20"/>
      <c r="D61" s="46"/>
      <c r="E61" s="20"/>
      <c r="F61" s="20"/>
      <c r="G61" s="20"/>
      <c r="H61" s="20"/>
      <c r="I61" s="20"/>
      <c r="J61" s="45"/>
      <c r="K61" s="20"/>
      <c r="L61" s="20" t="str">
        <f>IFERROR(__xludf.DUMMYFUNCTION("""COMPUTED_VALUE"""),"Джанашвили")</f>
        <v>Джанашвили</v>
      </c>
      <c r="M61" s="49">
        <f>IFERROR(__xludf.DUMMYFUNCTION("""COMPUTED_VALUE"""),46043.0)</f>
        <v>46043</v>
      </c>
      <c r="N61" s="50">
        <f>IFERROR(__xludf.DUMMYFUNCTION("""COMPUTED_VALUE"""),180500.19)</f>
        <v>180500.19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9"/>
      <c r="AQ61" s="29"/>
      <c r="AR61" s="29"/>
      <c r="AS61" s="29"/>
      <c r="AT61" s="29"/>
      <c r="AU61" s="29"/>
      <c r="AV61" s="29"/>
      <c r="AW61" s="29"/>
      <c r="AX61" s="29"/>
    </row>
    <row r="62">
      <c r="A62" s="20"/>
      <c r="B62" s="20"/>
      <c r="C62" s="20"/>
      <c r="D62" s="46"/>
      <c r="E62" s="20"/>
      <c r="F62" s="20"/>
      <c r="G62" s="20"/>
      <c r="H62" s="20"/>
      <c r="I62" s="20"/>
      <c r="J62" s="45"/>
      <c r="K62" s="20"/>
      <c r="L62" s="20" t="str">
        <f>IFERROR(__xludf.DUMMYFUNCTION("""COMPUTED_VALUE"""),"НАУИОКАЙТИС")</f>
        <v>НАУИОКАЙТИС</v>
      </c>
      <c r="M62" s="49">
        <f>IFERROR(__xludf.DUMMYFUNCTION("""COMPUTED_VALUE"""),46043.0)</f>
        <v>46043</v>
      </c>
      <c r="N62" s="50">
        <f>IFERROR(__xludf.DUMMYFUNCTION("""COMPUTED_VALUE"""),197026.0)</f>
        <v>197026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9"/>
      <c r="AQ62" s="29"/>
      <c r="AR62" s="29"/>
      <c r="AS62" s="29"/>
      <c r="AT62" s="29"/>
      <c r="AU62" s="29"/>
      <c r="AV62" s="29"/>
      <c r="AW62" s="29"/>
      <c r="AX62" s="29"/>
    </row>
    <row r="63">
      <c r="A63" s="20"/>
      <c r="B63" s="20"/>
      <c r="C63" s="20"/>
      <c r="D63" s="46"/>
      <c r="E63" s="20"/>
      <c r="F63" s="20"/>
      <c r="G63" s="20"/>
      <c r="H63" s="20"/>
      <c r="I63" s="20"/>
      <c r="J63" s="45"/>
      <c r="K63" s="20"/>
      <c r="L63" s="20" t="str">
        <f>IFERROR(__xludf.DUMMYFUNCTION("""COMPUTED_VALUE"""),"Маукеева")</f>
        <v>Маукеева</v>
      </c>
      <c r="M63" s="49">
        <f>IFERROR(__xludf.DUMMYFUNCTION("""COMPUTED_VALUE"""),46044.0)</f>
        <v>46044</v>
      </c>
      <c r="N63" s="50">
        <f>IFERROR(__xludf.DUMMYFUNCTION("""COMPUTED_VALUE"""),63000.0)</f>
        <v>63000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9"/>
      <c r="AQ63" s="29"/>
      <c r="AR63" s="29"/>
      <c r="AS63" s="29"/>
      <c r="AT63" s="29"/>
      <c r="AU63" s="29"/>
      <c r="AV63" s="29"/>
      <c r="AW63" s="29"/>
      <c r="AX63" s="29"/>
    </row>
    <row r="64">
      <c r="A64" s="20"/>
      <c r="B64" s="20"/>
      <c r="C64" s="20"/>
      <c r="D64" s="46"/>
      <c r="E64" s="20"/>
      <c r="F64" s="20"/>
      <c r="G64" s="20"/>
      <c r="H64" s="20"/>
      <c r="I64" s="20"/>
      <c r="J64" s="45"/>
      <c r="K64" s="20"/>
      <c r="L64" s="20" t="str">
        <f>IFERROR(__xludf.DUMMYFUNCTION("""COMPUTED_VALUE"""),"НАУИОКАЙТИС")</f>
        <v>НАУИОКАЙТИС</v>
      </c>
      <c r="M64" s="49">
        <f>IFERROR(__xludf.DUMMYFUNCTION("""COMPUTED_VALUE"""),46044.0)</f>
        <v>46044</v>
      </c>
      <c r="N64" s="50">
        <f>IFERROR(__xludf.DUMMYFUNCTION("""COMPUTED_VALUE"""),350350.0)</f>
        <v>350350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9"/>
      <c r="AQ64" s="29"/>
      <c r="AR64" s="29"/>
      <c r="AS64" s="29"/>
      <c r="AT64" s="29"/>
      <c r="AU64" s="29"/>
      <c r="AV64" s="29"/>
      <c r="AW64" s="29"/>
      <c r="AX64" s="29"/>
    </row>
    <row r="65">
      <c r="A65" s="20"/>
      <c r="B65" s="20"/>
      <c r="C65" s="20"/>
      <c r="D65" s="46"/>
      <c r="E65" s="20"/>
      <c r="F65" s="20"/>
      <c r="G65" s="20"/>
      <c r="H65" s="20"/>
      <c r="I65" s="20"/>
      <c r="J65" s="45"/>
      <c r="K65" s="20"/>
      <c r="L65" s="20" t="str">
        <f>IFERROR(__xludf.DUMMYFUNCTION("""COMPUTED_VALUE"""),"Джанашвили")</f>
        <v>Джанашвили</v>
      </c>
      <c r="M65" s="49">
        <f>IFERROR(__xludf.DUMMYFUNCTION("""COMPUTED_VALUE"""),46044.0)</f>
        <v>46044</v>
      </c>
      <c r="N65" s="50">
        <f>IFERROR(__xludf.DUMMYFUNCTION("""COMPUTED_VALUE"""),143650.0)</f>
        <v>143650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9"/>
      <c r="AQ65" s="29"/>
      <c r="AR65" s="29"/>
      <c r="AS65" s="29"/>
      <c r="AT65" s="29"/>
      <c r="AU65" s="29"/>
      <c r="AV65" s="29"/>
      <c r="AW65" s="29"/>
      <c r="AX65" s="29"/>
    </row>
    <row r="66">
      <c r="A66" s="20"/>
      <c r="B66" s="20"/>
      <c r="C66" s="20"/>
      <c r="D66" s="46"/>
      <c r="E66" s="20"/>
      <c r="F66" s="20"/>
      <c r="G66" s="20"/>
      <c r="H66" s="20"/>
      <c r="I66" s="20"/>
      <c r="J66" s="45"/>
      <c r="K66" s="20"/>
      <c r="L66" s="20" t="str">
        <f>IFERROR(__xludf.DUMMYFUNCTION("""COMPUTED_VALUE"""),"Джанашвили")</f>
        <v>Джанашвили</v>
      </c>
      <c r="M66" s="49">
        <f>IFERROR(__xludf.DUMMYFUNCTION("""COMPUTED_VALUE"""),46045.0)</f>
        <v>46045</v>
      </c>
      <c r="N66" s="50">
        <f>IFERROR(__xludf.DUMMYFUNCTION("""COMPUTED_VALUE"""),120000.0)</f>
        <v>120000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9"/>
      <c r="AQ66" s="29"/>
      <c r="AR66" s="29"/>
      <c r="AS66" s="29"/>
      <c r="AT66" s="29"/>
      <c r="AU66" s="29"/>
      <c r="AV66" s="29"/>
      <c r="AW66" s="29"/>
      <c r="AX66" s="29"/>
    </row>
    <row r="67">
      <c r="A67" s="20"/>
      <c r="B67" s="20"/>
      <c r="C67" s="20"/>
      <c r="D67" s="46"/>
      <c r="E67" s="20"/>
      <c r="F67" s="20"/>
      <c r="G67" s="20"/>
      <c r="H67" s="20"/>
      <c r="I67" s="20"/>
      <c r="J67" s="45"/>
      <c r="K67" s="20"/>
      <c r="L67" s="20" t="str">
        <f>IFERROR(__xludf.DUMMYFUNCTION("""COMPUTED_VALUE"""),"Джанашвили")</f>
        <v>Джанашвили</v>
      </c>
      <c r="M67" s="49">
        <f>IFERROR(__xludf.DUMMYFUNCTION("""COMPUTED_VALUE"""),46045.0)</f>
        <v>46045</v>
      </c>
      <c r="N67" s="50">
        <f>IFERROR(__xludf.DUMMYFUNCTION("""COMPUTED_VALUE"""),500000.0)</f>
        <v>500000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9"/>
      <c r="AQ67" s="29"/>
      <c r="AR67" s="29"/>
      <c r="AS67" s="29"/>
      <c r="AT67" s="29"/>
      <c r="AU67" s="29"/>
      <c r="AV67" s="29"/>
      <c r="AW67" s="29"/>
      <c r="AX67" s="29"/>
    </row>
    <row r="68">
      <c r="A68" s="20"/>
      <c r="B68" s="20"/>
      <c r="C68" s="20"/>
      <c r="D68" s="46"/>
      <c r="E68" s="20"/>
      <c r="F68" s="20"/>
      <c r="G68" s="20"/>
      <c r="H68" s="20"/>
      <c r="I68" s="20"/>
      <c r="J68" s="45"/>
      <c r="K68" s="20"/>
      <c r="L68" s="20" t="str">
        <f>IFERROR(__xludf.DUMMYFUNCTION("""COMPUTED_VALUE"""),"НАУИОКАЙТИС")</f>
        <v>НАУИОКАЙТИС</v>
      </c>
      <c r="M68" s="49">
        <f>IFERROR(__xludf.DUMMYFUNCTION("""COMPUTED_VALUE"""),46045.0)</f>
        <v>46045</v>
      </c>
      <c r="N68" s="50">
        <f>IFERROR(__xludf.DUMMYFUNCTION("""COMPUTED_VALUE"""),733000.15)</f>
        <v>733000.15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9"/>
      <c r="AQ68" s="29"/>
      <c r="AR68" s="29"/>
      <c r="AS68" s="29"/>
      <c r="AT68" s="29"/>
      <c r="AU68" s="29"/>
      <c r="AV68" s="29"/>
      <c r="AW68" s="29"/>
      <c r="AX68" s="29"/>
    </row>
    <row r="69">
      <c r="A69" s="20"/>
      <c r="B69" s="20"/>
      <c r="C69" s="20"/>
      <c r="D69" s="46"/>
      <c r="E69" s="20"/>
      <c r="F69" s="20"/>
      <c r="G69" s="20"/>
      <c r="H69" s="20"/>
      <c r="I69" s="20"/>
      <c r="J69" s="45"/>
      <c r="K69" s="20"/>
      <c r="L69" s="20" t="str">
        <f>IFERROR(__xludf.DUMMYFUNCTION("""COMPUTED_VALUE"""),"Маукеева")</f>
        <v>Маукеева</v>
      </c>
      <c r="M69" s="49">
        <f>IFERROR(__xludf.DUMMYFUNCTION("""COMPUTED_VALUE"""),46048.0)</f>
        <v>46048</v>
      </c>
      <c r="N69" s="50">
        <f>IFERROR(__xludf.DUMMYFUNCTION("""COMPUTED_VALUE"""),103950.0)</f>
        <v>103950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9"/>
      <c r="AQ69" s="29"/>
      <c r="AR69" s="29"/>
      <c r="AS69" s="29"/>
      <c r="AT69" s="29"/>
      <c r="AU69" s="29"/>
      <c r="AV69" s="29"/>
      <c r="AW69" s="29"/>
      <c r="AX69" s="29"/>
    </row>
    <row r="70">
      <c r="A70" s="20"/>
      <c r="B70" s="20"/>
      <c r="C70" s="20"/>
      <c r="D70" s="46"/>
      <c r="E70" s="20"/>
      <c r="F70" s="20"/>
      <c r="G70" s="20"/>
      <c r="H70" s="20"/>
      <c r="I70" s="20"/>
      <c r="J70" s="45"/>
      <c r="K70" s="20"/>
      <c r="L70" s="20" t="str">
        <f>IFERROR(__xludf.DUMMYFUNCTION("""COMPUTED_VALUE"""),"Джанашвили")</f>
        <v>Джанашвили</v>
      </c>
      <c r="M70" s="49">
        <f>IFERROR(__xludf.DUMMYFUNCTION("""COMPUTED_VALUE"""),46048.0)</f>
        <v>46048</v>
      </c>
      <c r="N70" s="50">
        <f>IFERROR(__xludf.DUMMYFUNCTION("""COMPUTED_VALUE"""),160000.0)</f>
        <v>160000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9"/>
      <c r="AQ70" s="29"/>
      <c r="AR70" s="29"/>
      <c r="AS70" s="29"/>
      <c r="AT70" s="29"/>
      <c r="AU70" s="29"/>
      <c r="AV70" s="29"/>
      <c r="AW70" s="29"/>
      <c r="AX70" s="29"/>
    </row>
    <row r="71">
      <c r="A71" s="20"/>
      <c r="B71" s="20"/>
      <c r="C71" s="20"/>
      <c r="D71" s="46"/>
      <c r="E71" s="20"/>
      <c r="F71" s="20"/>
      <c r="G71" s="20"/>
      <c r="H71" s="20"/>
      <c r="I71" s="20"/>
      <c r="J71" s="45"/>
      <c r="K71" s="20"/>
      <c r="L71" s="20" t="str">
        <f>IFERROR(__xludf.DUMMYFUNCTION("""COMPUTED_VALUE"""),"НАУИОКАЙТИС")</f>
        <v>НАУИОКАЙТИС</v>
      </c>
      <c r="M71" s="49">
        <f>IFERROR(__xludf.DUMMYFUNCTION("""COMPUTED_VALUE"""),46048.0)</f>
        <v>46048</v>
      </c>
      <c r="N71" s="50">
        <f>IFERROR(__xludf.DUMMYFUNCTION("""COMPUTED_VALUE"""),367500.0)</f>
        <v>367500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9"/>
      <c r="AQ71" s="29"/>
      <c r="AR71" s="29"/>
      <c r="AS71" s="29"/>
      <c r="AT71" s="29"/>
      <c r="AU71" s="29"/>
      <c r="AV71" s="29"/>
      <c r="AW71" s="29"/>
      <c r="AX71" s="29"/>
    </row>
    <row r="72">
      <c r="A72" s="20"/>
      <c r="B72" s="20"/>
      <c r="C72" s="20"/>
      <c r="D72" s="46"/>
      <c r="E72" s="20"/>
      <c r="F72" s="20"/>
      <c r="G72" s="20"/>
      <c r="H72" s="20"/>
      <c r="I72" s="20"/>
      <c r="J72" s="45"/>
      <c r="K72" s="20"/>
      <c r="L72" s="20" t="str">
        <f>IFERROR(__xludf.DUMMYFUNCTION("""COMPUTED_VALUE"""),"Маукеева")</f>
        <v>Маукеева</v>
      </c>
      <c r="M72" s="49">
        <f>IFERROR(__xludf.DUMMYFUNCTION("""COMPUTED_VALUE"""),46048.0)</f>
        <v>46048</v>
      </c>
      <c r="N72" s="50">
        <f>IFERROR(__xludf.DUMMYFUNCTION("""COMPUTED_VALUE"""),71500.0)</f>
        <v>71500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9"/>
      <c r="AQ72" s="29"/>
      <c r="AR72" s="29"/>
      <c r="AS72" s="29"/>
      <c r="AT72" s="29"/>
      <c r="AU72" s="29"/>
      <c r="AV72" s="29"/>
      <c r="AW72" s="29"/>
      <c r="AX72" s="29"/>
    </row>
    <row r="73">
      <c r="A73" s="20"/>
      <c r="B73" s="20"/>
      <c r="C73" s="20"/>
      <c r="D73" s="46"/>
      <c r="E73" s="20"/>
      <c r="F73" s="20"/>
      <c r="G73" s="20"/>
      <c r="H73" s="20"/>
      <c r="I73" s="20"/>
      <c r="J73" s="45"/>
      <c r="K73" s="20"/>
      <c r="L73" s="20" t="str">
        <f>IFERROR(__xludf.DUMMYFUNCTION("""COMPUTED_VALUE"""),"Маукеева")</f>
        <v>Маукеева</v>
      </c>
      <c r="M73" s="49">
        <f>IFERROR(__xludf.DUMMYFUNCTION("""COMPUTED_VALUE"""),46058.0)</f>
        <v>46058</v>
      </c>
      <c r="N73" s="50">
        <f>IFERROR(__xludf.DUMMYFUNCTION("""COMPUTED_VALUE"""),114550.0)</f>
        <v>114550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9"/>
      <c r="AQ73" s="29"/>
      <c r="AR73" s="29"/>
      <c r="AS73" s="29"/>
      <c r="AT73" s="29"/>
      <c r="AU73" s="29"/>
      <c r="AV73" s="29"/>
      <c r="AW73" s="29"/>
      <c r="AX73" s="29"/>
    </row>
    <row r="74">
      <c r="A74" s="20"/>
      <c r="B74" s="20"/>
      <c r="C74" s="20"/>
      <c r="D74" s="46"/>
      <c r="E74" s="20"/>
      <c r="F74" s="20"/>
      <c r="G74" s="20"/>
      <c r="H74" s="20"/>
      <c r="I74" s="20"/>
      <c r="J74" s="45"/>
      <c r="K74" s="20"/>
      <c r="L74" s="20" t="str">
        <f>IFERROR(__xludf.DUMMYFUNCTION("""COMPUTED_VALUE"""),"Джанашвили")</f>
        <v>Джанашвили</v>
      </c>
      <c r="M74" s="49">
        <f>IFERROR(__xludf.DUMMYFUNCTION("""COMPUTED_VALUE"""),46058.0)</f>
        <v>46058</v>
      </c>
      <c r="N74" s="50">
        <f>IFERROR(__xludf.DUMMYFUNCTION("""COMPUTED_VALUE"""),240000.0)</f>
        <v>240000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9"/>
      <c r="AQ74" s="29"/>
      <c r="AR74" s="29"/>
      <c r="AS74" s="29"/>
      <c r="AT74" s="29"/>
      <c r="AU74" s="29"/>
      <c r="AV74" s="29"/>
      <c r="AW74" s="29"/>
      <c r="AX74" s="29"/>
    </row>
    <row r="75">
      <c r="A75" s="20"/>
      <c r="B75" s="20"/>
      <c r="C75" s="20"/>
      <c r="D75" s="46"/>
      <c r="E75" s="20"/>
      <c r="F75" s="20"/>
      <c r="G75" s="20"/>
      <c r="H75" s="20"/>
      <c r="I75" s="20"/>
      <c r="J75" s="45"/>
      <c r="K75" s="20"/>
      <c r="L75" s="20" t="str">
        <f>IFERROR(__xludf.DUMMYFUNCTION("""COMPUTED_VALUE"""),"НАУИОКАЙТИС")</f>
        <v>НАУИОКАЙТИС</v>
      </c>
      <c r="M75" s="49">
        <f>IFERROR(__xludf.DUMMYFUNCTION("""COMPUTED_VALUE"""),46058.0)</f>
        <v>46058</v>
      </c>
      <c r="N75" s="50">
        <f>IFERROR(__xludf.DUMMYFUNCTION("""COMPUTED_VALUE"""),270000.0)</f>
        <v>270000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9"/>
      <c r="AQ75" s="29"/>
      <c r="AR75" s="29"/>
      <c r="AS75" s="29"/>
      <c r="AT75" s="29"/>
      <c r="AU75" s="29"/>
      <c r="AV75" s="29"/>
      <c r="AW75" s="29"/>
      <c r="AX75" s="29"/>
    </row>
    <row r="76">
      <c r="A76" s="20"/>
      <c r="B76" s="20"/>
      <c r="C76" s="20"/>
      <c r="D76" s="46"/>
      <c r="E76" s="20"/>
      <c r="F76" s="20"/>
      <c r="G76" s="20"/>
      <c r="H76" s="20"/>
      <c r="I76" s="20"/>
      <c r="J76" s="45"/>
      <c r="K76" s="20"/>
      <c r="L76" s="20" t="str">
        <f>IFERROR(__xludf.DUMMYFUNCTION("""COMPUTED_VALUE"""),"БЕН-ЭЛИ")</f>
        <v>БЕН-ЭЛИ</v>
      </c>
      <c r="M76" s="49">
        <f>IFERROR(__xludf.DUMMYFUNCTION("""COMPUTED_VALUE"""),46059.0)</f>
        <v>46059</v>
      </c>
      <c r="N76" s="50">
        <f>IFERROR(__xludf.DUMMYFUNCTION("""COMPUTED_VALUE"""),270600.0)</f>
        <v>270600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9"/>
      <c r="AQ76" s="29"/>
      <c r="AR76" s="29"/>
      <c r="AS76" s="29"/>
      <c r="AT76" s="29"/>
      <c r="AU76" s="29"/>
      <c r="AV76" s="29"/>
      <c r="AW76" s="29"/>
      <c r="AX76" s="29"/>
    </row>
    <row r="77">
      <c r="A77" s="20"/>
      <c r="B77" s="20"/>
      <c r="C77" s="20"/>
      <c r="D77" s="46"/>
      <c r="E77" s="20"/>
      <c r="F77" s="20"/>
      <c r="G77" s="20"/>
      <c r="H77" s="20"/>
      <c r="I77" s="20"/>
      <c r="J77" s="45"/>
      <c r="K77" s="20"/>
      <c r="L77" s="20" t="str">
        <f>IFERROR(__xludf.DUMMYFUNCTION("""COMPUTED_VALUE"""),"Джанашвили")</f>
        <v>Джанашвили</v>
      </c>
      <c r="M77" s="49">
        <f>IFERROR(__xludf.DUMMYFUNCTION("""COMPUTED_VALUE"""),46059.0)</f>
        <v>46059</v>
      </c>
      <c r="N77" s="50">
        <f>IFERROR(__xludf.DUMMYFUNCTION("""COMPUTED_VALUE"""),255000.0)</f>
        <v>255000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9"/>
      <c r="AQ77" s="29"/>
      <c r="AR77" s="29"/>
      <c r="AS77" s="29"/>
      <c r="AT77" s="29"/>
      <c r="AU77" s="29"/>
      <c r="AV77" s="29"/>
      <c r="AW77" s="29"/>
      <c r="AX77" s="29"/>
    </row>
    <row r="78">
      <c r="A78" s="20"/>
      <c r="B78" s="20"/>
      <c r="C78" s="20"/>
      <c r="D78" s="46"/>
      <c r="E78" s="20"/>
      <c r="F78" s="20"/>
      <c r="G78" s="20"/>
      <c r="H78" s="20"/>
      <c r="I78" s="20"/>
      <c r="J78" s="45"/>
      <c r="K78" s="20"/>
      <c r="L78" s="20" t="str">
        <f>IFERROR(__xludf.DUMMYFUNCTION("""COMPUTED_VALUE"""),"НАУИОКАЙТИС")</f>
        <v>НАУИОКАЙТИС</v>
      </c>
      <c r="M78" s="49">
        <f>IFERROR(__xludf.DUMMYFUNCTION("""COMPUTED_VALUE"""),46059.0)</f>
        <v>46059</v>
      </c>
      <c r="N78" s="50">
        <f>IFERROR(__xludf.DUMMYFUNCTION("""COMPUTED_VALUE"""),530000.0)</f>
        <v>530000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9"/>
      <c r="AQ78" s="29"/>
      <c r="AR78" s="29"/>
      <c r="AS78" s="29"/>
      <c r="AT78" s="29"/>
      <c r="AU78" s="29"/>
      <c r="AV78" s="29"/>
      <c r="AW78" s="29"/>
      <c r="AX78" s="29"/>
    </row>
    <row r="79">
      <c r="A79" s="20"/>
      <c r="B79" s="20"/>
      <c r="C79" s="20"/>
      <c r="D79" s="46"/>
      <c r="E79" s="20"/>
      <c r="F79" s="20"/>
      <c r="G79" s="20"/>
      <c r="H79" s="20"/>
      <c r="I79" s="20"/>
      <c r="J79" s="45"/>
      <c r="K79" s="20"/>
      <c r="L79" s="20" t="str">
        <f>IFERROR(__xludf.DUMMYFUNCTION("""COMPUTED_VALUE"""),"Джанашвили")</f>
        <v>Джанашвили</v>
      </c>
      <c r="M79" s="49">
        <f>IFERROR(__xludf.DUMMYFUNCTION("""COMPUTED_VALUE"""),46059.0)</f>
        <v>46059</v>
      </c>
      <c r="N79" s="50">
        <f>IFERROR(__xludf.DUMMYFUNCTION("""COMPUTED_VALUE"""),197000.0)</f>
        <v>197000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9"/>
      <c r="AQ79" s="29"/>
      <c r="AR79" s="29"/>
      <c r="AS79" s="29"/>
      <c r="AT79" s="29"/>
      <c r="AU79" s="29"/>
      <c r="AV79" s="29"/>
      <c r="AW79" s="29"/>
      <c r="AX79" s="29"/>
    </row>
    <row r="80">
      <c r="A80" s="20"/>
      <c r="B80" s="20"/>
      <c r="C80" s="20"/>
      <c r="D80" s="46"/>
      <c r="E80" s="20"/>
      <c r="F80" s="20"/>
      <c r="G80" s="20"/>
      <c r="H80" s="20"/>
      <c r="I80" s="20"/>
      <c r="J80" s="45"/>
      <c r="K80" s="20"/>
      <c r="L80" s="20" t="str">
        <f>IFERROR(__xludf.DUMMYFUNCTION("""COMPUTED_VALUE"""),"Маукеева")</f>
        <v>Маукеева</v>
      </c>
      <c r="M80" s="49">
        <f>IFERROR(__xludf.DUMMYFUNCTION("""COMPUTED_VALUE"""),46062.0)</f>
        <v>46062</v>
      </c>
      <c r="N80" s="50">
        <f>IFERROR(__xludf.DUMMYFUNCTION("""COMPUTED_VALUE"""),205000.0)</f>
        <v>205000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9"/>
      <c r="AQ80" s="29"/>
      <c r="AR80" s="29"/>
      <c r="AS80" s="29"/>
      <c r="AT80" s="29"/>
      <c r="AU80" s="29"/>
      <c r="AV80" s="29"/>
      <c r="AW80" s="29"/>
      <c r="AX80" s="29"/>
    </row>
    <row r="81">
      <c r="A81" s="20"/>
      <c r="B81" s="20"/>
      <c r="C81" s="20"/>
      <c r="D81" s="46"/>
      <c r="E81" s="20"/>
      <c r="F81" s="20"/>
      <c r="G81" s="20"/>
      <c r="H81" s="20"/>
      <c r="I81" s="20"/>
      <c r="J81" s="45"/>
      <c r="K81" s="20"/>
      <c r="L81" s="20" t="str">
        <f>IFERROR(__xludf.DUMMYFUNCTION("""COMPUTED_VALUE"""),"Джанашвили")</f>
        <v>Джанашвили</v>
      </c>
      <c r="M81" s="49">
        <f>IFERROR(__xludf.DUMMYFUNCTION("""COMPUTED_VALUE"""),46062.0)</f>
        <v>46062</v>
      </c>
      <c r="N81" s="50">
        <f>IFERROR(__xludf.DUMMYFUNCTION("""COMPUTED_VALUE"""),150000.0)</f>
        <v>150000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9"/>
      <c r="AQ81" s="29"/>
      <c r="AR81" s="29"/>
      <c r="AS81" s="29"/>
      <c r="AT81" s="29"/>
      <c r="AU81" s="29"/>
      <c r="AV81" s="29"/>
      <c r="AW81" s="29"/>
      <c r="AX81" s="29"/>
    </row>
    <row r="82">
      <c r="A82" s="20"/>
      <c r="B82" s="20"/>
      <c r="C82" s="20"/>
      <c r="D82" s="46"/>
      <c r="E82" s="20"/>
      <c r="F82" s="20"/>
      <c r="G82" s="20"/>
      <c r="H82" s="20"/>
      <c r="I82" s="20"/>
      <c r="J82" s="45"/>
      <c r="K82" s="20"/>
      <c r="L82" s="20" t="str">
        <f>IFERROR(__xludf.DUMMYFUNCTION("""COMPUTED_VALUE"""),"НАУИОКАЙТИС")</f>
        <v>НАУИОКАЙТИС</v>
      </c>
      <c r="M82" s="49">
        <f>IFERROR(__xludf.DUMMYFUNCTION("""COMPUTED_VALUE"""),46062.0)</f>
        <v>46062</v>
      </c>
      <c r="N82" s="50">
        <f>IFERROR(__xludf.DUMMYFUNCTION("""COMPUTED_VALUE"""),421000.0)</f>
        <v>421000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9"/>
      <c r="AQ82" s="29"/>
      <c r="AR82" s="29"/>
      <c r="AS82" s="29"/>
      <c r="AT82" s="29"/>
      <c r="AU82" s="29"/>
      <c r="AV82" s="29"/>
      <c r="AW82" s="29"/>
      <c r="AX82" s="29"/>
    </row>
    <row r="83">
      <c r="A83" s="20"/>
      <c r="B83" s="20"/>
      <c r="C83" s="20"/>
      <c r="D83" s="46"/>
      <c r="E83" s="20"/>
      <c r="F83" s="20"/>
      <c r="G83" s="20"/>
      <c r="H83" s="20"/>
      <c r="I83" s="20"/>
      <c r="J83" s="45"/>
      <c r="K83" s="20"/>
      <c r="L83" s="20" t="str">
        <f>IFERROR(__xludf.DUMMYFUNCTION("""COMPUTED_VALUE"""),"НАУИОКАЙТИС")</f>
        <v>НАУИОКАЙТИС</v>
      </c>
      <c r="M83" s="49">
        <f>IFERROR(__xludf.DUMMYFUNCTION("""COMPUTED_VALUE"""),46063.0)</f>
        <v>46063</v>
      </c>
      <c r="N83" s="50">
        <f>IFERROR(__xludf.DUMMYFUNCTION("""COMPUTED_VALUE"""),395000.0)</f>
        <v>395000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9"/>
      <c r="AQ83" s="29"/>
      <c r="AR83" s="29"/>
      <c r="AS83" s="29"/>
      <c r="AT83" s="29"/>
      <c r="AU83" s="29"/>
      <c r="AV83" s="29"/>
      <c r="AW83" s="29"/>
      <c r="AX83" s="29"/>
    </row>
    <row r="84">
      <c r="A84" s="20"/>
      <c r="B84" s="20"/>
      <c r="C84" s="20"/>
      <c r="D84" s="46"/>
      <c r="E84" s="20"/>
      <c r="F84" s="20"/>
      <c r="G84" s="20"/>
      <c r="H84" s="20"/>
      <c r="I84" s="20"/>
      <c r="J84" s="45"/>
      <c r="K84" s="20"/>
      <c r="L84" s="20" t="str">
        <f>IFERROR(__xludf.DUMMYFUNCTION("""COMPUTED_VALUE"""),"Джанашвили")</f>
        <v>Джанашвили</v>
      </c>
      <c r="M84" s="49">
        <f>IFERROR(__xludf.DUMMYFUNCTION("""COMPUTED_VALUE"""),46063.0)</f>
        <v>46063</v>
      </c>
      <c r="N84" s="50">
        <f>IFERROR(__xludf.DUMMYFUNCTION("""COMPUTED_VALUE"""),198000.0)</f>
        <v>198000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9"/>
      <c r="AQ84" s="29"/>
      <c r="AR84" s="29"/>
      <c r="AS84" s="29"/>
      <c r="AT84" s="29"/>
      <c r="AU84" s="29"/>
      <c r="AV84" s="29"/>
      <c r="AW84" s="29"/>
      <c r="AX84" s="29"/>
    </row>
    <row r="85">
      <c r="A85" s="20"/>
      <c r="B85" s="20"/>
      <c r="C85" s="20"/>
      <c r="D85" s="46"/>
      <c r="E85" s="20"/>
      <c r="F85" s="20"/>
      <c r="G85" s="20"/>
      <c r="H85" s="20"/>
      <c r="I85" s="20"/>
      <c r="J85" s="45"/>
      <c r="K85" s="20"/>
      <c r="L85" s="20" t="str">
        <f>IFERROR(__xludf.DUMMYFUNCTION("""COMPUTED_VALUE"""),"Маукеева")</f>
        <v>Маукеева</v>
      </c>
      <c r="M85" s="49">
        <f>IFERROR(__xludf.DUMMYFUNCTION("""COMPUTED_VALUE"""),46063.0)</f>
        <v>46063</v>
      </c>
      <c r="N85" s="50">
        <f>IFERROR(__xludf.DUMMYFUNCTION("""COMPUTED_VALUE"""),216000.0)</f>
        <v>216000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9"/>
      <c r="AQ85" s="29"/>
      <c r="AR85" s="29"/>
      <c r="AS85" s="29"/>
      <c r="AT85" s="29"/>
      <c r="AU85" s="29"/>
      <c r="AV85" s="29"/>
      <c r="AW85" s="29"/>
      <c r="AX85" s="29"/>
    </row>
    <row r="86">
      <c r="A86" s="20"/>
      <c r="B86" s="20"/>
      <c r="C86" s="20"/>
      <c r="D86" s="46"/>
      <c r="E86" s="20"/>
      <c r="F86" s="20"/>
      <c r="G86" s="20"/>
      <c r="H86" s="20"/>
      <c r="I86" s="20"/>
      <c r="J86" s="45"/>
      <c r="K86" s="20"/>
      <c r="L86" s="20" t="str">
        <f>IFERROR(__xludf.DUMMYFUNCTION("""COMPUTED_VALUE"""),"Маукеева")</f>
        <v>Маукеева</v>
      </c>
      <c r="M86" s="49">
        <f>IFERROR(__xludf.DUMMYFUNCTION("""COMPUTED_VALUE"""),46069.0)</f>
        <v>46069</v>
      </c>
      <c r="N86" s="50">
        <f>IFERROR(__xludf.DUMMYFUNCTION("""COMPUTED_VALUE"""),341000.0)</f>
        <v>341000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9"/>
      <c r="AQ86" s="29"/>
      <c r="AR86" s="29"/>
      <c r="AS86" s="29"/>
      <c r="AT86" s="29"/>
      <c r="AU86" s="29"/>
      <c r="AV86" s="29"/>
      <c r="AW86" s="29"/>
      <c r="AX86" s="29"/>
    </row>
    <row r="87">
      <c r="A87" s="20"/>
      <c r="B87" s="20"/>
      <c r="C87" s="20"/>
      <c r="D87" s="46"/>
      <c r="E87" s="20"/>
      <c r="F87" s="20"/>
      <c r="G87" s="20"/>
      <c r="H87" s="20"/>
      <c r="I87" s="20"/>
      <c r="J87" s="45"/>
      <c r="K87" s="20"/>
      <c r="L87" s="20" t="str">
        <f>IFERROR(__xludf.DUMMYFUNCTION("""COMPUTED_VALUE"""),"Джанашвили")</f>
        <v>Джанашвили</v>
      </c>
      <c r="M87" s="49">
        <f>IFERROR(__xludf.DUMMYFUNCTION("""COMPUTED_VALUE"""),46069.0)</f>
        <v>46069</v>
      </c>
      <c r="N87" s="50">
        <f>IFERROR(__xludf.DUMMYFUNCTION("""COMPUTED_VALUE"""),104800.0)</f>
        <v>104800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9"/>
      <c r="AQ87" s="29"/>
      <c r="AR87" s="29"/>
      <c r="AS87" s="29"/>
      <c r="AT87" s="29"/>
      <c r="AU87" s="29"/>
      <c r="AV87" s="29"/>
      <c r="AW87" s="29"/>
      <c r="AX87" s="29"/>
    </row>
    <row r="88">
      <c r="A88" s="20"/>
      <c r="B88" s="20"/>
      <c r="C88" s="20"/>
      <c r="D88" s="46"/>
      <c r="E88" s="20"/>
      <c r="F88" s="20"/>
      <c r="G88" s="20"/>
      <c r="H88" s="20"/>
      <c r="I88" s="20"/>
      <c r="J88" s="45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9"/>
      <c r="AQ88" s="29"/>
      <c r="AR88" s="29"/>
      <c r="AS88" s="29"/>
      <c r="AT88" s="29"/>
      <c r="AU88" s="29"/>
      <c r="AV88" s="29"/>
      <c r="AW88" s="29"/>
      <c r="AX88" s="29"/>
    </row>
    <row r="89">
      <c r="A89" s="20"/>
      <c r="B89" s="20"/>
      <c r="C89" s="20"/>
      <c r="D89" s="46"/>
      <c r="E89" s="20"/>
      <c r="F89" s="20"/>
      <c r="G89" s="20"/>
      <c r="H89" s="20"/>
      <c r="I89" s="20"/>
      <c r="J89" s="45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9"/>
      <c r="AQ89" s="29"/>
      <c r="AR89" s="29"/>
      <c r="AS89" s="29"/>
      <c r="AT89" s="29"/>
      <c r="AU89" s="29"/>
      <c r="AV89" s="29"/>
      <c r="AW89" s="29"/>
      <c r="AX89" s="29"/>
    </row>
    <row r="90">
      <c r="A90" s="20"/>
      <c r="B90" s="20"/>
      <c r="C90" s="20"/>
      <c r="D90" s="46"/>
      <c r="E90" s="20"/>
      <c r="F90" s="20"/>
      <c r="G90" s="20"/>
      <c r="H90" s="20"/>
      <c r="I90" s="20"/>
      <c r="J90" s="45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9"/>
      <c r="AQ90" s="29"/>
      <c r="AR90" s="29"/>
      <c r="AS90" s="29"/>
      <c r="AT90" s="29"/>
      <c r="AU90" s="29"/>
      <c r="AV90" s="29"/>
      <c r="AW90" s="29"/>
      <c r="AX90" s="29"/>
    </row>
    <row r="91">
      <c r="A91" s="20"/>
      <c r="B91" s="20"/>
      <c r="C91" s="20"/>
      <c r="D91" s="46"/>
      <c r="E91" s="20"/>
      <c r="F91" s="20"/>
      <c r="G91" s="20"/>
      <c r="H91" s="20"/>
      <c r="I91" s="20"/>
      <c r="J91" s="45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9"/>
      <c r="AQ91" s="29"/>
      <c r="AR91" s="29"/>
      <c r="AS91" s="29"/>
      <c r="AT91" s="29"/>
      <c r="AU91" s="29"/>
      <c r="AV91" s="29"/>
      <c r="AW91" s="29"/>
      <c r="AX91" s="29"/>
    </row>
    <row r="92">
      <c r="A92" s="20"/>
      <c r="B92" s="20"/>
      <c r="C92" s="20"/>
      <c r="D92" s="46"/>
      <c r="E92" s="20"/>
      <c r="F92" s="20"/>
      <c r="G92" s="20"/>
      <c r="H92" s="20"/>
      <c r="I92" s="20"/>
      <c r="J92" s="45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9"/>
      <c r="AQ92" s="29"/>
      <c r="AR92" s="29"/>
      <c r="AS92" s="29"/>
      <c r="AT92" s="29"/>
      <c r="AU92" s="29"/>
      <c r="AV92" s="29"/>
      <c r="AW92" s="29"/>
      <c r="AX92" s="29"/>
    </row>
    <row r="93">
      <c r="A93" s="20"/>
      <c r="B93" s="20"/>
      <c r="C93" s="20"/>
      <c r="D93" s="46"/>
      <c r="E93" s="20"/>
      <c r="F93" s="20"/>
      <c r="G93" s="20"/>
      <c r="H93" s="20"/>
      <c r="I93" s="20"/>
      <c r="J93" s="45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9"/>
      <c r="AQ93" s="29"/>
      <c r="AR93" s="29"/>
      <c r="AS93" s="29"/>
      <c r="AT93" s="29"/>
      <c r="AU93" s="29"/>
      <c r="AV93" s="29"/>
      <c r="AW93" s="29"/>
      <c r="AX93" s="29"/>
    </row>
    <row r="94">
      <c r="A94" s="20"/>
      <c r="B94" s="20"/>
      <c r="C94" s="20"/>
      <c r="D94" s="46"/>
      <c r="E94" s="20"/>
      <c r="F94" s="20"/>
      <c r="G94" s="20"/>
      <c r="H94" s="20"/>
      <c r="I94" s="20"/>
      <c r="J94" s="45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9"/>
      <c r="AQ94" s="29"/>
      <c r="AR94" s="29"/>
      <c r="AS94" s="29"/>
      <c r="AT94" s="29"/>
      <c r="AU94" s="29"/>
      <c r="AV94" s="29"/>
      <c r="AW94" s="29"/>
      <c r="AX94" s="29"/>
    </row>
    <row r="95">
      <c r="A95" s="20"/>
      <c r="B95" s="20"/>
      <c r="C95" s="20"/>
      <c r="D95" s="46"/>
      <c r="E95" s="20"/>
      <c r="F95" s="20"/>
      <c r="G95" s="20"/>
      <c r="H95" s="20"/>
      <c r="I95" s="20"/>
      <c r="J95" s="45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9"/>
      <c r="AQ95" s="29"/>
      <c r="AR95" s="29"/>
      <c r="AS95" s="29"/>
      <c r="AT95" s="29"/>
      <c r="AU95" s="29"/>
      <c r="AV95" s="29"/>
      <c r="AW95" s="29"/>
      <c r="AX95" s="29"/>
    </row>
    <row r="96">
      <c r="A96" s="20"/>
      <c r="B96" s="20"/>
      <c r="C96" s="20"/>
      <c r="D96" s="46"/>
      <c r="E96" s="20"/>
      <c r="F96" s="20"/>
      <c r="G96" s="20"/>
      <c r="H96" s="20"/>
      <c r="I96" s="20"/>
      <c r="J96" s="45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9"/>
      <c r="AQ96" s="29"/>
      <c r="AR96" s="29"/>
      <c r="AS96" s="29"/>
      <c r="AT96" s="29"/>
      <c r="AU96" s="29"/>
      <c r="AV96" s="29"/>
      <c r="AW96" s="29"/>
      <c r="AX96" s="29"/>
    </row>
    <row r="97">
      <c r="A97" s="20"/>
      <c r="B97" s="20"/>
      <c r="C97" s="20"/>
      <c r="D97" s="46"/>
      <c r="E97" s="20"/>
      <c r="F97" s="20"/>
      <c r="G97" s="20"/>
      <c r="H97" s="20"/>
      <c r="I97" s="20"/>
      <c r="J97" s="45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9"/>
      <c r="AQ97" s="29"/>
      <c r="AR97" s="29"/>
      <c r="AS97" s="29"/>
      <c r="AT97" s="29"/>
      <c r="AU97" s="29"/>
      <c r="AV97" s="29"/>
      <c r="AW97" s="29"/>
      <c r="AX97" s="29"/>
    </row>
    <row r="98">
      <c r="A98" s="20"/>
      <c r="B98" s="20"/>
      <c r="C98" s="20"/>
      <c r="D98" s="46"/>
      <c r="E98" s="20"/>
      <c r="F98" s="20"/>
      <c r="G98" s="20"/>
      <c r="H98" s="20"/>
      <c r="I98" s="20"/>
      <c r="J98" s="45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9"/>
      <c r="AQ98" s="29"/>
      <c r="AR98" s="29"/>
      <c r="AS98" s="29"/>
      <c r="AT98" s="29"/>
      <c r="AU98" s="29"/>
      <c r="AV98" s="29"/>
      <c r="AW98" s="29"/>
      <c r="AX98" s="29"/>
    </row>
    <row r="99">
      <c r="A99" s="20"/>
      <c r="B99" s="20"/>
      <c r="C99" s="20"/>
      <c r="D99" s="46"/>
      <c r="E99" s="20"/>
      <c r="F99" s="20"/>
      <c r="G99" s="20"/>
      <c r="H99" s="20"/>
      <c r="I99" s="20"/>
      <c r="J99" s="45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9"/>
      <c r="AQ99" s="29"/>
      <c r="AR99" s="29"/>
      <c r="AS99" s="29"/>
      <c r="AT99" s="29"/>
      <c r="AU99" s="29"/>
      <c r="AV99" s="29"/>
      <c r="AW99" s="29"/>
      <c r="AX99" s="29"/>
    </row>
    <row r="100">
      <c r="A100" s="20"/>
      <c r="B100" s="20"/>
      <c r="C100" s="20"/>
      <c r="D100" s="46"/>
      <c r="E100" s="20"/>
      <c r="F100" s="20"/>
      <c r="G100" s="20"/>
      <c r="H100" s="20"/>
      <c r="I100" s="20"/>
      <c r="J100" s="45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9"/>
      <c r="AQ100" s="29"/>
      <c r="AR100" s="29"/>
      <c r="AS100" s="29"/>
      <c r="AT100" s="29"/>
      <c r="AU100" s="29"/>
      <c r="AV100" s="29"/>
      <c r="AW100" s="29"/>
      <c r="AX100" s="29"/>
    </row>
    <row r="101">
      <c r="A101" s="20"/>
      <c r="B101" s="20"/>
      <c r="C101" s="20"/>
      <c r="D101" s="46"/>
      <c r="E101" s="20"/>
      <c r="F101" s="20"/>
      <c r="G101" s="20"/>
      <c r="H101" s="20"/>
      <c r="I101" s="20"/>
      <c r="J101" s="45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9"/>
      <c r="AQ101" s="29"/>
      <c r="AR101" s="29"/>
      <c r="AS101" s="29"/>
      <c r="AT101" s="29"/>
      <c r="AU101" s="29"/>
      <c r="AV101" s="29"/>
      <c r="AW101" s="29"/>
      <c r="AX101" s="29"/>
    </row>
    <row r="102">
      <c r="A102" s="20"/>
      <c r="B102" s="20"/>
      <c r="C102" s="20"/>
      <c r="D102" s="46"/>
      <c r="E102" s="20"/>
      <c r="F102" s="20"/>
      <c r="G102" s="20"/>
      <c r="H102" s="20"/>
      <c r="I102" s="20"/>
      <c r="J102" s="45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9"/>
      <c r="AQ102" s="29"/>
      <c r="AR102" s="29"/>
      <c r="AS102" s="29"/>
      <c r="AT102" s="29"/>
      <c r="AU102" s="29"/>
      <c r="AV102" s="29"/>
      <c r="AW102" s="29"/>
      <c r="AX102" s="29"/>
    </row>
    <row r="103">
      <c r="A103" s="20"/>
      <c r="B103" s="20"/>
      <c r="C103" s="20"/>
      <c r="D103" s="46"/>
      <c r="E103" s="20"/>
      <c r="F103" s="20"/>
      <c r="G103" s="20"/>
      <c r="H103" s="20"/>
      <c r="I103" s="20"/>
      <c r="J103" s="45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9"/>
      <c r="AQ103" s="29"/>
      <c r="AR103" s="29"/>
      <c r="AS103" s="29"/>
      <c r="AT103" s="29"/>
      <c r="AU103" s="29"/>
      <c r="AV103" s="29"/>
      <c r="AW103" s="29"/>
      <c r="AX103" s="29"/>
    </row>
    <row r="104">
      <c r="A104" s="20"/>
      <c r="B104" s="20"/>
      <c r="C104" s="20"/>
      <c r="D104" s="46"/>
      <c r="E104" s="20"/>
      <c r="F104" s="20"/>
      <c r="G104" s="20"/>
      <c r="H104" s="20"/>
      <c r="I104" s="20"/>
      <c r="J104" s="45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9"/>
      <c r="AQ104" s="29"/>
      <c r="AR104" s="29"/>
      <c r="AS104" s="29"/>
      <c r="AT104" s="29"/>
      <c r="AU104" s="29"/>
      <c r="AV104" s="29"/>
      <c r="AW104" s="29"/>
      <c r="AX104" s="29"/>
    </row>
    <row r="105">
      <c r="A105" s="20"/>
      <c r="B105" s="20"/>
      <c r="C105" s="20"/>
      <c r="D105" s="46"/>
      <c r="E105" s="20"/>
      <c r="F105" s="20"/>
      <c r="G105" s="20"/>
      <c r="H105" s="20"/>
      <c r="I105" s="20"/>
      <c r="J105" s="45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>
      <c r="A106" s="20"/>
      <c r="B106" s="20"/>
      <c r="C106" s="20"/>
      <c r="D106" s="46"/>
      <c r="E106" s="20"/>
      <c r="F106" s="20"/>
      <c r="G106" s="20"/>
      <c r="H106" s="20"/>
      <c r="I106" s="20"/>
      <c r="J106" s="45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>
      <c r="A107" s="20"/>
      <c r="B107" s="20"/>
      <c r="C107" s="20"/>
      <c r="D107" s="46"/>
      <c r="E107" s="20"/>
      <c r="F107" s="20"/>
      <c r="G107" s="20"/>
      <c r="H107" s="20"/>
      <c r="I107" s="20"/>
      <c r="J107" s="45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>
      <c r="A108" s="20"/>
      <c r="B108" s="20"/>
      <c r="C108" s="20"/>
      <c r="D108" s="46"/>
      <c r="E108" s="20"/>
      <c r="F108" s="20"/>
      <c r="G108" s="20"/>
      <c r="H108" s="20"/>
      <c r="I108" s="20"/>
      <c r="J108" s="45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9"/>
      <c r="AQ108" s="29"/>
      <c r="AR108" s="29"/>
      <c r="AS108" s="29"/>
      <c r="AT108" s="29"/>
      <c r="AU108" s="29"/>
      <c r="AV108" s="29"/>
      <c r="AW108" s="29"/>
      <c r="AX108" s="29"/>
    </row>
    <row r="109">
      <c r="A109" s="20"/>
      <c r="B109" s="20"/>
      <c r="C109" s="20"/>
      <c r="D109" s="46"/>
      <c r="E109" s="20"/>
      <c r="F109" s="20"/>
      <c r="G109" s="20"/>
      <c r="H109" s="20"/>
      <c r="I109" s="20"/>
      <c r="J109" s="45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>
      <c r="A110" s="20"/>
      <c r="B110" s="20"/>
      <c r="C110" s="20"/>
      <c r="D110" s="46"/>
      <c r="E110" s="20"/>
      <c r="F110" s="20"/>
      <c r="G110" s="20"/>
      <c r="H110" s="20"/>
      <c r="I110" s="20"/>
      <c r="J110" s="45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9"/>
      <c r="AQ110" s="29"/>
      <c r="AR110" s="29"/>
      <c r="AS110" s="29"/>
      <c r="AT110" s="29"/>
      <c r="AU110" s="29"/>
      <c r="AV110" s="29"/>
      <c r="AW110" s="29"/>
      <c r="AX110" s="29"/>
    </row>
    <row r="111">
      <c r="A111" s="20"/>
      <c r="B111" s="20"/>
      <c r="C111" s="20"/>
      <c r="D111" s="46"/>
      <c r="E111" s="20"/>
      <c r="F111" s="20"/>
      <c r="G111" s="20"/>
      <c r="H111" s="20"/>
      <c r="I111" s="20"/>
      <c r="J111" s="45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9"/>
      <c r="AQ111" s="29"/>
      <c r="AR111" s="29"/>
      <c r="AS111" s="29"/>
      <c r="AT111" s="29"/>
      <c r="AU111" s="29"/>
      <c r="AV111" s="29"/>
      <c r="AW111" s="29"/>
      <c r="AX111" s="29"/>
    </row>
    <row r="112">
      <c r="A112" s="20"/>
      <c r="B112" s="20"/>
      <c r="C112" s="20"/>
      <c r="D112" s="46"/>
      <c r="E112" s="20"/>
      <c r="F112" s="20"/>
      <c r="G112" s="20"/>
      <c r="H112" s="20"/>
      <c r="I112" s="20"/>
      <c r="J112" s="45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9"/>
      <c r="AQ112" s="29"/>
      <c r="AR112" s="29"/>
      <c r="AS112" s="29"/>
      <c r="AT112" s="29"/>
      <c r="AU112" s="29"/>
      <c r="AV112" s="29"/>
      <c r="AW112" s="29"/>
      <c r="AX112" s="29"/>
    </row>
    <row r="113">
      <c r="A113" s="20"/>
      <c r="B113" s="20"/>
      <c r="C113" s="20"/>
      <c r="D113" s="46"/>
      <c r="E113" s="20"/>
      <c r="F113" s="20"/>
      <c r="G113" s="20"/>
      <c r="H113" s="20"/>
      <c r="I113" s="20"/>
      <c r="J113" s="45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9"/>
      <c r="AQ113" s="29"/>
      <c r="AR113" s="29"/>
      <c r="AS113" s="29"/>
      <c r="AT113" s="29"/>
      <c r="AU113" s="29"/>
      <c r="AV113" s="29"/>
      <c r="AW113" s="29"/>
      <c r="AX113" s="29"/>
    </row>
    <row r="114">
      <c r="A114" s="20"/>
      <c r="B114" s="20"/>
      <c r="C114" s="20"/>
      <c r="D114" s="46"/>
      <c r="E114" s="20"/>
      <c r="F114" s="20"/>
      <c r="G114" s="20"/>
      <c r="H114" s="20"/>
      <c r="I114" s="20"/>
      <c r="J114" s="45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9"/>
      <c r="AQ114" s="29"/>
      <c r="AR114" s="29"/>
      <c r="AS114" s="29"/>
      <c r="AT114" s="29"/>
      <c r="AU114" s="29"/>
      <c r="AV114" s="29"/>
      <c r="AW114" s="29"/>
      <c r="AX114" s="29"/>
    </row>
    <row r="115">
      <c r="A115" s="20"/>
      <c r="B115" s="20"/>
      <c r="C115" s="20"/>
      <c r="D115" s="46"/>
      <c r="E115" s="20"/>
      <c r="F115" s="20"/>
      <c r="G115" s="20"/>
      <c r="H115" s="20"/>
      <c r="I115" s="20"/>
      <c r="J115" s="45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>
      <c r="A116" s="20"/>
      <c r="B116" s="20"/>
      <c r="C116" s="20"/>
      <c r="D116" s="46"/>
      <c r="E116" s="20"/>
      <c r="F116" s="20"/>
      <c r="G116" s="20"/>
      <c r="H116" s="20"/>
      <c r="I116" s="20"/>
      <c r="J116" s="45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>
      <c r="A117" s="20"/>
      <c r="B117" s="20"/>
      <c r="C117" s="20"/>
      <c r="D117" s="46"/>
      <c r="E117" s="20"/>
      <c r="F117" s="20"/>
      <c r="G117" s="20"/>
      <c r="H117" s="20"/>
      <c r="I117" s="20"/>
      <c r="J117" s="45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>
      <c r="A118" s="20"/>
      <c r="B118" s="20"/>
      <c r="C118" s="20"/>
      <c r="D118" s="46"/>
      <c r="E118" s="20"/>
      <c r="F118" s="20"/>
      <c r="G118" s="20"/>
      <c r="H118" s="20"/>
      <c r="I118" s="20"/>
      <c r="J118" s="45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9"/>
      <c r="AQ118" s="29"/>
      <c r="AR118" s="29"/>
      <c r="AS118" s="29"/>
      <c r="AT118" s="29"/>
      <c r="AU118" s="29"/>
      <c r="AV118" s="29"/>
      <c r="AW118" s="29"/>
      <c r="AX118" s="29"/>
    </row>
    <row r="119">
      <c r="A119" s="20"/>
      <c r="B119" s="20"/>
      <c r="C119" s="20"/>
      <c r="D119" s="46"/>
      <c r="E119" s="20"/>
      <c r="F119" s="20"/>
      <c r="G119" s="20"/>
      <c r="H119" s="20"/>
      <c r="I119" s="20"/>
      <c r="J119" s="45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>
      <c r="A120" s="20"/>
      <c r="B120" s="20"/>
      <c r="C120" s="20"/>
      <c r="D120" s="46"/>
      <c r="E120" s="20"/>
      <c r="F120" s="20"/>
      <c r="G120" s="20"/>
      <c r="H120" s="20"/>
      <c r="I120" s="20"/>
      <c r="J120" s="45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9"/>
      <c r="AQ120" s="29"/>
      <c r="AR120" s="29"/>
      <c r="AS120" s="29"/>
      <c r="AT120" s="29"/>
      <c r="AU120" s="29"/>
      <c r="AV120" s="29"/>
      <c r="AW120" s="29"/>
      <c r="AX120" s="29"/>
    </row>
    <row r="121">
      <c r="A121" s="20"/>
      <c r="B121" s="20"/>
      <c r="C121" s="20"/>
      <c r="D121" s="46"/>
      <c r="E121" s="20"/>
      <c r="F121" s="20"/>
      <c r="G121" s="20"/>
      <c r="H121" s="20"/>
      <c r="I121" s="20"/>
      <c r="J121" s="45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9"/>
      <c r="AQ121" s="29"/>
      <c r="AR121" s="29"/>
      <c r="AS121" s="29"/>
      <c r="AT121" s="29"/>
      <c r="AU121" s="29"/>
      <c r="AV121" s="29"/>
      <c r="AW121" s="29"/>
      <c r="AX121" s="29"/>
    </row>
    <row r="122">
      <c r="A122" s="20"/>
      <c r="B122" s="20"/>
      <c r="C122" s="20"/>
      <c r="D122" s="46"/>
      <c r="E122" s="20"/>
      <c r="F122" s="20"/>
      <c r="G122" s="20"/>
      <c r="H122" s="20"/>
      <c r="I122" s="20"/>
      <c r="J122" s="45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9"/>
      <c r="AQ122" s="29"/>
      <c r="AR122" s="29"/>
      <c r="AS122" s="29"/>
      <c r="AT122" s="29"/>
      <c r="AU122" s="29"/>
      <c r="AV122" s="29"/>
      <c r="AW122" s="29"/>
      <c r="AX122" s="29"/>
    </row>
    <row r="123">
      <c r="A123" s="20"/>
      <c r="B123" s="20"/>
      <c r="C123" s="20"/>
      <c r="D123" s="46"/>
      <c r="E123" s="20"/>
      <c r="F123" s="20"/>
      <c r="G123" s="20"/>
      <c r="H123" s="20"/>
      <c r="I123" s="20"/>
      <c r="J123" s="45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9"/>
      <c r="AQ123" s="29"/>
      <c r="AR123" s="29"/>
      <c r="AS123" s="29"/>
      <c r="AT123" s="29"/>
      <c r="AU123" s="29"/>
      <c r="AV123" s="29"/>
      <c r="AW123" s="29"/>
      <c r="AX123" s="29"/>
    </row>
    <row r="124">
      <c r="A124" s="20"/>
      <c r="B124" s="20"/>
      <c r="C124" s="20"/>
      <c r="D124" s="46"/>
      <c r="E124" s="20"/>
      <c r="F124" s="20"/>
      <c r="G124" s="20"/>
      <c r="H124" s="20"/>
      <c r="I124" s="20"/>
      <c r="J124" s="45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9"/>
      <c r="AQ124" s="29"/>
      <c r="AR124" s="29"/>
      <c r="AS124" s="29"/>
      <c r="AT124" s="29"/>
      <c r="AU124" s="29"/>
      <c r="AV124" s="29"/>
      <c r="AW124" s="29"/>
      <c r="AX124" s="29"/>
    </row>
    <row r="125">
      <c r="A125" s="20"/>
      <c r="B125" s="20"/>
      <c r="C125" s="20"/>
      <c r="D125" s="46"/>
      <c r="E125" s="20"/>
      <c r="F125" s="20"/>
      <c r="G125" s="20"/>
      <c r="H125" s="20"/>
      <c r="I125" s="20"/>
      <c r="J125" s="45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9"/>
      <c r="AQ125" s="29"/>
      <c r="AR125" s="29"/>
      <c r="AS125" s="29"/>
      <c r="AT125" s="29"/>
      <c r="AU125" s="29"/>
      <c r="AV125" s="29"/>
      <c r="AW125" s="29"/>
      <c r="AX125" s="29"/>
    </row>
    <row r="126">
      <c r="A126" s="20"/>
      <c r="B126" s="20"/>
      <c r="C126" s="20"/>
      <c r="D126" s="46"/>
      <c r="E126" s="20"/>
      <c r="F126" s="20"/>
      <c r="G126" s="20"/>
      <c r="H126" s="20"/>
      <c r="I126" s="20"/>
      <c r="J126" s="45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9"/>
      <c r="AQ126" s="29"/>
      <c r="AR126" s="29"/>
      <c r="AS126" s="29"/>
      <c r="AT126" s="29"/>
      <c r="AU126" s="29"/>
      <c r="AV126" s="29"/>
      <c r="AW126" s="29"/>
      <c r="AX126" s="29"/>
    </row>
    <row r="127">
      <c r="A127" s="20"/>
      <c r="B127" s="20"/>
      <c r="C127" s="20"/>
      <c r="D127" s="46"/>
      <c r="E127" s="20"/>
      <c r="F127" s="20"/>
      <c r="G127" s="20"/>
      <c r="H127" s="20"/>
      <c r="I127" s="20"/>
      <c r="J127" s="45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9"/>
      <c r="AQ127" s="29"/>
      <c r="AR127" s="29"/>
      <c r="AS127" s="29"/>
      <c r="AT127" s="29"/>
      <c r="AU127" s="29"/>
      <c r="AV127" s="29"/>
      <c r="AW127" s="29"/>
      <c r="AX127" s="29"/>
    </row>
    <row r="128">
      <c r="A128" s="20"/>
      <c r="B128" s="20"/>
      <c r="C128" s="20"/>
      <c r="D128" s="46"/>
      <c r="E128" s="20"/>
      <c r="F128" s="20"/>
      <c r="G128" s="20"/>
      <c r="H128" s="20"/>
      <c r="I128" s="20"/>
      <c r="J128" s="45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9"/>
      <c r="AQ128" s="29"/>
      <c r="AR128" s="29"/>
      <c r="AS128" s="29"/>
      <c r="AT128" s="29"/>
      <c r="AU128" s="29"/>
      <c r="AV128" s="29"/>
      <c r="AW128" s="29"/>
      <c r="AX128" s="29"/>
    </row>
    <row r="129">
      <c r="A129" s="20"/>
      <c r="B129" s="20"/>
      <c r="C129" s="20"/>
      <c r="D129" s="46"/>
      <c r="E129" s="20"/>
      <c r="F129" s="20"/>
      <c r="G129" s="20"/>
      <c r="H129" s="20"/>
      <c r="I129" s="20"/>
      <c r="J129" s="45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9"/>
      <c r="AQ129" s="29"/>
      <c r="AR129" s="29"/>
      <c r="AS129" s="29"/>
      <c r="AT129" s="29"/>
      <c r="AU129" s="29"/>
      <c r="AV129" s="29"/>
      <c r="AW129" s="29"/>
      <c r="AX129" s="29"/>
    </row>
    <row r="130">
      <c r="A130" s="20"/>
      <c r="B130" s="20"/>
      <c r="C130" s="20"/>
      <c r="D130" s="46"/>
      <c r="E130" s="20"/>
      <c r="F130" s="20"/>
      <c r="G130" s="20"/>
      <c r="H130" s="20"/>
      <c r="I130" s="20"/>
      <c r="J130" s="45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9"/>
      <c r="AQ130" s="29"/>
      <c r="AR130" s="29"/>
      <c r="AS130" s="29"/>
      <c r="AT130" s="29"/>
      <c r="AU130" s="29"/>
      <c r="AV130" s="29"/>
      <c r="AW130" s="29"/>
      <c r="AX130" s="29"/>
    </row>
    <row r="131">
      <c r="A131" s="20"/>
      <c r="B131" s="20"/>
      <c r="C131" s="20"/>
      <c r="D131" s="46"/>
      <c r="E131" s="20"/>
      <c r="F131" s="20"/>
      <c r="G131" s="20"/>
      <c r="H131" s="20"/>
      <c r="I131" s="20"/>
      <c r="J131" s="45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9"/>
      <c r="AQ131" s="29"/>
      <c r="AR131" s="29"/>
      <c r="AS131" s="29"/>
      <c r="AT131" s="29"/>
      <c r="AU131" s="29"/>
      <c r="AV131" s="29"/>
      <c r="AW131" s="29"/>
      <c r="AX131" s="29"/>
    </row>
    <row r="132">
      <c r="A132" s="20"/>
      <c r="B132" s="20"/>
      <c r="C132" s="20"/>
      <c r="D132" s="46"/>
      <c r="E132" s="20"/>
      <c r="F132" s="20"/>
      <c r="G132" s="20"/>
      <c r="H132" s="20"/>
      <c r="I132" s="20"/>
      <c r="J132" s="45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9"/>
      <c r="AQ132" s="29"/>
      <c r="AR132" s="29"/>
      <c r="AS132" s="29"/>
      <c r="AT132" s="29"/>
      <c r="AU132" s="29"/>
      <c r="AV132" s="29"/>
      <c r="AW132" s="29"/>
      <c r="AX132" s="29"/>
    </row>
    <row r="133">
      <c r="A133" s="20"/>
      <c r="B133" s="20"/>
      <c r="C133" s="20"/>
      <c r="D133" s="46"/>
      <c r="E133" s="20"/>
      <c r="F133" s="20"/>
      <c r="G133" s="20"/>
      <c r="H133" s="20"/>
      <c r="I133" s="20"/>
      <c r="J133" s="45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9"/>
      <c r="AQ133" s="29"/>
      <c r="AR133" s="29"/>
      <c r="AS133" s="29"/>
      <c r="AT133" s="29"/>
      <c r="AU133" s="29"/>
      <c r="AV133" s="29"/>
      <c r="AW133" s="29"/>
      <c r="AX133" s="29"/>
    </row>
    <row r="134">
      <c r="A134" s="20"/>
      <c r="B134" s="20"/>
      <c r="C134" s="20"/>
      <c r="D134" s="46"/>
      <c r="E134" s="20"/>
      <c r="F134" s="20"/>
      <c r="G134" s="20"/>
      <c r="H134" s="20"/>
      <c r="I134" s="20"/>
      <c r="J134" s="45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9"/>
      <c r="AQ134" s="29"/>
      <c r="AR134" s="29"/>
      <c r="AS134" s="29"/>
      <c r="AT134" s="29"/>
      <c r="AU134" s="29"/>
      <c r="AV134" s="29"/>
      <c r="AW134" s="29"/>
      <c r="AX134" s="29"/>
    </row>
    <row r="135">
      <c r="A135" s="20"/>
      <c r="B135" s="20"/>
      <c r="C135" s="20"/>
      <c r="D135" s="46"/>
      <c r="E135" s="20"/>
      <c r="F135" s="20"/>
      <c r="G135" s="20"/>
      <c r="H135" s="20"/>
      <c r="I135" s="20"/>
      <c r="J135" s="45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9"/>
      <c r="AQ135" s="29"/>
      <c r="AR135" s="29"/>
      <c r="AS135" s="29"/>
      <c r="AT135" s="29"/>
      <c r="AU135" s="29"/>
      <c r="AV135" s="29"/>
      <c r="AW135" s="29"/>
      <c r="AX135" s="29"/>
    </row>
    <row r="136">
      <c r="A136" s="20"/>
      <c r="B136" s="20"/>
      <c r="C136" s="20"/>
      <c r="D136" s="46"/>
      <c r="E136" s="20"/>
      <c r="F136" s="20"/>
      <c r="G136" s="20"/>
      <c r="H136" s="20"/>
      <c r="I136" s="20"/>
      <c r="J136" s="45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9"/>
      <c r="AQ136" s="29"/>
      <c r="AR136" s="29"/>
      <c r="AS136" s="29"/>
      <c r="AT136" s="29"/>
      <c r="AU136" s="29"/>
      <c r="AV136" s="29"/>
      <c r="AW136" s="29"/>
      <c r="AX136" s="29"/>
    </row>
    <row r="137">
      <c r="A137" s="20"/>
      <c r="B137" s="20"/>
      <c r="C137" s="20"/>
      <c r="D137" s="46"/>
      <c r="E137" s="20"/>
      <c r="F137" s="20"/>
      <c r="G137" s="20"/>
      <c r="H137" s="20"/>
      <c r="I137" s="20"/>
      <c r="J137" s="45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9"/>
      <c r="AQ137" s="29"/>
      <c r="AR137" s="29"/>
      <c r="AS137" s="29"/>
      <c r="AT137" s="29"/>
      <c r="AU137" s="29"/>
      <c r="AV137" s="29"/>
      <c r="AW137" s="29"/>
      <c r="AX137" s="29"/>
    </row>
    <row r="138">
      <c r="A138" s="20"/>
      <c r="B138" s="20"/>
      <c r="C138" s="20"/>
      <c r="D138" s="46"/>
      <c r="E138" s="20"/>
      <c r="F138" s="20"/>
      <c r="G138" s="20"/>
      <c r="H138" s="20"/>
      <c r="I138" s="20"/>
      <c r="J138" s="45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9"/>
      <c r="AQ138" s="29"/>
      <c r="AR138" s="29"/>
      <c r="AS138" s="29"/>
      <c r="AT138" s="29"/>
      <c r="AU138" s="29"/>
      <c r="AV138" s="29"/>
      <c r="AW138" s="29"/>
      <c r="AX138" s="29"/>
    </row>
    <row r="139">
      <c r="A139" s="20"/>
      <c r="B139" s="20"/>
      <c r="C139" s="20"/>
      <c r="D139" s="46"/>
      <c r="E139" s="20"/>
      <c r="F139" s="20"/>
      <c r="G139" s="20"/>
      <c r="H139" s="20"/>
      <c r="I139" s="20"/>
      <c r="J139" s="45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9"/>
      <c r="AQ139" s="29"/>
      <c r="AR139" s="29"/>
      <c r="AS139" s="29"/>
      <c r="AT139" s="29"/>
      <c r="AU139" s="29"/>
      <c r="AV139" s="29"/>
      <c r="AW139" s="29"/>
      <c r="AX139" s="29"/>
    </row>
    <row r="140">
      <c r="A140" s="20"/>
      <c r="B140" s="20"/>
      <c r="C140" s="20"/>
      <c r="D140" s="46"/>
      <c r="E140" s="20"/>
      <c r="F140" s="20"/>
      <c r="G140" s="20"/>
      <c r="H140" s="20"/>
      <c r="I140" s="20"/>
      <c r="J140" s="45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9"/>
      <c r="AQ140" s="29"/>
      <c r="AR140" s="29"/>
      <c r="AS140" s="29"/>
      <c r="AT140" s="29"/>
      <c r="AU140" s="29"/>
      <c r="AV140" s="29"/>
      <c r="AW140" s="29"/>
      <c r="AX140" s="29"/>
    </row>
    <row r="141">
      <c r="A141" s="20"/>
      <c r="B141" s="20"/>
      <c r="C141" s="20"/>
      <c r="D141" s="46"/>
      <c r="E141" s="20"/>
      <c r="F141" s="20"/>
      <c r="G141" s="20"/>
      <c r="H141" s="20"/>
      <c r="I141" s="20"/>
      <c r="J141" s="45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9"/>
      <c r="AQ141" s="29"/>
      <c r="AR141" s="29"/>
      <c r="AS141" s="29"/>
      <c r="AT141" s="29"/>
      <c r="AU141" s="29"/>
      <c r="AV141" s="29"/>
      <c r="AW141" s="29"/>
      <c r="AX141" s="29"/>
    </row>
    <row r="142">
      <c r="A142" s="20"/>
      <c r="B142" s="20"/>
      <c r="C142" s="20"/>
      <c r="D142" s="46"/>
      <c r="E142" s="20"/>
      <c r="F142" s="20"/>
      <c r="G142" s="20"/>
      <c r="H142" s="20"/>
      <c r="I142" s="20"/>
      <c r="J142" s="45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9"/>
      <c r="AQ142" s="29"/>
      <c r="AR142" s="29"/>
      <c r="AS142" s="29"/>
      <c r="AT142" s="29"/>
      <c r="AU142" s="29"/>
      <c r="AV142" s="29"/>
      <c r="AW142" s="29"/>
      <c r="AX142" s="29"/>
    </row>
    <row r="143">
      <c r="A143" s="20"/>
      <c r="B143" s="20"/>
      <c r="C143" s="20"/>
      <c r="D143" s="46"/>
      <c r="E143" s="20"/>
      <c r="F143" s="20"/>
      <c r="G143" s="20"/>
      <c r="H143" s="20"/>
      <c r="I143" s="20"/>
      <c r="J143" s="45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9"/>
      <c r="AQ143" s="29"/>
      <c r="AR143" s="29"/>
      <c r="AS143" s="29"/>
      <c r="AT143" s="29"/>
      <c r="AU143" s="29"/>
      <c r="AV143" s="29"/>
      <c r="AW143" s="29"/>
      <c r="AX143" s="29"/>
    </row>
    <row r="144">
      <c r="A144" s="20"/>
      <c r="B144" s="20"/>
      <c r="C144" s="20"/>
      <c r="D144" s="46"/>
      <c r="E144" s="20"/>
      <c r="F144" s="20"/>
      <c r="G144" s="20"/>
      <c r="H144" s="20"/>
      <c r="I144" s="20"/>
      <c r="J144" s="45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9"/>
      <c r="AQ144" s="29"/>
      <c r="AR144" s="29"/>
      <c r="AS144" s="29"/>
      <c r="AT144" s="29"/>
      <c r="AU144" s="29"/>
      <c r="AV144" s="29"/>
      <c r="AW144" s="29"/>
      <c r="AX144" s="29"/>
    </row>
    <row r="145">
      <c r="A145" s="20"/>
      <c r="B145" s="20"/>
      <c r="C145" s="20"/>
      <c r="D145" s="46"/>
      <c r="E145" s="20"/>
      <c r="F145" s="20"/>
      <c r="G145" s="20"/>
      <c r="H145" s="20"/>
      <c r="I145" s="20"/>
      <c r="J145" s="45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>
      <c r="A146" s="20"/>
      <c r="B146" s="20"/>
      <c r="C146" s="20"/>
      <c r="D146" s="46"/>
      <c r="E146" s="20"/>
      <c r="F146" s="20"/>
      <c r="G146" s="20"/>
      <c r="H146" s="20"/>
      <c r="I146" s="20"/>
      <c r="J146" s="45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>
      <c r="A147" s="20"/>
      <c r="B147" s="20"/>
      <c r="C147" s="20"/>
      <c r="D147" s="46"/>
      <c r="E147" s="20"/>
      <c r="F147" s="20"/>
      <c r="G147" s="20"/>
      <c r="H147" s="20"/>
      <c r="I147" s="20"/>
      <c r="J147" s="45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>
      <c r="A148" s="20"/>
      <c r="B148" s="20"/>
      <c r="C148" s="20"/>
      <c r="D148" s="46"/>
      <c r="E148" s="20"/>
      <c r="F148" s="20"/>
      <c r="G148" s="20"/>
      <c r="H148" s="20"/>
      <c r="I148" s="20"/>
      <c r="J148" s="45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9"/>
      <c r="AQ148" s="29"/>
      <c r="AR148" s="29"/>
      <c r="AS148" s="29"/>
      <c r="AT148" s="29"/>
      <c r="AU148" s="29"/>
      <c r="AV148" s="29"/>
      <c r="AW148" s="29"/>
      <c r="AX148" s="29"/>
    </row>
    <row r="149">
      <c r="A149" s="20"/>
      <c r="B149" s="20"/>
      <c r="C149" s="20"/>
      <c r="D149" s="46"/>
      <c r="E149" s="20"/>
      <c r="F149" s="20"/>
      <c r="G149" s="20"/>
      <c r="H149" s="20"/>
      <c r="I149" s="20"/>
      <c r="J149" s="45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>
      <c r="A150" s="20"/>
      <c r="B150" s="20"/>
      <c r="C150" s="20"/>
      <c r="D150" s="46"/>
      <c r="E150" s="20"/>
      <c r="F150" s="20"/>
      <c r="G150" s="20"/>
      <c r="H150" s="20"/>
      <c r="I150" s="20"/>
      <c r="J150" s="45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9"/>
      <c r="AQ150" s="29"/>
      <c r="AR150" s="29"/>
      <c r="AS150" s="29"/>
      <c r="AT150" s="29"/>
      <c r="AU150" s="29"/>
      <c r="AV150" s="29"/>
      <c r="AW150" s="29"/>
      <c r="AX150" s="29"/>
    </row>
    <row r="151">
      <c r="A151" s="20"/>
      <c r="B151" s="20"/>
      <c r="C151" s="20"/>
      <c r="D151" s="46"/>
      <c r="E151" s="20"/>
      <c r="F151" s="20"/>
      <c r="G151" s="20"/>
      <c r="H151" s="20"/>
      <c r="I151" s="20"/>
      <c r="J151" s="45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9"/>
      <c r="AQ151" s="29"/>
      <c r="AR151" s="29"/>
      <c r="AS151" s="29"/>
      <c r="AT151" s="29"/>
      <c r="AU151" s="29"/>
      <c r="AV151" s="29"/>
      <c r="AW151" s="29"/>
      <c r="AX151" s="29"/>
    </row>
    <row r="152">
      <c r="A152" s="20"/>
      <c r="B152" s="20"/>
      <c r="C152" s="20"/>
      <c r="D152" s="46"/>
      <c r="E152" s="20"/>
      <c r="F152" s="20"/>
      <c r="G152" s="20"/>
      <c r="H152" s="20"/>
      <c r="I152" s="20"/>
      <c r="J152" s="45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9"/>
      <c r="AQ152" s="29"/>
      <c r="AR152" s="29"/>
      <c r="AS152" s="29"/>
      <c r="AT152" s="29"/>
      <c r="AU152" s="29"/>
      <c r="AV152" s="29"/>
      <c r="AW152" s="29"/>
      <c r="AX152" s="29"/>
    </row>
    <row r="153">
      <c r="A153" s="20"/>
      <c r="B153" s="20"/>
      <c r="C153" s="20"/>
      <c r="D153" s="46"/>
      <c r="E153" s="20"/>
      <c r="F153" s="20"/>
      <c r="G153" s="20"/>
      <c r="H153" s="20"/>
      <c r="I153" s="20"/>
      <c r="J153" s="45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9"/>
      <c r="AQ153" s="29"/>
      <c r="AR153" s="29"/>
      <c r="AS153" s="29"/>
      <c r="AT153" s="29"/>
      <c r="AU153" s="29"/>
      <c r="AV153" s="29"/>
      <c r="AW153" s="29"/>
      <c r="AX153" s="29"/>
    </row>
    <row r="154">
      <c r="A154" s="20"/>
      <c r="B154" s="20"/>
      <c r="C154" s="20"/>
      <c r="D154" s="46"/>
      <c r="E154" s="20"/>
      <c r="F154" s="20"/>
      <c r="G154" s="20"/>
      <c r="H154" s="20"/>
      <c r="I154" s="20"/>
      <c r="J154" s="45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9"/>
      <c r="AQ154" s="29"/>
      <c r="AR154" s="29"/>
      <c r="AS154" s="29"/>
      <c r="AT154" s="29"/>
      <c r="AU154" s="29"/>
      <c r="AV154" s="29"/>
      <c r="AW154" s="29"/>
      <c r="AX154" s="29"/>
    </row>
    <row r="155">
      <c r="A155" s="20"/>
      <c r="B155" s="20"/>
      <c r="C155" s="20"/>
      <c r="D155" s="46"/>
      <c r="E155" s="20"/>
      <c r="F155" s="20"/>
      <c r="G155" s="20"/>
      <c r="H155" s="20"/>
      <c r="I155" s="20"/>
      <c r="J155" s="45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9"/>
      <c r="AQ155" s="29"/>
      <c r="AR155" s="29"/>
      <c r="AS155" s="29"/>
      <c r="AT155" s="29"/>
      <c r="AU155" s="29"/>
      <c r="AV155" s="29"/>
      <c r="AW155" s="29"/>
      <c r="AX155" s="29"/>
    </row>
    <row r="156">
      <c r="A156" s="20"/>
      <c r="B156" s="20"/>
      <c r="C156" s="20"/>
      <c r="D156" s="46"/>
      <c r="E156" s="20"/>
      <c r="F156" s="20"/>
      <c r="G156" s="20"/>
      <c r="H156" s="20"/>
      <c r="I156" s="20"/>
      <c r="J156" s="45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9"/>
      <c r="AQ156" s="29"/>
      <c r="AR156" s="29"/>
      <c r="AS156" s="29"/>
      <c r="AT156" s="29"/>
      <c r="AU156" s="29"/>
      <c r="AV156" s="29"/>
      <c r="AW156" s="29"/>
      <c r="AX156" s="29"/>
    </row>
    <row r="157">
      <c r="A157" s="20"/>
      <c r="B157" s="20"/>
      <c r="C157" s="20"/>
      <c r="D157" s="46"/>
      <c r="E157" s="20"/>
      <c r="F157" s="20"/>
      <c r="G157" s="20"/>
      <c r="H157" s="20"/>
      <c r="I157" s="20"/>
      <c r="J157" s="45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9"/>
      <c r="AQ157" s="29"/>
      <c r="AR157" s="29"/>
      <c r="AS157" s="29"/>
      <c r="AT157" s="29"/>
      <c r="AU157" s="29"/>
      <c r="AV157" s="29"/>
      <c r="AW157" s="29"/>
      <c r="AX157" s="29"/>
    </row>
    <row r="158">
      <c r="A158" s="20"/>
      <c r="B158" s="20"/>
      <c r="C158" s="20"/>
      <c r="D158" s="46"/>
      <c r="E158" s="20"/>
      <c r="F158" s="20"/>
      <c r="G158" s="20"/>
      <c r="H158" s="20"/>
      <c r="I158" s="20"/>
      <c r="J158" s="45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9"/>
      <c r="AQ158" s="29"/>
      <c r="AR158" s="29"/>
      <c r="AS158" s="29"/>
      <c r="AT158" s="29"/>
      <c r="AU158" s="29"/>
      <c r="AV158" s="29"/>
      <c r="AW158" s="29"/>
      <c r="AX158" s="29"/>
    </row>
    <row r="159">
      <c r="A159" s="20"/>
      <c r="B159" s="20"/>
      <c r="C159" s="20"/>
      <c r="D159" s="46"/>
      <c r="E159" s="20"/>
      <c r="F159" s="20"/>
      <c r="G159" s="20"/>
      <c r="H159" s="20"/>
      <c r="I159" s="20"/>
      <c r="J159" s="45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9"/>
      <c r="AQ159" s="29"/>
      <c r="AR159" s="29"/>
      <c r="AS159" s="29"/>
      <c r="AT159" s="29"/>
      <c r="AU159" s="29"/>
      <c r="AV159" s="29"/>
      <c r="AW159" s="29"/>
      <c r="AX159" s="29"/>
    </row>
    <row r="160">
      <c r="A160" s="20"/>
      <c r="B160" s="20"/>
      <c r="C160" s="20"/>
      <c r="D160" s="46"/>
      <c r="E160" s="20"/>
      <c r="F160" s="20"/>
      <c r="G160" s="20"/>
      <c r="H160" s="20"/>
      <c r="I160" s="20"/>
      <c r="J160" s="45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9"/>
      <c r="AQ160" s="29"/>
      <c r="AR160" s="29"/>
      <c r="AS160" s="29"/>
      <c r="AT160" s="29"/>
      <c r="AU160" s="29"/>
      <c r="AV160" s="29"/>
      <c r="AW160" s="29"/>
      <c r="AX160" s="29"/>
    </row>
    <row r="161">
      <c r="A161" s="20"/>
      <c r="B161" s="20"/>
      <c r="C161" s="20"/>
      <c r="D161" s="46"/>
      <c r="E161" s="20"/>
      <c r="F161" s="20"/>
      <c r="G161" s="20"/>
      <c r="H161" s="20"/>
      <c r="I161" s="20"/>
      <c r="J161" s="45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9"/>
      <c r="AQ161" s="29"/>
      <c r="AR161" s="29"/>
      <c r="AS161" s="29"/>
      <c r="AT161" s="29"/>
      <c r="AU161" s="29"/>
      <c r="AV161" s="29"/>
      <c r="AW161" s="29"/>
      <c r="AX161" s="29"/>
    </row>
    <row r="162">
      <c r="A162" s="20"/>
      <c r="B162" s="20"/>
      <c r="C162" s="20"/>
      <c r="D162" s="46"/>
      <c r="E162" s="20"/>
      <c r="F162" s="20"/>
      <c r="G162" s="20"/>
      <c r="H162" s="20"/>
      <c r="I162" s="20"/>
      <c r="J162" s="45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9"/>
      <c r="AQ162" s="29"/>
      <c r="AR162" s="29"/>
      <c r="AS162" s="29"/>
      <c r="AT162" s="29"/>
      <c r="AU162" s="29"/>
      <c r="AV162" s="29"/>
      <c r="AW162" s="29"/>
      <c r="AX162" s="29"/>
    </row>
    <row r="163">
      <c r="A163" s="20"/>
      <c r="B163" s="20"/>
      <c r="C163" s="20"/>
      <c r="D163" s="46"/>
      <c r="E163" s="20"/>
      <c r="F163" s="20"/>
      <c r="G163" s="20"/>
      <c r="H163" s="20"/>
      <c r="I163" s="20"/>
      <c r="J163" s="45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9"/>
      <c r="AQ163" s="29"/>
      <c r="AR163" s="29"/>
      <c r="AS163" s="29"/>
      <c r="AT163" s="29"/>
      <c r="AU163" s="29"/>
      <c r="AV163" s="29"/>
      <c r="AW163" s="29"/>
      <c r="AX163" s="29"/>
    </row>
    <row r="164">
      <c r="A164" s="20"/>
      <c r="B164" s="20"/>
      <c r="C164" s="20"/>
      <c r="D164" s="46"/>
      <c r="E164" s="20"/>
      <c r="F164" s="20"/>
      <c r="G164" s="20"/>
      <c r="H164" s="20"/>
      <c r="I164" s="20"/>
      <c r="J164" s="45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9"/>
      <c r="AQ164" s="29"/>
      <c r="AR164" s="29"/>
      <c r="AS164" s="29"/>
      <c r="AT164" s="29"/>
      <c r="AU164" s="29"/>
      <c r="AV164" s="29"/>
      <c r="AW164" s="29"/>
      <c r="AX164" s="29"/>
    </row>
    <row r="165">
      <c r="A165" s="20"/>
      <c r="B165" s="20"/>
      <c r="C165" s="20"/>
      <c r="D165" s="46"/>
      <c r="E165" s="20"/>
      <c r="F165" s="20"/>
      <c r="G165" s="20"/>
      <c r="H165" s="20"/>
      <c r="I165" s="20"/>
      <c r="J165" s="45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9"/>
      <c r="AQ165" s="29"/>
      <c r="AR165" s="29"/>
      <c r="AS165" s="29"/>
      <c r="AT165" s="29"/>
      <c r="AU165" s="29"/>
      <c r="AV165" s="29"/>
      <c r="AW165" s="29"/>
      <c r="AX165" s="29"/>
    </row>
    <row r="166">
      <c r="A166" s="20"/>
      <c r="B166" s="20"/>
      <c r="C166" s="20"/>
      <c r="D166" s="46"/>
      <c r="E166" s="20"/>
      <c r="F166" s="20"/>
      <c r="G166" s="20"/>
      <c r="H166" s="20"/>
      <c r="I166" s="20"/>
      <c r="J166" s="45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9"/>
      <c r="AQ166" s="29"/>
      <c r="AR166" s="29"/>
      <c r="AS166" s="29"/>
      <c r="AT166" s="29"/>
      <c r="AU166" s="29"/>
      <c r="AV166" s="29"/>
      <c r="AW166" s="29"/>
      <c r="AX166" s="29"/>
    </row>
    <row r="167">
      <c r="A167" s="20"/>
      <c r="B167" s="20"/>
      <c r="C167" s="20"/>
      <c r="D167" s="46"/>
      <c r="E167" s="20"/>
      <c r="F167" s="20"/>
      <c r="G167" s="20"/>
      <c r="H167" s="20"/>
      <c r="I167" s="20"/>
      <c r="J167" s="45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9"/>
      <c r="AQ167" s="29"/>
      <c r="AR167" s="29"/>
      <c r="AS167" s="29"/>
      <c r="AT167" s="29"/>
      <c r="AU167" s="29"/>
      <c r="AV167" s="29"/>
      <c r="AW167" s="29"/>
      <c r="AX167" s="29"/>
    </row>
    <row r="168">
      <c r="A168" s="20"/>
      <c r="B168" s="20"/>
      <c r="C168" s="20"/>
      <c r="D168" s="46"/>
      <c r="E168" s="20"/>
      <c r="F168" s="20"/>
      <c r="G168" s="20"/>
      <c r="H168" s="20"/>
      <c r="I168" s="20"/>
      <c r="J168" s="45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9"/>
      <c r="AQ168" s="29"/>
      <c r="AR168" s="29"/>
      <c r="AS168" s="29"/>
      <c r="AT168" s="29"/>
      <c r="AU168" s="29"/>
      <c r="AV168" s="29"/>
      <c r="AW168" s="29"/>
      <c r="AX168" s="29"/>
    </row>
    <row r="169">
      <c r="A169" s="20"/>
      <c r="B169" s="20"/>
      <c r="C169" s="20"/>
      <c r="D169" s="46"/>
      <c r="E169" s="20"/>
      <c r="F169" s="20"/>
      <c r="G169" s="20"/>
      <c r="H169" s="20"/>
      <c r="I169" s="20"/>
      <c r="J169" s="45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9"/>
      <c r="AQ169" s="29"/>
      <c r="AR169" s="29"/>
      <c r="AS169" s="29"/>
      <c r="AT169" s="29"/>
      <c r="AU169" s="29"/>
      <c r="AV169" s="29"/>
      <c r="AW169" s="29"/>
      <c r="AX169" s="29"/>
    </row>
    <row r="170">
      <c r="A170" s="20"/>
      <c r="B170" s="20"/>
      <c r="C170" s="20"/>
      <c r="D170" s="46"/>
      <c r="E170" s="20"/>
      <c r="F170" s="20"/>
      <c r="G170" s="20"/>
      <c r="H170" s="20"/>
      <c r="I170" s="20"/>
      <c r="J170" s="45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9"/>
      <c r="AQ170" s="29"/>
      <c r="AR170" s="29"/>
      <c r="AS170" s="29"/>
      <c r="AT170" s="29"/>
      <c r="AU170" s="29"/>
      <c r="AV170" s="29"/>
      <c r="AW170" s="29"/>
      <c r="AX170" s="29"/>
    </row>
    <row r="171">
      <c r="A171" s="20"/>
      <c r="B171" s="20"/>
      <c r="C171" s="20"/>
      <c r="D171" s="46"/>
      <c r="E171" s="20"/>
      <c r="F171" s="20"/>
      <c r="G171" s="20"/>
      <c r="H171" s="20"/>
      <c r="I171" s="20"/>
      <c r="J171" s="45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9"/>
      <c r="AQ171" s="29"/>
      <c r="AR171" s="29"/>
      <c r="AS171" s="29"/>
      <c r="AT171" s="29"/>
      <c r="AU171" s="29"/>
      <c r="AV171" s="29"/>
      <c r="AW171" s="29"/>
      <c r="AX171" s="29"/>
    </row>
    <row r="172">
      <c r="A172" s="20"/>
      <c r="B172" s="20"/>
      <c r="C172" s="20"/>
      <c r="D172" s="46"/>
      <c r="E172" s="20"/>
      <c r="F172" s="20"/>
      <c r="G172" s="20"/>
      <c r="H172" s="20"/>
      <c r="I172" s="20"/>
      <c r="J172" s="45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9"/>
      <c r="AQ172" s="29"/>
      <c r="AR172" s="29"/>
      <c r="AS172" s="29"/>
      <c r="AT172" s="29"/>
      <c r="AU172" s="29"/>
      <c r="AV172" s="29"/>
      <c r="AW172" s="29"/>
      <c r="AX172" s="29"/>
    </row>
    <row r="173">
      <c r="A173" s="20"/>
      <c r="B173" s="20"/>
      <c r="C173" s="20"/>
      <c r="D173" s="46"/>
      <c r="E173" s="20"/>
      <c r="F173" s="20"/>
      <c r="G173" s="20"/>
      <c r="H173" s="20"/>
      <c r="I173" s="20"/>
      <c r="J173" s="45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9"/>
      <c r="AQ173" s="29"/>
      <c r="AR173" s="29"/>
      <c r="AS173" s="29"/>
      <c r="AT173" s="29"/>
      <c r="AU173" s="29"/>
      <c r="AV173" s="29"/>
      <c r="AW173" s="29"/>
      <c r="AX173" s="29"/>
    </row>
    <row r="174">
      <c r="A174" s="20"/>
      <c r="B174" s="20"/>
      <c r="C174" s="20"/>
      <c r="D174" s="46"/>
      <c r="E174" s="20"/>
      <c r="F174" s="20"/>
      <c r="G174" s="20"/>
      <c r="H174" s="20"/>
      <c r="I174" s="20"/>
      <c r="J174" s="45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9"/>
      <c r="AQ174" s="29"/>
      <c r="AR174" s="29"/>
      <c r="AS174" s="29"/>
      <c r="AT174" s="29"/>
      <c r="AU174" s="29"/>
      <c r="AV174" s="29"/>
      <c r="AW174" s="29"/>
      <c r="AX174" s="29"/>
    </row>
    <row r="175">
      <c r="A175" s="20"/>
      <c r="B175" s="20"/>
      <c r="C175" s="20"/>
      <c r="D175" s="46"/>
      <c r="E175" s="20"/>
      <c r="F175" s="20"/>
      <c r="G175" s="20"/>
      <c r="H175" s="20"/>
      <c r="I175" s="20"/>
      <c r="J175" s="45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9"/>
      <c r="AQ175" s="29"/>
      <c r="AR175" s="29"/>
      <c r="AS175" s="29"/>
      <c r="AT175" s="29"/>
      <c r="AU175" s="29"/>
      <c r="AV175" s="29"/>
      <c r="AW175" s="29"/>
      <c r="AX175" s="29"/>
    </row>
    <row r="176">
      <c r="A176" s="20"/>
      <c r="B176" s="20"/>
      <c r="C176" s="20"/>
      <c r="D176" s="46"/>
      <c r="E176" s="20"/>
      <c r="F176" s="20"/>
      <c r="G176" s="20"/>
      <c r="H176" s="20"/>
      <c r="I176" s="20"/>
      <c r="J176" s="45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9"/>
      <c r="AQ176" s="29"/>
      <c r="AR176" s="29"/>
      <c r="AS176" s="29"/>
      <c r="AT176" s="29"/>
      <c r="AU176" s="29"/>
      <c r="AV176" s="29"/>
      <c r="AW176" s="29"/>
      <c r="AX176" s="29"/>
    </row>
    <row r="177">
      <c r="A177" s="20"/>
      <c r="B177" s="20"/>
      <c r="C177" s="20"/>
      <c r="D177" s="46"/>
      <c r="E177" s="20"/>
      <c r="F177" s="20"/>
      <c r="G177" s="20"/>
      <c r="H177" s="20"/>
      <c r="I177" s="20"/>
      <c r="J177" s="45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9"/>
      <c r="AQ177" s="29"/>
      <c r="AR177" s="29"/>
      <c r="AS177" s="29"/>
      <c r="AT177" s="29"/>
      <c r="AU177" s="29"/>
      <c r="AV177" s="29"/>
      <c r="AW177" s="29"/>
      <c r="AX177" s="29"/>
    </row>
    <row r="178">
      <c r="A178" s="20"/>
      <c r="B178" s="20"/>
      <c r="C178" s="20"/>
      <c r="D178" s="46"/>
      <c r="E178" s="20"/>
      <c r="F178" s="20"/>
      <c r="G178" s="20"/>
      <c r="H178" s="20"/>
      <c r="I178" s="20"/>
      <c r="J178" s="45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9"/>
      <c r="AQ178" s="29"/>
      <c r="AR178" s="29"/>
      <c r="AS178" s="29"/>
      <c r="AT178" s="29"/>
      <c r="AU178" s="29"/>
      <c r="AV178" s="29"/>
      <c r="AW178" s="29"/>
      <c r="AX178" s="29"/>
    </row>
    <row r="179">
      <c r="A179" s="20"/>
      <c r="B179" s="20"/>
      <c r="C179" s="20"/>
      <c r="D179" s="46"/>
      <c r="E179" s="20"/>
      <c r="F179" s="20"/>
      <c r="G179" s="20"/>
      <c r="H179" s="20"/>
      <c r="I179" s="20"/>
      <c r="J179" s="45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9"/>
      <c r="AQ179" s="29"/>
      <c r="AR179" s="29"/>
      <c r="AS179" s="29"/>
      <c r="AT179" s="29"/>
      <c r="AU179" s="29"/>
      <c r="AV179" s="29"/>
      <c r="AW179" s="29"/>
      <c r="AX179" s="29"/>
    </row>
    <row r="180">
      <c r="A180" s="20"/>
      <c r="B180" s="20"/>
      <c r="C180" s="20"/>
      <c r="D180" s="46"/>
      <c r="E180" s="20"/>
      <c r="F180" s="20"/>
      <c r="G180" s="20"/>
      <c r="H180" s="20"/>
      <c r="I180" s="20"/>
      <c r="J180" s="45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9"/>
      <c r="AQ180" s="29"/>
      <c r="AR180" s="29"/>
      <c r="AS180" s="29"/>
      <c r="AT180" s="29"/>
      <c r="AU180" s="29"/>
      <c r="AV180" s="29"/>
      <c r="AW180" s="29"/>
      <c r="AX180" s="29"/>
    </row>
    <row r="181">
      <c r="A181" s="20"/>
      <c r="B181" s="20"/>
      <c r="C181" s="20"/>
      <c r="D181" s="46"/>
      <c r="E181" s="20"/>
      <c r="F181" s="20"/>
      <c r="G181" s="20"/>
      <c r="H181" s="20"/>
      <c r="I181" s="20"/>
      <c r="J181" s="45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9"/>
      <c r="AQ181" s="29"/>
      <c r="AR181" s="29"/>
      <c r="AS181" s="29"/>
      <c r="AT181" s="29"/>
      <c r="AU181" s="29"/>
      <c r="AV181" s="29"/>
      <c r="AW181" s="29"/>
      <c r="AX181" s="29"/>
    </row>
    <row r="182">
      <c r="A182" s="20"/>
      <c r="B182" s="20"/>
      <c r="C182" s="20"/>
      <c r="D182" s="46"/>
      <c r="E182" s="20"/>
      <c r="F182" s="20"/>
      <c r="G182" s="20"/>
      <c r="H182" s="20"/>
      <c r="I182" s="20"/>
      <c r="J182" s="45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9"/>
      <c r="AQ182" s="29"/>
      <c r="AR182" s="29"/>
      <c r="AS182" s="29"/>
      <c r="AT182" s="29"/>
      <c r="AU182" s="29"/>
      <c r="AV182" s="29"/>
      <c r="AW182" s="29"/>
      <c r="AX182" s="29"/>
    </row>
    <row r="183">
      <c r="A183" s="20"/>
      <c r="B183" s="20"/>
      <c r="C183" s="20"/>
      <c r="D183" s="46"/>
      <c r="E183" s="20"/>
      <c r="F183" s="20"/>
      <c r="G183" s="20"/>
      <c r="H183" s="20"/>
      <c r="I183" s="20"/>
      <c r="J183" s="45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9"/>
      <c r="AQ183" s="29"/>
      <c r="AR183" s="29"/>
      <c r="AS183" s="29"/>
      <c r="AT183" s="29"/>
      <c r="AU183" s="29"/>
      <c r="AV183" s="29"/>
      <c r="AW183" s="29"/>
      <c r="AX183" s="29"/>
    </row>
    <row r="184">
      <c r="A184" s="20"/>
      <c r="B184" s="20"/>
      <c r="C184" s="20"/>
      <c r="D184" s="46"/>
      <c r="E184" s="20"/>
      <c r="F184" s="20"/>
      <c r="G184" s="20"/>
      <c r="H184" s="20"/>
      <c r="I184" s="20"/>
      <c r="J184" s="45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9"/>
      <c r="AQ184" s="29"/>
      <c r="AR184" s="29"/>
      <c r="AS184" s="29"/>
      <c r="AT184" s="29"/>
      <c r="AU184" s="29"/>
      <c r="AV184" s="29"/>
      <c r="AW184" s="29"/>
      <c r="AX184" s="29"/>
    </row>
    <row r="185">
      <c r="A185" s="20"/>
      <c r="B185" s="20"/>
      <c r="C185" s="20"/>
      <c r="D185" s="46"/>
      <c r="E185" s="20"/>
      <c r="F185" s="20"/>
      <c r="G185" s="20"/>
      <c r="H185" s="20"/>
      <c r="I185" s="20"/>
      <c r="J185" s="45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9"/>
      <c r="AQ185" s="29"/>
      <c r="AR185" s="29"/>
      <c r="AS185" s="29"/>
      <c r="AT185" s="29"/>
      <c r="AU185" s="29"/>
      <c r="AV185" s="29"/>
      <c r="AW185" s="29"/>
      <c r="AX185" s="29"/>
    </row>
    <row r="186">
      <c r="A186" s="20"/>
      <c r="B186" s="20"/>
      <c r="C186" s="20"/>
      <c r="D186" s="46"/>
      <c r="E186" s="20"/>
      <c r="F186" s="20"/>
      <c r="G186" s="20"/>
      <c r="H186" s="20"/>
      <c r="I186" s="20"/>
      <c r="J186" s="45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9"/>
      <c r="AQ186" s="29"/>
      <c r="AR186" s="29"/>
      <c r="AS186" s="29"/>
      <c r="AT186" s="29"/>
      <c r="AU186" s="29"/>
      <c r="AV186" s="29"/>
      <c r="AW186" s="29"/>
      <c r="AX186" s="29"/>
    </row>
    <row r="187">
      <c r="A187" s="20"/>
      <c r="B187" s="20"/>
      <c r="C187" s="20"/>
      <c r="D187" s="46"/>
      <c r="E187" s="20"/>
      <c r="F187" s="20"/>
      <c r="G187" s="20"/>
      <c r="H187" s="20"/>
      <c r="I187" s="20"/>
      <c r="J187" s="45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9"/>
      <c r="AQ187" s="29"/>
      <c r="AR187" s="29"/>
      <c r="AS187" s="29"/>
      <c r="AT187" s="29"/>
      <c r="AU187" s="29"/>
      <c r="AV187" s="29"/>
      <c r="AW187" s="29"/>
      <c r="AX187" s="29"/>
    </row>
    <row r="188">
      <c r="A188" s="20"/>
      <c r="B188" s="20"/>
      <c r="C188" s="20"/>
      <c r="D188" s="46"/>
      <c r="E188" s="20"/>
      <c r="F188" s="20"/>
      <c r="G188" s="20"/>
      <c r="H188" s="20"/>
      <c r="I188" s="20"/>
      <c r="J188" s="45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9"/>
      <c r="AQ188" s="29"/>
      <c r="AR188" s="29"/>
      <c r="AS188" s="29"/>
      <c r="AT188" s="29"/>
      <c r="AU188" s="29"/>
      <c r="AV188" s="29"/>
      <c r="AW188" s="29"/>
      <c r="AX188" s="29"/>
    </row>
    <row r="189">
      <c r="A189" s="20"/>
      <c r="B189" s="20"/>
      <c r="C189" s="20"/>
      <c r="D189" s="46"/>
      <c r="E189" s="20"/>
      <c r="F189" s="20"/>
      <c r="G189" s="20"/>
      <c r="H189" s="20"/>
      <c r="I189" s="20"/>
      <c r="J189" s="45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9"/>
      <c r="AQ189" s="29"/>
      <c r="AR189" s="29"/>
      <c r="AS189" s="29"/>
      <c r="AT189" s="29"/>
      <c r="AU189" s="29"/>
      <c r="AV189" s="29"/>
      <c r="AW189" s="29"/>
      <c r="AX189" s="29"/>
    </row>
    <row r="190">
      <c r="A190" s="20"/>
      <c r="B190" s="20"/>
      <c r="C190" s="20"/>
      <c r="D190" s="46"/>
      <c r="E190" s="20"/>
      <c r="F190" s="20"/>
      <c r="G190" s="20"/>
      <c r="H190" s="20"/>
      <c r="I190" s="20"/>
      <c r="J190" s="45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9"/>
      <c r="AQ190" s="29"/>
      <c r="AR190" s="29"/>
      <c r="AS190" s="29"/>
      <c r="AT190" s="29"/>
      <c r="AU190" s="29"/>
      <c r="AV190" s="29"/>
      <c r="AW190" s="29"/>
      <c r="AX190" s="29"/>
    </row>
    <row r="191">
      <c r="A191" s="20"/>
      <c r="B191" s="20"/>
      <c r="C191" s="20"/>
      <c r="D191" s="46"/>
      <c r="E191" s="20"/>
      <c r="F191" s="20"/>
      <c r="G191" s="20"/>
      <c r="H191" s="20"/>
      <c r="I191" s="20"/>
      <c r="J191" s="45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9"/>
      <c r="AQ191" s="29"/>
      <c r="AR191" s="29"/>
      <c r="AS191" s="29"/>
      <c r="AT191" s="29"/>
      <c r="AU191" s="29"/>
      <c r="AV191" s="29"/>
      <c r="AW191" s="29"/>
      <c r="AX191" s="29"/>
    </row>
    <row r="192">
      <c r="A192" s="20"/>
      <c r="B192" s="20"/>
      <c r="C192" s="20"/>
      <c r="D192" s="46"/>
      <c r="E192" s="20"/>
      <c r="F192" s="20"/>
      <c r="G192" s="20"/>
      <c r="H192" s="20"/>
      <c r="I192" s="20"/>
      <c r="J192" s="45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9"/>
      <c r="AQ192" s="29"/>
      <c r="AR192" s="29"/>
      <c r="AS192" s="29"/>
      <c r="AT192" s="29"/>
      <c r="AU192" s="29"/>
      <c r="AV192" s="29"/>
      <c r="AW192" s="29"/>
      <c r="AX192" s="29"/>
    </row>
    <row r="193">
      <c r="A193" s="20"/>
      <c r="B193" s="20"/>
      <c r="C193" s="20"/>
      <c r="D193" s="46"/>
      <c r="E193" s="20"/>
      <c r="F193" s="20"/>
      <c r="G193" s="20"/>
      <c r="H193" s="20"/>
      <c r="I193" s="20"/>
      <c r="J193" s="45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9"/>
      <c r="AQ193" s="29"/>
      <c r="AR193" s="29"/>
      <c r="AS193" s="29"/>
      <c r="AT193" s="29"/>
      <c r="AU193" s="29"/>
      <c r="AV193" s="29"/>
      <c r="AW193" s="29"/>
      <c r="AX193" s="29"/>
    </row>
    <row r="194">
      <c r="A194" s="20"/>
      <c r="B194" s="20"/>
      <c r="C194" s="20"/>
      <c r="D194" s="46"/>
      <c r="E194" s="20"/>
      <c r="F194" s="20"/>
      <c r="G194" s="20"/>
      <c r="H194" s="20"/>
      <c r="I194" s="20"/>
      <c r="J194" s="45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9"/>
      <c r="AQ194" s="29"/>
      <c r="AR194" s="29"/>
      <c r="AS194" s="29"/>
      <c r="AT194" s="29"/>
      <c r="AU194" s="29"/>
      <c r="AV194" s="29"/>
      <c r="AW194" s="29"/>
      <c r="AX194" s="29"/>
    </row>
    <row r="195">
      <c r="A195" s="20"/>
      <c r="B195" s="20"/>
      <c r="C195" s="20"/>
      <c r="D195" s="46"/>
      <c r="E195" s="20"/>
      <c r="F195" s="20"/>
      <c r="G195" s="20"/>
      <c r="H195" s="20"/>
      <c r="I195" s="20"/>
      <c r="J195" s="45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9"/>
      <c r="AQ195" s="29"/>
      <c r="AR195" s="29"/>
      <c r="AS195" s="29"/>
      <c r="AT195" s="29"/>
      <c r="AU195" s="29"/>
      <c r="AV195" s="29"/>
      <c r="AW195" s="29"/>
      <c r="AX195" s="29"/>
    </row>
    <row r="196">
      <c r="A196" s="20"/>
      <c r="B196" s="20"/>
      <c r="C196" s="20"/>
      <c r="D196" s="46"/>
      <c r="E196" s="20"/>
      <c r="F196" s="20"/>
      <c r="G196" s="20"/>
      <c r="H196" s="20"/>
      <c r="I196" s="20"/>
      <c r="J196" s="45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9"/>
      <c r="AQ196" s="29"/>
      <c r="AR196" s="29"/>
      <c r="AS196" s="29"/>
      <c r="AT196" s="29"/>
      <c r="AU196" s="29"/>
      <c r="AV196" s="29"/>
      <c r="AW196" s="29"/>
      <c r="AX196" s="29"/>
    </row>
    <row r="197">
      <c r="A197" s="20"/>
      <c r="B197" s="20"/>
      <c r="C197" s="20"/>
      <c r="D197" s="46"/>
      <c r="E197" s="20"/>
      <c r="F197" s="20"/>
      <c r="G197" s="20"/>
      <c r="H197" s="20"/>
      <c r="I197" s="20"/>
      <c r="J197" s="45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9"/>
      <c r="AQ197" s="29"/>
      <c r="AR197" s="29"/>
      <c r="AS197" s="29"/>
      <c r="AT197" s="29"/>
      <c r="AU197" s="29"/>
      <c r="AV197" s="29"/>
      <c r="AW197" s="29"/>
      <c r="AX197" s="29"/>
    </row>
    <row r="198">
      <c r="A198" s="20"/>
      <c r="B198" s="20"/>
      <c r="C198" s="20"/>
      <c r="D198" s="46"/>
      <c r="E198" s="20"/>
      <c r="F198" s="20"/>
      <c r="G198" s="20"/>
      <c r="H198" s="20"/>
      <c r="I198" s="20"/>
      <c r="J198" s="45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9"/>
      <c r="AQ198" s="29"/>
      <c r="AR198" s="29"/>
      <c r="AS198" s="29"/>
      <c r="AT198" s="29"/>
      <c r="AU198" s="29"/>
      <c r="AV198" s="29"/>
      <c r="AW198" s="29"/>
      <c r="AX198" s="29"/>
    </row>
    <row r="199">
      <c r="A199" s="20"/>
      <c r="B199" s="20"/>
      <c r="C199" s="20"/>
      <c r="D199" s="46"/>
      <c r="E199" s="20"/>
      <c r="F199" s="20"/>
      <c r="G199" s="20"/>
      <c r="H199" s="20"/>
      <c r="I199" s="20"/>
      <c r="J199" s="45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9"/>
      <c r="AQ199" s="29"/>
      <c r="AR199" s="29"/>
      <c r="AS199" s="29"/>
      <c r="AT199" s="29"/>
      <c r="AU199" s="29"/>
      <c r="AV199" s="29"/>
      <c r="AW199" s="29"/>
      <c r="AX199" s="29"/>
    </row>
    <row r="200">
      <c r="A200" s="20"/>
      <c r="B200" s="20"/>
      <c r="C200" s="20"/>
      <c r="D200" s="46"/>
      <c r="E200" s="20"/>
      <c r="F200" s="20"/>
      <c r="G200" s="20"/>
      <c r="H200" s="20"/>
      <c r="I200" s="20"/>
      <c r="J200" s="45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9"/>
      <c r="AQ200" s="29"/>
      <c r="AR200" s="29"/>
      <c r="AS200" s="29"/>
      <c r="AT200" s="29"/>
      <c r="AU200" s="29"/>
      <c r="AV200" s="29"/>
      <c r="AW200" s="29"/>
      <c r="AX200" s="29"/>
    </row>
    <row r="201">
      <c r="A201" s="20"/>
      <c r="B201" s="20"/>
      <c r="C201" s="20"/>
      <c r="D201" s="46"/>
      <c r="E201" s="20"/>
      <c r="F201" s="20"/>
      <c r="G201" s="20"/>
      <c r="H201" s="20"/>
      <c r="I201" s="20"/>
      <c r="J201" s="45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9"/>
      <c r="AQ201" s="29"/>
      <c r="AR201" s="29"/>
      <c r="AS201" s="29"/>
      <c r="AT201" s="29"/>
      <c r="AU201" s="29"/>
      <c r="AV201" s="29"/>
      <c r="AW201" s="29"/>
      <c r="AX201" s="29"/>
    </row>
    <row r="202">
      <c r="A202" s="20"/>
      <c r="B202" s="20"/>
      <c r="C202" s="20"/>
      <c r="D202" s="46"/>
      <c r="E202" s="20"/>
      <c r="F202" s="20"/>
      <c r="G202" s="20"/>
      <c r="H202" s="20"/>
      <c r="I202" s="20"/>
      <c r="J202" s="45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9"/>
      <c r="AQ202" s="29"/>
      <c r="AR202" s="29"/>
      <c r="AS202" s="29"/>
      <c r="AT202" s="29"/>
      <c r="AU202" s="29"/>
      <c r="AV202" s="29"/>
      <c r="AW202" s="29"/>
      <c r="AX202" s="29"/>
    </row>
    <row r="203">
      <c r="A203" s="20"/>
      <c r="B203" s="20"/>
      <c r="C203" s="20"/>
      <c r="D203" s="46"/>
      <c r="E203" s="20"/>
      <c r="F203" s="20"/>
      <c r="G203" s="20"/>
      <c r="H203" s="20"/>
      <c r="I203" s="20"/>
      <c r="J203" s="45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9"/>
      <c r="AQ203" s="29"/>
      <c r="AR203" s="29"/>
      <c r="AS203" s="29"/>
      <c r="AT203" s="29"/>
      <c r="AU203" s="29"/>
      <c r="AV203" s="29"/>
      <c r="AW203" s="29"/>
      <c r="AX203" s="29"/>
    </row>
    <row r="204">
      <c r="A204" s="20"/>
      <c r="B204" s="20"/>
      <c r="C204" s="20"/>
      <c r="D204" s="46"/>
      <c r="E204" s="20"/>
      <c r="F204" s="20"/>
      <c r="G204" s="20"/>
      <c r="H204" s="20"/>
      <c r="I204" s="20"/>
      <c r="J204" s="45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9"/>
      <c r="AQ204" s="29"/>
      <c r="AR204" s="29"/>
      <c r="AS204" s="29"/>
      <c r="AT204" s="29"/>
      <c r="AU204" s="29"/>
      <c r="AV204" s="29"/>
      <c r="AW204" s="29"/>
      <c r="AX204" s="29"/>
    </row>
    <row r="205">
      <c r="A205" s="20"/>
      <c r="B205" s="20"/>
      <c r="C205" s="20"/>
      <c r="D205" s="46"/>
      <c r="E205" s="20"/>
      <c r="F205" s="20"/>
      <c r="G205" s="20"/>
      <c r="H205" s="20"/>
      <c r="I205" s="20"/>
      <c r="J205" s="45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9"/>
      <c r="AQ205" s="29"/>
      <c r="AR205" s="29"/>
      <c r="AS205" s="29"/>
      <c r="AT205" s="29"/>
      <c r="AU205" s="29"/>
      <c r="AV205" s="29"/>
      <c r="AW205" s="29"/>
      <c r="AX205" s="29"/>
    </row>
    <row r="206">
      <c r="A206" s="20"/>
      <c r="B206" s="20"/>
      <c r="C206" s="20"/>
      <c r="D206" s="46"/>
      <c r="E206" s="20"/>
      <c r="F206" s="20"/>
      <c r="G206" s="20"/>
      <c r="H206" s="20"/>
      <c r="I206" s="20"/>
      <c r="J206" s="45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9"/>
      <c r="AQ206" s="29"/>
      <c r="AR206" s="29"/>
      <c r="AS206" s="29"/>
      <c r="AT206" s="29"/>
      <c r="AU206" s="29"/>
      <c r="AV206" s="29"/>
      <c r="AW206" s="29"/>
      <c r="AX206" s="29"/>
    </row>
    <row r="207">
      <c r="A207" s="20"/>
      <c r="B207" s="20"/>
      <c r="C207" s="20"/>
      <c r="D207" s="46"/>
      <c r="E207" s="20"/>
      <c r="F207" s="20"/>
      <c r="G207" s="20"/>
      <c r="H207" s="20"/>
      <c r="I207" s="20"/>
      <c r="J207" s="45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9"/>
      <c r="AQ207" s="29"/>
      <c r="AR207" s="29"/>
      <c r="AS207" s="29"/>
      <c r="AT207" s="29"/>
      <c r="AU207" s="29"/>
      <c r="AV207" s="29"/>
      <c r="AW207" s="29"/>
      <c r="AX207" s="29"/>
    </row>
    <row r="208">
      <c r="A208" s="20"/>
      <c r="B208" s="20"/>
      <c r="C208" s="20"/>
      <c r="D208" s="46"/>
      <c r="E208" s="20"/>
      <c r="F208" s="20"/>
      <c r="G208" s="20"/>
      <c r="H208" s="20"/>
      <c r="I208" s="20"/>
      <c r="J208" s="45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9"/>
      <c r="AQ208" s="29"/>
      <c r="AR208" s="29"/>
      <c r="AS208" s="29"/>
      <c r="AT208" s="29"/>
      <c r="AU208" s="29"/>
      <c r="AV208" s="29"/>
      <c r="AW208" s="29"/>
      <c r="AX208" s="29"/>
    </row>
    <row r="209">
      <c r="A209" s="20"/>
      <c r="B209" s="20"/>
      <c r="C209" s="20"/>
      <c r="D209" s="46"/>
      <c r="E209" s="20"/>
      <c r="F209" s="20"/>
      <c r="G209" s="20"/>
      <c r="H209" s="20"/>
      <c r="I209" s="20"/>
      <c r="J209" s="45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9"/>
      <c r="AQ209" s="29"/>
      <c r="AR209" s="29"/>
      <c r="AS209" s="29"/>
      <c r="AT209" s="29"/>
      <c r="AU209" s="29"/>
      <c r="AV209" s="29"/>
      <c r="AW209" s="29"/>
      <c r="AX209" s="29"/>
    </row>
    <row r="210">
      <c r="A210" s="20"/>
      <c r="B210" s="20"/>
      <c r="C210" s="20"/>
      <c r="D210" s="46"/>
      <c r="E210" s="20"/>
      <c r="F210" s="20"/>
      <c r="G210" s="20"/>
      <c r="H210" s="20"/>
      <c r="I210" s="20"/>
      <c r="J210" s="45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9"/>
      <c r="AQ210" s="29"/>
      <c r="AR210" s="29"/>
      <c r="AS210" s="29"/>
      <c r="AT210" s="29"/>
      <c r="AU210" s="29"/>
      <c r="AV210" s="29"/>
      <c r="AW210" s="29"/>
      <c r="AX210" s="29"/>
    </row>
    <row r="211">
      <c r="A211" s="20"/>
      <c r="B211" s="20"/>
      <c r="C211" s="20"/>
      <c r="D211" s="46"/>
      <c r="E211" s="20"/>
      <c r="F211" s="20"/>
      <c r="G211" s="20"/>
      <c r="H211" s="20"/>
      <c r="I211" s="20"/>
      <c r="J211" s="45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9"/>
      <c r="AQ211" s="29"/>
      <c r="AR211" s="29"/>
      <c r="AS211" s="29"/>
      <c r="AT211" s="29"/>
      <c r="AU211" s="29"/>
      <c r="AV211" s="29"/>
      <c r="AW211" s="29"/>
      <c r="AX211" s="29"/>
    </row>
    <row r="212">
      <c r="A212" s="20"/>
      <c r="B212" s="20"/>
      <c r="C212" s="20"/>
      <c r="D212" s="46"/>
      <c r="E212" s="20"/>
      <c r="F212" s="20"/>
      <c r="G212" s="20"/>
      <c r="H212" s="20"/>
      <c r="I212" s="20"/>
      <c r="J212" s="45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9"/>
      <c r="AQ212" s="29"/>
      <c r="AR212" s="29"/>
      <c r="AS212" s="29"/>
      <c r="AT212" s="29"/>
      <c r="AU212" s="29"/>
      <c r="AV212" s="29"/>
      <c r="AW212" s="29"/>
      <c r="AX212" s="29"/>
    </row>
    <row r="213">
      <c r="A213" s="20"/>
      <c r="B213" s="20"/>
      <c r="C213" s="20"/>
      <c r="D213" s="46"/>
      <c r="E213" s="20"/>
      <c r="F213" s="20"/>
      <c r="G213" s="20"/>
      <c r="H213" s="20"/>
      <c r="I213" s="20"/>
      <c r="J213" s="45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9"/>
      <c r="AQ213" s="29"/>
      <c r="AR213" s="29"/>
      <c r="AS213" s="29"/>
      <c r="AT213" s="29"/>
      <c r="AU213" s="29"/>
      <c r="AV213" s="29"/>
      <c r="AW213" s="29"/>
      <c r="AX213" s="29"/>
    </row>
    <row r="214">
      <c r="A214" s="20"/>
      <c r="B214" s="20"/>
      <c r="C214" s="20"/>
      <c r="D214" s="46"/>
      <c r="E214" s="20"/>
      <c r="F214" s="20"/>
      <c r="G214" s="20"/>
      <c r="H214" s="20"/>
      <c r="I214" s="20"/>
      <c r="J214" s="45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9"/>
      <c r="AQ214" s="29"/>
      <c r="AR214" s="29"/>
      <c r="AS214" s="29"/>
      <c r="AT214" s="29"/>
      <c r="AU214" s="29"/>
      <c r="AV214" s="29"/>
      <c r="AW214" s="29"/>
      <c r="AX214" s="29"/>
    </row>
    <row r="215">
      <c r="A215" s="20"/>
      <c r="B215" s="20"/>
      <c r="C215" s="20"/>
      <c r="D215" s="46"/>
      <c r="E215" s="20"/>
      <c r="F215" s="20"/>
      <c r="G215" s="20"/>
      <c r="H215" s="20"/>
      <c r="I215" s="20"/>
      <c r="J215" s="45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9"/>
      <c r="AQ215" s="29"/>
      <c r="AR215" s="29"/>
      <c r="AS215" s="29"/>
      <c r="AT215" s="29"/>
      <c r="AU215" s="29"/>
      <c r="AV215" s="29"/>
      <c r="AW215" s="29"/>
      <c r="AX215" s="29"/>
    </row>
    <row r="216">
      <c r="A216" s="20"/>
      <c r="B216" s="20"/>
      <c r="C216" s="20"/>
      <c r="D216" s="46"/>
      <c r="E216" s="20"/>
      <c r="F216" s="20"/>
      <c r="G216" s="20"/>
      <c r="H216" s="20"/>
      <c r="I216" s="20"/>
      <c r="J216" s="45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9"/>
      <c r="AQ216" s="29"/>
      <c r="AR216" s="29"/>
      <c r="AS216" s="29"/>
      <c r="AT216" s="29"/>
      <c r="AU216" s="29"/>
      <c r="AV216" s="29"/>
      <c r="AW216" s="29"/>
      <c r="AX216" s="29"/>
    </row>
    <row r="217">
      <c r="A217" s="20"/>
      <c r="B217" s="20"/>
      <c r="C217" s="20"/>
      <c r="D217" s="46"/>
      <c r="E217" s="20"/>
      <c r="F217" s="20"/>
      <c r="G217" s="20"/>
      <c r="H217" s="20"/>
      <c r="I217" s="20"/>
      <c r="J217" s="45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9"/>
      <c r="AQ217" s="29"/>
      <c r="AR217" s="29"/>
      <c r="AS217" s="29"/>
      <c r="AT217" s="29"/>
      <c r="AU217" s="29"/>
      <c r="AV217" s="29"/>
      <c r="AW217" s="29"/>
      <c r="AX217" s="29"/>
    </row>
    <row r="218">
      <c r="A218" s="20"/>
      <c r="B218" s="20"/>
      <c r="C218" s="20"/>
      <c r="D218" s="46"/>
      <c r="E218" s="20"/>
      <c r="F218" s="20"/>
      <c r="G218" s="20"/>
      <c r="H218" s="20"/>
      <c r="I218" s="20"/>
      <c r="J218" s="45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9"/>
      <c r="AQ218" s="29"/>
      <c r="AR218" s="29"/>
      <c r="AS218" s="29"/>
      <c r="AT218" s="29"/>
      <c r="AU218" s="29"/>
      <c r="AV218" s="29"/>
      <c r="AW218" s="29"/>
      <c r="AX218" s="29"/>
    </row>
    <row r="219">
      <c r="A219" s="20"/>
      <c r="B219" s="20"/>
      <c r="C219" s="20"/>
      <c r="D219" s="46"/>
      <c r="E219" s="20"/>
      <c r="F219" s="20"/>
      <c r="G219" s="20"/>
      <c r="H219" s="20"/>
      <c r="I219" s="20"/>
      <c r="J219" s="45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9"/>
      <c r="AQ219" s="29"/>
      <c r="AR219" s="29"/>
      <c r="AS219" s="29"/>
      <c r="AT219" s="29"/>
      <c r="AU219" s="29"/>
      <c r="AV219" s="29"/>
      <c r="AW219" s="29"/>
      <c r="AX219" s="29"/>
    </row>
    <row r="220">
      <c r="A220" s="20"/>
      <c r="B220" s="20"/>
      <c r="C220" s="20"/>
      <c r="D220" s="46"/>
      <c r="E220" s="20"/>
      <c r="F220" s="20"/>
      <c r="G220" s="20"/>
      <c r="H220" s="20"/>
      <c r="I220" s="20"/>
      <c r="J220" s="45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9"/>
      <c r="AQ220" s="29"/>
      <c r="AR220" s="29"/>
      <c r="AS220" s="29"/>
      <c r="AT220" s="29"/>
      <c r="AU220" s="29"/>
      <c r="AV220" s="29"/>
      <c r="AW220" s="29"/>
      <c r="AX220" s="29"/>
    </row>
    <row r="221">
      <c r="A221" s="20"/>
      <c r="B221" s="20"/>
      <c r="C221" s="20"/>
      <c r="D221" s="46"/>
      <c r="E221" s="20"/>
      <c r="F221" s="20"/>
      <c r="G221" s="20"/>
      <c r="H221" s="20"/>
      <c r="I221" s="20"/>
      <c r="J221" s="45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9"/>
      <c r="AQ221" s="29"/>
      <c r="AR221" s="29"/>
      <c r="AS221" s="29"/>
      <c r="AT221" s="29"/>
      <c r="AU221" s="29"/>
      <c r="AV221" s="29"/>
      <c r="AW221" s="29"/>
      <c r="AX221" s="29"/>
    </row>
    <row r="222">
      <c r="A222" s="20"/>
      <c r="B222" s="20"/>
      <c r="C222" s="20"/>
      <c r="D222" s="46"/>
      <c r="E222" s="20"/>
      <c r="F222" s="20"/>
      <c r="G222" s="20"/>
      <c r="H222" s="20"/>
      <c r="I222" s="20"/>
      <c r="J222" s="45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9"/>
      <c r="AQ222" s="29"/>
      <c r="AR222" s="29"/>
      <c r="AS222" s="29"/>
      <c r="AT222" s="29"/>
      <c r="AU222" s="29"/>
      <c r="AV222" s="29"/>
      <c r="AW222" s="29"/>
      <c r="AX222" s="29"/>
    </row>
    <row r="223">
      <c r="A223" s="20"/>
      <c r="B223" s="20"/>
      <c r="C223" s="20"/>
      <c r="D223" s="46"/>
      <c r="E223" s="20"/>
      <c r="F223" s="20"/>
      <c r="G223" s="20"/>
      <c r="H223" s="20"/>
      <c r="I223" s="20"/>
      <c r="J223" s="45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9"/>
      <c r="AQ223" s="29"/>
      <c r="AR223" s="29"/>
      <c r="AS223" s="29"/>
      <c r="AT223" s="29"/>
      <c r="AU223" s="29"/>
      <c r="AV223" s="29"/>
      <c r="AW223" s="29"/>
      <c r="AX223" s="29"/>
    </row>
    <row r="224">
      <c r="A224" s="20"/>
      <c r="B224" s="20"/>
      <c r="C224" s="20"/>
      <c r="D224" s="46"/>
      <c r="E224" s="20"/>
      <c r="F224" s="20"/>
      <c r="G224" s="20"/>
      <c r="H224" s="20"/>
      <c r="I224" s="20"/>
      <c r="J224" s="45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9"/>
      <c r="AQ224" s="29"/>
      <c r="AR224" s="29"/>
      <c r="AS224" s="29"/>
      <c r="AT224" s="29"/>
      <c r="AU224" s="29"/>
      <c r="AV224" s="29"/>
      <c r="AW224" s="29"/>
      <c r="AX224" s="29"/>
    </row>
    <row r="225">
      <c r="A225" s="20"/>
      <c r="B225" s="20"/>
      <c r="C225" s="20"/>
      <c r="D225" s="46"/>
      <c r="E225" s="20"/>
      <c r="F225" s="20"/>
      <c r="G225" s="20"/>
      <c r="H225" s="20"/>
      <c r="I225" s="20"/>
      <c r="J225" s="45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9"/>
      <c r="AQ225" s="29"/>
      <c r="AR225" s="29"/>
      <c r="AS225" s="29"/>
      <c r="AT225" s="29"/>
      <c r="AU225" s="29"/>
      <c r="AV225" s="29"/>
      <c r="AW225" s="29"/>
      <c r="AX225" s="29"/>
    </row>
    <row r="226">
      <c r="A226" s="20"/>
      <c r="B226" s="20"/>
      <c r="C226" s="20"/>
      <c r="D226" s="46"/>
      <c r="E226" s="20"/>
      <c r="F226" s="20"/>
      <c r="G226" s="20"/>
      <c r="H226" s="20"/>
      <c r="I226" s="20"/>
      <c r="J226" s="45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9"/>
      <c r="AQ226" s="29"/>
      <c r="AR226" s="29"/>
      <c r="AS226" s="29"/>
      <c r="AT226" s="29"/>
      <c r="AU226" s="29"/>
      <c r="AV226" s="29"/>
      <c r="AW226" s="29"/>
      <c r="AX226" s="29"/>
    </row>
    <row r="227">
      <c r="A227" s="20"/>
      <c r="B227" s="20"/>
      <c r="C227" s="20"/>
      <c r="D227" s="46"/>
      <c r="E227" s="20"/>
      <c r="F227" s="20"/>
      <c r="G227" s="20"/>
      <c r="H227" s="20"/>
      <c r="I227" s="20"/>
      <c r="J227" s="45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9"/>
      <c r="AQ227" s="29"/>
      <c r="AR227" s="29"/>
      <c r="AS227" s="29"/>
      <c r="AT227" s="29"/>
      <c r="AU227" s="29"/>
      <c r="AV227" s="29"/>
      <c r="AW227" s="29"/>
      <c r="AX227" s="29"/>
    </row>
    <row r="228">
      <c r="A228" s="20"/>
      <c r="B228" s="20"/>
      <c r="C228" s="20"/>
      <c r="D228" s="46"/>
      <c r="E228" s="20"/>
      <c r="F228" s="20"/>
      <c r="G228" s="20"/>
      <c r="H228" s="20"/>
      <c r="I228" s="20"/>
      <c r="J228" s="45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9"/>
      <c r="AQ228" s="29"/>
      <c r="AR228" s="29"/>
      <c r="AS228" s="29"/>
      <c r="AT228" s="29"/>
      <c r="AU228" s="29"/>
      <c r="AV228" s="29"/>
      <c r="AW228" s="29"/>
      <c r="AX228" s="29"/>
    </row>
    <row r="229">
      <c r="A229" s="20"/>
      <c r="B229" s="20"/>
      <c r="C229" s="20"/>
      <c r="D229" s="46"/>
      <c r="E229" s="20"/>
      <c r="F229" s="20"/>
      <c r="G229" s="20"/>
      <c r="H229" s="20"/>
      <c r="I229" s="20"/>
      <c r="J229" s="45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9"/>
      <c r="AQ229" s="29"/>
      <c r="AR229" s="29"/>
      <c r="AS229" s="29"/>
      <c r="AT229" s="29"/>
      <c r="AU229" s="29"/>
      <c r="AV229" s="29"/>
      <c r="AW229" s="29"/>
      <c r="AX229" s="29"/>
    </row>
    <row r="230">
      <c r="A230" s="20"/>
      <c r="B230" s="20"/>
      <c r="C230" s="20"/>
      <c r="D230" s="46"/>
      <c r="E230" s="20"/>
      <c r="F230" s="20"/>
      <c r="G230" s="20"/>
      <c r="H230" s="20"/>
      <c r="I230" s="20"/>
      <c r="J230" s="45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9"/>
      <c r="AQ230" s="29"/>
      <c r="AR230" s="29"/>
      <c r="AS230" s="29"/>
      <c r="AT230" s="29"/>
      <c r="AU230" s="29"/>
      <c r="AV230" s="29"/>
      <c r="AW230" s="29"/>
      <c r="AX230" s="29"/>
    </row>
    <row r="231">
      <c r="A231" s="20"/>
      <c r="B231" s="20"/>
      <c r="C231" s="20"/>
      <c r="D231" s="46"/>
      <c r="E231" s="20"/>
      <c r="F231" s="20"/>
      <c r="G231" s="20"/>
      <c r="H231" s="20"/>
      <c r="I231" s="20"/>
      <c r="J231" s="45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9"/>
      <c r="AQ231" s="29"/>
      <c r="AR231" s="29"/>
      <c r="AS231" s="29"/>
      <c r="AT231" s="29"/>
      <c r="AU231" s="29"/>
      <c r="AV231" s="29"/>
      <c r="AW231" s="29"/>
      <c r="AX231" s="29"/>
    </row>
    <row r="232">
      <c r="A232" s="20"/>
      <c r="B232" s="20"/>
      <c r="C232" s="20"/>
      <c r="D232" s="46"/>
      <c r="E232" s="20"/>
      <c r="F232" s="20"/>
      <c r="G232" s="20"/>
      <c r="H232" s="20"/>
      <c r="I232" s="20"/>
      <c r="J232" s="45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9"/>
      <c r="AQ232" s="29"/>
      <c r="AR232" s="29"/>
      <c r="AS232" s="29"/>
      <c r="AT232" s="29"/>
      <c r="AU232" s="29"/>
      <c r="AV232" s="29"/>
      <c r="AW232" s="29"/>
      <c r="AX232" s="29"/>
    </row>
    <row r="233">
      <c r="A233" s="20"/>
      <c r="B233" s="20"/>
      <c r="C233" s="20"/>
      <c r="D233" s="46"/>
      <c r="E233" s="20"/>
      <c r="F233" s="20"/>
      <c r="G233" s="20"/>
      <c r="H233" s="20"/>
      <c r="I233" s="20"/>
      <c r="J233" s="45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9"/>
      <c r="AQ233" s="29"/>
      <c r="AR233" s="29"/>
      <c r="AS233" s="29"/>
      <c r="AT233" s="29"/>
      <c r="AU233" s="29"/>
      <c r="AV233" s="29"/>
      <c r="AW233" s="29"/>
      <c r="AX233" s="29"/>
    </row>
    <row r="234">
      <c r="A234" s="20"/>
      <c r="B234" s="20"/>
      <c r="C234" s="20"/>
      <c r="D234" s="46"/>
      <c r="E234" s="20"/>
      <c r="F234" s="20"/>
      <c r="G234" s="20"/>
      <c r="H234" s="20"/>
      <c r="I234" s="20"/>
      <c r="J234" s="45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9"/>
      <c r="AQ234" s="29"/>
      <c r="AR234" s="29"/>
      <c r="AS234" s="29"/>
      <c r="AT234" s="29"/>
      <c r="AU234" s="29"/>
      <c r="AV234" s="29"/>
      <c r="AW234" s="29"/>
      <c r="AX234" s="29"/>
    </row>
    <row r="235">
      <c r="A235" s="20"/>
      <c r="B235" s="20"/>
      <c r="C235" s="20"/>
      <c r="D235" s="46"/>
      <c r="E235" s="20"/>
      <c r="F235" s="20"/>
      <c r="G235" s="20"/>
      <c r="H235" s="20"/>
      <c r="I235" s="20"/>
      <c r="J235" s="45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9"/>
      <c r="AQ235" s="29"/>
      <c r="AR235" s="29"/>
      <c r="AS235" s="29"/>
      <c r="AT235" s="29"/>
      <c r="AU235" s="29"/>
      <c r="AV235" s="29"/>
      <c r="AW235" s="29"/>
      <c r="AX235" s="29"/>
    </row>
    <row r="236">
      <c r="A236" s="20"/>
      <c r="B236" s="20"/>
      <c r="C236" s="20"/>
      <c r="D236" s="46"/>
      <c r="E236" s="20"/>
      <c r="F236" s="20"/>
      <c r="G236" s="20"/>
      <c r="H236" s="20"/>
      <c r="I236" s="20"/>
      <c r="J236" s="45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9"/>
      <c r="AQ236" s="29"/>
      <c r="AR236" s="29"/>
      <c r="AS236" s="29"/>
      <c r="AT236" s="29"/>
      <c r="AU236" s="29"/>
      <c r="AV236" s="29"/>
      <c r="AW236" s="29"/>
      <c r="AX236" s="29"/>
    </row>
    <row r="237">
      <c r="A237" s="20"/>
      <c r="B237" s="20"/>
      <c r="C237" s="20"/>
      <c r="D237" s="46"/>
      <c r="E237" s="20"/>
      <c r="F237" s="20"/>
      <c r="G237" s="20"/>
      <c r="H237" s="20"/>
      <c r="I237" s="20"/>
      <c r="J237" s="45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9"/>
      <c r="AQ237" s="29"/>
      <c r="AR237" s="29"/>
      <c r="AS237" s="29"/>
      <c r="AT237" s="29"/>
      <c r="AU237" s="29"/>
      <c r="AV237" s="29"/>
      <c r="AW237" s="29"/>
      <c r="AX237" s="29"/>
    </row>
    <row r="238">
      <c r="A238" s="20"/>
      <c r="B238" s="20"/>
      <c r="C238" s="20"/>
      <c r="D238" s="46"/>
      <c r="E238" s="20"/>
      <c r="F238" s="20"/>
      <c r="G238" s="20"/>
      <c r="H238" s="20"/>
      <c r="I238" s="20"/>
      <c r="J238" s="45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9"/>
      <c r="AQ238" s="29"/>
      <c r="AR238" s="29"/>
      <c r="AS238" s="29"/>
      <c r="AT238" s="29"/>
      <c r="AU238" s="29"/>
      <c r="AV238" s="29"/>
      <c r="AW238" s="29"/>
      <c r="AX238" s="29"/>
    </row>
    <row r="239">
      <c r="A239" s="20"/>
      <c r="B239" s="20"/>
      <c r="C239" s="20"/>
      <c r="D239" s="46"/>
      <c r="E239" s="20"/>
      <c r="F239" s="20"/>
      <c r="G239" s="20"/>
      <c r="H239" s="20"/>
      <c r="I239" s="20"/>
      <c r="J239" s="45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9"/>
      <c r="AQ239" s="29"/>
      <c r="AR239" s="29"/>
      <c r="AS239" s="29"/>
      <c r="AT239" s="29"/>
      <c r="AU239" s="29"/>
      <c r="AV239" s="29"/>
      <c r="AW239" s="29"/>
      <c r="AX239" s="29"/>
    </row>
    <row r="240">
      <c r="A240" s="20"/>
      <c r="B240" s="20"/>
      <c r="C240" s="20"/>
      <c r="D240" s="46"/>
      <c r="E240" s="20"/>
      <c r="F240" s="20"/>
      <c r="G240" s="20"/>
      <c r="H240" s="20"/>
      <c r="I240" s="20"/>
      <c r="J240" s="45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9"/>
      <c r="AQ240" s="29"/>
      <c r="AR240" s="29"/>
      <c r="AS240" s="29"/>
      <c r="AT240" s="29"/>
      <c r="AU240" s="29"/>
      <c r="AV240" s="29"/>
      <c r="AW240" s="29"/>
      <c r="AX240" s="29"/>
    </row>
    <row r="241">
      <c r="A241" s="20"/>
      <c r="B241" s="20"/>
      <c r="C241" s="20"/>
      <c r="D241" s="46"/>
      <c r="E241" s="20"/>
      <c r="F241" s="20"/>
      <c r="G241" s="20"/>
      <c r="H241" s="20"/>
      <c r="I241" s="20"/>
      <c r="J241" s="45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9"/>
      <c r="AQ241" s="29"/>
      <c r="AR241" s="29"/>
      <c r="AS241" s="29"/>
      <c r="AT241" s="29"/>
      <c r="AU241" s="29"/>
      <c r="AV241" s="29"/>
      <c r="AW241" s="29"/>
      <c r="AX241" s="29"/>
    </row>
    <row r="242">
      <c r="A242" s="20"/>
      <c r="B242" s="20"/>
      <c r="C242" s="20"/>
      <c r="D242" s="46"/>
      <c r="E242" s="20"/>
      <c r="F242" s="20"/>
      <c r="G242" s="20"/>
      <c r="H242" s="20"/>
      <c r="I242" s="20"/>
      <c r="J242" s="45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9"/>
      <c r="AQ242" s="29"/>
      <c r="AR242" s="29"/>
      <c r="AS242" s="29"/>
      <c r="AT242" s="29"/>
      <c r="AU242" s="29"/>
      <c r="AV242" s="29"/>
      <c r="AW242" s="29"/>
      <c r="AX242" s="29"/>
    </row>
    <row r="243">
      <c r="A243" s="20"/>
      <c r="B243" s="20"/>
      <c r="C243" s="20"/>
      <c r="D243" s="46"/>
      <c r="E243" s="20"/>
      <c r="F243" s="20"/>
      <c r="G243" s="20"/>
      <c r="H243" s="20"/>
      <c r="I243" s="20"/>
      <c r="J243" s="45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9"/>
      <c r="AQ243" s="29"/>
      <c r="AR243" s="29"/>
      <c r="AS243" s="29"/>
      <c r="AT243" s="29"/>
      <c r="AU243" s="29"/>
      <c r="AV243" s="29"/>
      <c r="AW243" s="29"/>
      <c r="AX243" s="29"/>
    </row>
    <row r="244">
      <c r="A244" s="20"/>
      <c r="B244" s="20"/>
      <c r="C244" s="20"/>
      <c r="D244" s="46"/>
      <c r="E244" s="20"/>
      <c r="F244" s="20"/>
      <c r="G244" s="20"/>
      <c r="H244" s="20"/>
      <c r="I244" s="20"/>
      <c r="J244" s="45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9"/>
      <c r="AQ244" s="29"/>
      <c r="AR244" s="29"/>
      <c r="AS244" s="29"/>
      <c r="AT244" s="29"/>
      <c r="AU244" s="29"/>
      <c r="AV244" s="29"/>
      <c r="AW244" s="29"/>
      <c r="AX244" s="29"/>
    </row>
    <row r="245">
      <c r="A245" s="20"/>
      <c r="B245" s="20"/>
      <c r="C245" s="20"/>
      <c r="D245" s="46"/>
      <c r="E245" s="20"/>
      <c r="F245" s="20"/>
      <c r="G245" s="20"/>
      <c r="H245" s="20"/>
      <c r="I245" s="20"/>
      <c r="J245" s="45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9"/>
      <c r="AQ245" s="29"/>
      <c r="AR245" s="29"/>
      <c r="AS245" s="29"/>
      <c r="AT245" s="29"/>
      <c r="AU245" s="29"/>
      <c r="AV245" s="29"/>
      <c r="AW245" s="29"/>
      <c r="AX245" s="29"/>
    </row>
    <row r="246">
      <c r="A246" s="20"/>
      <c r="B246" s="20"/>
      <c r="C246" s="20"/>
      <c r="D246" s="46"/>
      <c r="E246" s="20"/>
      <c r="F246" s="20"/>
      <c r="G246" s="20"/>
      <c r="H246" s="20"/>
      <c r="I246" s="20"/>
      <c r="J246" s="45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9"/>
      <c r="AQ246" s="29"/>
      <c r="AR246" s="29"/>
      <c r="AS246" s="29"/>
      <c r="AT246" s="29"/>
      <c r="AU246" s="29"/>
      <c r="AV246" s="29"/>
      <c r="AW246" s="29"/>
      <c r="AX246" s="29"/>
    </row>
    <row r="247">
      <c r="A247" s="20"/>
      <c r="B247" s="20"/>
      <c r="C247" s="20"/>
      <c r="D247" s="46"/>
      <c r="E247" s="20"/>
      <c r="F247" s="20"/>
      <c r="G247" s="20"/>
      <c r="H247" s="20"/>
      <c r="I247" s="20"/>
      <c r="J247" s="45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9"/>
      <c r="AQ247" s="29"/>
      <c r="AR247" s="29"/>
      <c r="AS247" s="29"/>
      <c r="AT247" s="29"/>
      <c r="AU247" s="29"/>
      <c r="AV247" s="29"/>
      <c r="AW247" s="29"/>
      <c r="AX247" s="29"/>
    </row>
    <row r="248">
      <c r="A248" s="20"/>
      <c r="B248" s="20"/>
      <c r="C248" s="20"/>
      <c r="D248" s="46"/>
      <c r="E248" s="20"/>
      <c r="F248" s="20"/>
      <c r="G248" s="20"/>
      <c r="H248" s="20"/>
      <c r="I248" s="20"/>
      <c r="J248" s="45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9"/>
      <c r="AQ248" s="29"/>
      <c r="AR248" s="29"/>
      <c r="AS248" s="29"/>
      <c r="AT248" s="29"/>
      <c r="AU248" s="29"/>
      <c r="AV248" s="29"/>
      <c r="AW248" s="29"/>
      <c r="AX248" s="29"/>
    </row>
    <row r="249">
      <c r="A249" s="20"/>
      <c r="B249" s="20"/>
      <c r="C249" s="20"/>
      <c r="D249" s="46"/>
      <c r="E249" s="20"/>
      <c r="F249" s="20"/>
      <c r="G249" s="20"/>
      <c r="H249" s="20"/>
      <c r="I249" s="20"/>
      <c r="J249" s="45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9"/>
      <c r="AQ249" s="29"/>
      <c r="AR249" s="29"/>
      <c r="AS249" s="29"/>
      <c r="AT249" s="29"/>
      <c r="AU249" s="29"/>
      <c r="AV249" s="29"/>
      <c r="AW249" s="29"/>
      <c r="AX249" s="29"/>
    </row>
    <row r="250">
      <c r="A250" s="20"/>
      <c r="B250" s="20"/>
      <c r="C250" s="20"/>
      <c r="D250" s="46"/>
      <c r="E250" s="20"/>
      <c r="F250" s="20"/>
      <c r="G250" s="20"/>
      <c r="H250" s="20"/>
      <c r="I250" s="20"/>
      <c r="J250" s="45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9"/>
      <c r="AQ250" s="29"/>
      <c r="AR250" s="29"/>
      <c r="AS250" s="29"/>
      <c r="AT250" s="29"/>
      <c r="AU250" s="29"/>
      <c r="AV250" s="29"/>
      <c r="AW250" s="29"/>
      <c r="AX250" s="29"/>
    </row>
    <row r="251">
      <c r="A251" s="20"/>
      <c r="B251" s="20"/>
      <c r="C251" s="20"/>
      <c r="D251" s="46"/>
      <c r="E251" s="20"/>
      <c r="F251" s="20"/>
      <c r="G251" s="20"/>
      <c r="H251" s="20"/>
      <c r="I251" s="20"/>
      <c r="J251" s="45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9"/>
      <c r="AQ251" s="29"/>
      <c r="AR251" s="29"/>
      <c r="AS251" s="29"/>
      <c r="AT251" s="29"/>
      <c r="AU251" s="29"/>
      <c r="AV251" s="29"/>
      <c r="AW251" s="29"/>
      <c r="AX251" s="29"/>
    </row>
    <row r="252">
      <c r="A252" s="20"/>
      <c r="B252" s="20"/>
      <c r="C252" s="20"/>
      <c r="D252" s="46"/>
      <c r="E252" s="20"/>
      <c r="F252" s="20"/>
      <c r="G252" s="20"/>
      <c r="H252" s="20"/>
      <c r="I252" s="20"/>
      <c r="J252" s="45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9"/>
      <c r="AQ252" s="29"/>
      <c r="AR252" s="29"/>
      <c r="AS252" s="29"/>
      <c r="AT252" s="29"/>
      <c r="AU252" s="29"/>
      <c r="AV252" s="29"/>
      <c r="AW252" s="29"/>
      <c r="AX252" s="29"/>
    </row>
    <row r="253">
      <c r="A253" s="20"/>
      <c r="B253" s="20"/>
      <c r="C253" s="20"/>
      <c r="D253" s="46"/>
      <c r="E253" s="20"/>
      <c r="F253" s="20"/>
      <c r="G253" s="20"/>
      <c r="H253" s="20"/>
      <c r="I253" s="20"/>
      <c r="J253" s="45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9"/>
      <c r="AQ253" s="29"/>
      <c r="AR253" s="29"/>
      <c r="AS253" s="29"/>
      <c r="AT253" s="29"/>
      <c r="AU253" s="29"/>
      <c r="AV253" s="29"/>
      <c r="AW253" s="29"/>
      <c r="AX253" s="29"/>
    </row>
    <row r="254">
      <c r="A254" s="20"/>
      <c r="B254" s="20"/>
      <c r="C254" s="20"/>
      <c r="D254" s="46"/>
      <c r="E254" s="20"/>
      <c r="F254" s="20"/>
      <c r="G254" s="20"/>
      <c r="H254" s="20"/>
      <c r="I254" s="20"/>
      <c r="J254" s="45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9"/>
      <c r="AQ254" s="29"/>
      <c r="AR254" s="29"/>
      <c r="AS254" s="29"/>
      <c r="AT254" s="29"/>
      <c r="AU254" s="29"/>
      <c r="AV254" s="29"/>
      <c r="AW254" s="29"/>
      <c r="AX254" s="29"/>
    </row>
    <row r="255">
      <c r="A255" s="20"/>
      <c r="B255" s="20"/>
      <c r="C255" s="20"/>
      <c r="D255" s="46"/>
      <c r="E255" s="20"/>
      <c r="F255" s="20"/>
      <c r="G255" s="20"/>
      <c r="H255" s="20"/>
      <c r="I255" s="20"/>
      <c r="J255" s="45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9"/>
      <c r="AQ255" s="29"/>
      <c r="AR255" s="29"/>
      <c r="AS255" s="29"/>
      <c r="AT255" s="29"/>
      <c r="AU255" s="29"/>
      <c r="AV255" s="29"/>
      <c r="AW255" s="29"/>
      <c r="AX255" s="29"/>
    </row>
    <row r="256">
      <c r="A256" s="20"/>
      <c r="B256" s="20"/>
      <c r="C256" s="20"/>
      <c r="D256" s="46"/>
      <c r="E256" s="20"/>
      <c r="F256" s="20"/>
      <c r="G256" s="20"/>
      <c r="H256" s="20"/>
      <c r="I256" s="20"/>
      <c r="J256" s="45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9"/>
      <c r="AQ256" s="29"/>
      <c r="AR256" s="29"/>
      <c r="AS256" s="29"/>
      <c r="AT256" s="29"/>
      <c r="AU256" s="29"/>
      <c r="AV256" s="29"/>
      <c r="AW256" s="29"/>
      <c r="AX256" s="29"/>
    </row>
    <row r="257">
      <c r="A257" s="20"/>
      <c r="B257" s="20"/>
      <c r="C257" s="20"/>
      <c r="D257" s="46"/>
      <c r="E257" s="20"/>
      <c r="F257" s="20"/>
      <c r="G257" s="20"/>
      <c r="H257" s="20"/>
      <c r="I257" s="20"/>
      <c r="J257" s="45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9"/>
      <c r="AQ257" s="29"/>
      <c r="AR257" s="29"/>
      <c r="AS257" s="29"/>
      <c r="AT257" s="29"/>
      <c r="AU257" s="29"/>
      <c r="AV257" s="29"/>
      <c r="AW257" s="29"/>
      <c r="AX257" s="29"/>
    </row>
    <row r="258">
      <c r="A258" s="20"/>
      <c r="B258" s="20"/>
      <c r="C258" s="20"/>
      <c r="D258" s="46"/>
      <c r="E258" s="20"/>
      <c r="F258" s="20"/>
      <c r="G258" s="20"/>
      <c r="H258" s="20"/>
      <c r="I258" s="20"/>
      <c r="J258" s="45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9"/>
      <c r="AQ258" s="29"/>
      <c r="AR258" s="29"/>
      <c r="AS258" s="29"/>
      <c r="AT258" s="29"/>
      <c r="AU258" s="29"/>
      <c r="AV258" s="29"/>
      <c r="AW258" s="29"/>
      <c r="AX258" s="29"/>
    </row>
    <row r="259">
      <c r="A259" s="20"/>
      <c r="B259" s="20"/>
      <c r="C259" s="20"/>
      <c r="D259" s="46"/>
      <c r="E259" s="20"/>
      <c r="F259" s="20"/>
      <c r="G259" s="20"/>
      <c r="H259" s="20"/>
      <c r="I259" s="20"/>
      <c r="J259" s="45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9"/>
      <c r="AQ259" s="29"/>
      <c r="AR259" s="29"/>
      <c r="AS259" s="29"/>
      <c r="AT259" s="29"/>
      <c r="AU259" s="29"/>
      <c r="AV259" s="29"/>
      <c r="AW259" s="29"/>
      <c r="AX259" s="29"/>
    </row>
    <row r="260">
      <c r="A260" s="20"/>
      <c r="B260" s="20"/>
      <c r="C260" s="20"/>
      <c r="D260" s="46"/>
      <c r="E260" s="20"/>
      <c r="F260" s="20"/>
      <c r="G260" s="20"/>
      <c r="H260" s="20"/>
      <c r="I260" s="20"/>
      <c r="J260" s="45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9"/>
      <c r="AQ260" s="29"/>
      <c r="AR260" s="29"/>
      <c r="AS260" s="29"/>
      <c r="AT260" s="29"/>
      <c r="AU260" s="29"/>
      <c r="AV260" s="29"/>
      <c r="AW260" s="29"/>
      <c r="AX260" s="29"/>
    </row>
    <row r="261">
      <c r="A261" s="20"/>
      <c r="B261" s="20"/>
      <c r="C261" s="20"/>
      <c r="D261" s="46"/>
      <c r="E261" s="20"/>
      <c r="F261" s="20"/>
      <c r="G261" s="20"/>
      <c r="H261" s="20"/>
      <c r="I261" s="20"/>
      <c r="J261" s="45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9"/>
      <c r="AQ261" s="29"/>
      <c r="AR261" s="29"/>
      <c r="AS261" s="29"/>
      <c r="AT261" s="29"/>
      <c r="AU261" s="29"/>
      <c r="AV261" s="29"/>
      <c r="AW261" s="29"/>
      <c r="AX261" s="29"/>
    </row>
    <row r="262">
      <c r="A262" s="20"/>
      <c r="B262" s="20"/>
      <c r="C262" s="20"/>
      <c r="D262" s="46"/>
      <c r="E262" s="20"/>
      <c r="F262" s="20"/>
      <c r="G262" s="20"/>
      <c r="H262" s="20"/>
      <c r="I262" s="20"/>
      <c r="J262" s="45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9"/>
      <c r="AQ262" s="29"/>
      <c r="AR262" s="29"/>
      <c r="AS262" s="29"/>
      <c r="AT262" s="29"/>
      <c r="AU262" s="29"/>
      <c r="AV262" s="29"/>
      <c r="AW262" s="29"/>
      <c r="AX262" s="29"/>
    </row>
    <row r="263">
      <c r="A263" s="20"/>
      <c r="B263" s="20"/>
      <c r="C263" s="20"/>
      <c r="D263" s="46"/>
      <c r="E263" s="20"/>
      <c r="F263" s="20"/>
      <c r="G263" s="20"/>
      <c r="H263" s="20"/>
      <c r="I263" s="20"/>
      <c r="J263" s="45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9"/>
      <c r="AQ263" s="29"/>
      <c r="AR263" s="29"/>
      <c r="AS263" s="29"/>
      <c r="AT263" s="29"/>
      <c r="AU263" s="29"/>
      <c r="AV263" s="29"/>
      <c r="AW263" s="29"/>
      <c r="AX263" s="29"/>
    </row>
    <row r="264">
      <c r="A264" s="20"/>
      <c r="B264" s="20"/>
      <c r="C264" s="20"/>
      <c r="D264" s="46"/>
      <c r="E264" s="20"/>
      <c r="F264" s="20"/>
      <c r="G264" s="20"/>
      <c r="H264" s="20"/>
      <c r="I264" s="20"/>
      <c r="J264" s="45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9"/>
      <c r="AQ264" s="29"/>
      <c r="AR264" s="29"/>
      <c r="AS264" s="29"/>
      <c r="AT264" s="29"/>
      <c r="AU264" s="29"/>
      <c r="AV264" s="29"/>
      <c r="AW264" s="29"/>
      <c r="AX264" s="29"/>
    </row>
    <row r="265">
      <c r="A265" s="20"/>
      <c r="B265" s="20"/>
      <c r="C265" s="20"/>
      <c r="D265" s="46"/>
      <c r="E265" s="20"/>
      <c r="F265" s="20"/>
      <c r="G265" s="20"/>
      <c r="H265" s="20"/>
      <c r="I265" s="20"/>
      <c r="J265" s="45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9"/>
      <c r="AQ265" s="29"/>
      <c r="AR265" s="29"/>
      <c r="AS265" s="29"/>
      <c r="AT265" s="29"/>
      <c r="AU265" s="29"/>
      <c r="AV265" s="29"/>
      <c r="AW265" s="29"/>
      <c r="AX265" s="29"/>
    </row>
    <row r="266">
      <c r="A266" s="20"/>
      <c r="B266" s="20"/>
      <c r="C266" s="20"/>
      <c r="D266" s="46"/>
      <c r="E266" s="20"/>
      <c r="F266" s="20"/>
      <c r="G266" s="20"/>
      <c r="H266" s="20"/>
      <c r="I266" s="20"/>
      <c r="J266" s="45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9"/>
      <c r="AQ266" s="29"/>
      <c r="AR266" s="29"/>
      <c r="AS266" s="29"/>
      <c r="AT266" s="29"/>
      <c r="AU266" s="29"/>
      <c r="AV266" s="29"/>
      <c r="AW266" s="29"/>
      <c r="AX266" s="29"/>
    </row>
    <row r="267">
      <c r="A267" s="20"/>
      <c r="B267" s="20"/>
      <c r="C267" s="20"/>
      <c r="D267" s="46"/>
      <c r="E267" s="20"/>
      <c r="F267" s="20"/>
      <c r="G267" s="20"/>
      <c r="H267" s="20"/>
      <c r="I267" s="20"/>
      <c r="J267" s="45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9"/>
      <c r="AQ267" s="29"/>
      <c r="AR267" s="29"/>
      <c r="AS267" s="29"/>
      <c r="AT267" s="29"/>
      <c r="AU267" s="29"/>
      <c r="AV267" s="29"/>
      <c r="AW267" s="29"/>
      <c r="AX267" s="29"/>
    </row>
    <row r="268">
      <c r="A268" s="20"/>
      <c r="B268" s="20"/>
      <c r="C268" s="20"/>
      <c r="D268" s="46"/>
      <c r="E268" s="20"/>
      <c r="F268" s="20"/>
      <c r="G268" s="20"/>
      <c r="H268" s="20"/>
      <c r="I268" s="20"/>
      <c r="J268" s="45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9"/>
      <c r="AQ268" s="29"/>
      <c r="AR268" s="29"/>
      <c r="AS268" s="29"/>
      <c r="AT268" s="29"/>
      <c r="AU268" s="29"/>
      <c r="AV268" s="29"/>
      <c r="AW268" s="29"/>
      <c r="AX268" s="29"/>
    </row>
    <row r="269">
      <c r="A269" s="20"/>
      <c r="B269" s="20"/>
      <c r="C269" s="20"/>
      <c r="D269" s="46"/>
      <c r="E269" s="20"/>
      <c r="F269" s="20"/>
      <c r="G269" s="20"/>
      <c r="H269" s="20"/>
      <c r="I269" s="20"/>
      <c r="J269" s="45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9"/>
      <c r="AQ269" s="29"/>
      <c r="AR269" s="29"/>
      <c r="AS269" s="29"/>
      <c r="AT269" s="29"/>
      <c r="AU269" s="29"/>
      <c r="AV269" s="29"/>
      <c r="AW269" s="29"/>
      <c r="AX269" s="29"/>
    </row>
    <row r="270">
      <c r="A270" s="20"/>
      <c r="B270" s="20"/>
      <c r="C270" s="20"/>
      <c r="D270" s="46"/>
      <c r="E270" s="20"/>
      <c r="F270" s="20"/>
      <c r="G270" s="20"/>
      <c r="H270" s="20"/>
      <c r="I270" s="20"/>
      <c r="J270" s="45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9"/>
      <c r="AQ270" s="29"/>
      <c r="AR270" s="29"/>
      <c r="AS270" s="29"/>
      <c r="AT270" s="29"/>
      <c r="AU270" s="29"/>
      <c r="AV270" s="29"/>
      <c r="AW270" s="29"/>
      <c r="AX270" s="29"/>
    </row>
    <row r="271">
      <c r="A271" s="20"/>
      <c r="B271" s="20"/>
      <c r="C271" s="20"/>
      <c r="D271" s="46"/>
      <c r="E271" s="20"/>
      <c r="F271" s="20"/>
      <c r="G271" s="20"/>
      <c r="H271" s="20"/>
      <c r="I271" s="20"/>
      <c r="J271" s="45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9"/>
      <c r="AQ271" s="29"/>
      <c r="AR271" s="29"/>
      <c r="AS271" s="29"/>
      <c r="AT271" s="29"/>
      <c r="AU271" s="29"/>
      <c r="AV271" s="29"/>
      <c r="AW271" s="29"/>
      <c r="AX271" s="29"/>
    </row>
    <row r="272">
      <c r="A272" s="20"/>
      <c r="B272" s="20"/>
      <c r="C272" s="20"/>
      <c r="D272" s="46"/>
      <c r="E272" s="20"/>
      <c r="F272" s="20"/>
      <c r="G272" s="20"/>
      <c r="H272" s="20"/>
      <c r="I272" s="20"/>
      <c r="J272" s="45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9"/>
      <c r="AQ272" s="29"/>
      <c r="AR272" s="29"/>
      <c r="AS272" s="29"/>
      <c r="AT272" s="29"/>
      <c r="AU272" s="29"/>
      <c r="AV272" s="29"/>
      <c r="AW272" s="29"/>
      <c r="AX272" s="29"/>
    </row>
    <row r="273">
      <c r="A273" s="20"/>
      <c r="B273" s="20"/>
      <c r="C273" s="20"/>
      <c r="D273" s="46"/>
      <c r="E273" s="20"/>
      <c r="F273" s="20"/>
      <c r="G273" s="20"/>
      <c r="H273" s="20"/>
      <c r="I273" s="20"/>
      <c r="J273" s="45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9"/>
      <c r="AQ273" s="29"/>
      <c r="AR273" s="29"/>
      <c r="AS273" s="29"/>
      <c r="AT273" s="29"/>
      <c r="AU273" s="29"/>
      <c r="AV273" s="29"/>
      <c r="AW273" s="29"/>
      <c r="AX273" s="29"/>
    </row>
    <row r="274">
      <c r="A274" s="20"/>
      <c r="B274" s="20"/>
      <c r="C274" s="20"/>
      <c r="D274" s="46"/>
      <c r="E274" s="20"/>
      <c r="F274" s="20"/>
      <c r="G274" s="20"/>
      <c r="H274" s="20"/>
      <c r="I274" s="20"/>
      <c r="J274" s="45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9"/>
      <c r="AQ274" s="29"/>
      <c r="AR274" s="29"/>
      <c r="AS274" s="29"/>
      <c r="AT274" s="29"/>
      <c r="AU274" s="29"/>
      <c r="AV274" s="29"/>
      <c r="AW274" s="29"/>
      <c r="AX274" s="29"/>
    </row>
    <row r="275">
      <c r="A275" s="20"/>
      <c r="B275" s="20"/>
      <c r="C275" s="20"/>
      <c r="D275" s="46"/>
      <c r="E275" s="20"/>
      <c r="F275" s="20"/>
      <c r="G275" s="20"/>
      <c r="H275" s="20"/>
      <c r="I275" s="20"/>
      <c r="J275" s="45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9"/>
      <c r="AQ275" s="29"/>
      <c r="AR275" s="29"/>
      <c r="AS275" s="29"/>
      <c r="AT275" s="29"/>
      <c r="AU275" s="29"/>
      <c r="AV275" s="29"/>
      <c r="AW275" s="29"/>
      <c r="AX275" s="29"/>
    </row>
    <row r="276">
      <c r="A276" s="20"/>
      <c r="B276" s="20"/>
      <c r="C276" s="20"/>
      <c r="D276" s="46"/>
      <c r="E276" s="20"/>
      <c r="F276" s="20"/>
      <c r="G276" s="20"/>
      <c r="H276" s="20"/>
      <c r="I276" s="20"/>
      <c r="J276" s="45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9"/>
      <c r="AQ276" s="29"/>
      <c r="AR276" s="29"/>
      <c r="AS276" s="29"/>
      <c r="AT276" s="29"/>
      <c r="AU276" s="29"/>
      <c r="AV276" s="29"/>
      <c r="AW276" s="29"/>
      <c r="AX276" s="29"/>
    </row>
    <row r="277">
      <c r="A277" s="20"/>
      <c r="B277" s="20"/>
      <c r="C277" s="20"/>
      <c r="D277" s="46"/>
      <c r="E277" s="20"/>
      <c r="F277" s="20"/>
      <c r="G277" s="20"/>
      <c r="H277" s="20"/>
      <c r="I277" s="20"/>
      <c r="J277" s="45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9"/>
      <c r="AQ277" s="29"/>
      <c r="AR277" s="29"/>
      <c r="AS277" s="29"/>
      <c r="AT277" s="29"/>
      <c r="AU277" s="29"/>
      <c r="AV277" s="29"/>
      <c r="AW277" s="29"/>
      <c r="AX277" s="29"/>
    </row>
    <row r="278">
      <c r="A278" s="20"/>
      <c r="B278" s="20"/>
      <c r="C278" s="20"/>
      <c r="D278" s="46"/>
      <c r="E278" s="20"/>
      <c r="F278" s="20"/>
      <c r="G278" s="20"/>
      <c r="H278" s="20"/>
      <c r="I278" s="20"/>
      <c r="J278" s="45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9"/>
      <c r="AQ278" s="29"/>
      <c r="AR278" s="29"/>
      <c r="AS278" s="29"/>
      <c r="AT278" s="29"/>
      <c r="AU278" s="29"/>
      <c r="AV278" s="29"/>
      <c r="AW278" s="29"/>
      <c r="AX278" s="29"/>
    </row>
    <row r="279">
      <c r="A279" s="20"/>
      <c r="B279" s="20"/>
      <c r="C279" s="20"/>
      <c r="D279" s="46"/>
      <c r="E279" s="20"/>
      <c r="F279" s="20"/>
      <c r="G279" s="20"/>
      <c r="H279" s="20"/>
      <c r="I279" s="20"/>
      <c r="J279" s="45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9"/>
      <c r="AQ279" s="29"/>
      <c r="AR279" s="29"/>
      <c r="AS279" s="29"/>
      <c r="AT279" s="29"/>
      <c r="AU279" s="29"/>
      <c r="AV279" s="29"/>
      <c r="AW279" s="29"/>
      <c r="AX279" s="29"/>
    </row>
    <row r="280">
      <c r="A280" s="20"/>
      <c r="B280" s="20"/>
      <c r="C280" s="20"/>
      <c r="D280" s="46"/>
      <c r="E280" s="20"/>
      <c r="F280" s="20"/>
      <c r="G280" s="20"/>
      <c r="H280" s="20"/>
      <c r="I280" s="20"/>
      <c r="J280" s="45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9"/>
      <c r="AQ280" s="29"/>
      <c r="AR280" s="29"/>
      <c r="AS280" s="29"/>
      <c r="AT280" s="29"/>
      <c r="AU280" s="29"/>
      <c r="AV280" s="29"/>
      <c r="AW280" s="29"/>
      <c r="AX280" s="29"/>
    </row>
    <row r="281">
      <c r="A281" s="20"/>
      <c r="B281" s="20"/>
      <c r="C281" s="20"/>
      <c r="D281" s="46"/>
      <c r="E281" s="20"/>
      <c r="F281" s="20"/>
      <c r="G281" s="20"/>
      <c r="H281" s="20"/>
      <c r="I281" s="20"/>
      <c r="J281" s="45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9"/>
      <c r="AQ281" s="29"/>
      <c r="AR281" s="29"/>
      <c r="AS281" s="29"/>
      <c r="AT281" s="29"/>
      <c r="AU281" s="29"/>
      <c r="AV281" s="29"/>
      <c r="AW281" s="29"/>
      <c r="AX281" s="29"/>
    </row>
    <row r="282">
      <c r="A282" s="20"/>
      <c r="B282" s="20"/>
      <c r="C282" s="20"/>
      <c r="D282" s="46"/>
      <c r="E282" s="20"/>
      <c r="F282" s="20"/>
      <c r="G282" s="20"/>
      <c r="H282" s="20"/>
      <c r="I282" s="20"/>
      <c r="J282" s="45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9"/>
      <c r="AQ282" s="29"/>
      <c r="AR282" s="29"/>
      <c r="AS282" s="29"/>
      <c r="AT282" s="29"/>
      <c r="AU282" s="29"/>
      <c r="AV282" s="29"/>
      <c r="AW282" s="29"/>
      <c r="AX282" s="29"/>
    </row>
    <row r="283">
      <c r="A283" s="20"/>
      <c r="B283" s="20"/>
      <c r="C283" s="20"/>
      <c r="D283" s="46"/>
      <c r="E283" s="20"/>
      <c r="F283" s="20"/>
      <c r="G283" s="20"/>
      <c r="H283" s="20"/>
      <c r="I283" s="20"/>
      <c r="J283" s="45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9"/>
      <c r="AQ283" s="29"/>
      <c r="AR283" s="29"/>
      <c r="AS283" s="29"/>
      <c r="AT283" s="29"/>
      <c r="AU283" s="29"/>
      <c r="AV283" s="29"/>
      <c r="AW283" s="29"/>
      <c r="AX283" s="29"/>
    </row>
    <row r="284">
      <c r="A284" s="20"/>
      <c r="B284" s="20"/>
      <c r="C284" s="20"/>
      <c r="D284" s="46"/>
      <c r="E284" s="20"/>
      <c r="F284" s="20"/>
      <c r="G284" s="20"/>
      <c r="H284" s="20"/>
      <c r="I284" s="20"/>
      <c r="J284" s="45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9"/>
      <c r="AQ284" s="29"/>
      <c r="AR284" s="29"/>
      <c r="AS284" s="29"/>
      <c r="AT284" s="29"/>
      <c r="AU284" s="29"/>
      <c r="AV284" s="29"/>
      <c r="AW284" s="29"/>
      <c r="AX284" s="29"/>
    </row>
    <row r="285">
      <c r="A285" s="20"/>
      <c r="B285" s="20"/>
      <c r="C285" s="20"/>
      <c r="D285" s="46"/>
      <c r="E285" s="20"/>
      <c r="F285" s="20"/>
      <c r="G285" s="20"/>
      <c r="H285" s="20"/>
      <c r="I285" s="20"/>
      <c r="J285" s="45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9"/>
      <c r="AQ285" s="29"/>
      <c r="AR285" s="29"/>
      <c r="AS285" s="29"/>
      <c r="AT285" s="29"/>
      <c r="AU285" s="29"/>
      <c r="AV285" s="29"/>
      <c r="AW285" s="29"/>
      <c r="AX285" s="29"/>
    </row>
    <row r="286">
      <c r="A286" s="20"/>
      <c r="B286" s="20"/>
      <c r="C286" s="20"/>
      <c r="D286" s="46"/>
      <c r="E286" s="20"/>
      <c r="F286" s="20"/>
      <c r="G286" s="20"/>
      <c r="H286" s="20"/>
      <c r="I286" s="20"/>
      <c r="J286" s="45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9"/>
      <c r="AQ286" s="29"/>
      <c r="AR286" s="29"/>
      <c r="AS286" s="29"/>
      <c r="AT286" s="29"/>
      <c r="AU286" s="29"/>
      <c r="AV286" s="29"/>
      <c r="AW286" s="29"/>
      <c r="AX286" s="29"/>
    </row>
    <row r="287">
      <c r="A287" s="20"/>
      <c r="B287" s="20"/>
      <c r="C287" s="20"/>
      <c r="D287" s="46"/>
      <c r="E287" s="20"/>
      <c r="F287" s="20"/>
      <c r="G287" s="20"/>
      <c r="H287" s="20"/>
      <c r="I287" s="20"/>
      <c r="J287" s="45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9"/>
      <c r="AQ287" s="29"/>
      <c r="AR287" s="29"/>
      <c r="AS287" s="29"/>
      <c r="AT287" s="29"/>
      <c r="AU287" s="29"/>
      <c r="AV287" s="29"/>
      <c r="AW287" s="29"/>
      <c r="AX287" s="29"/>
    </row>
    <row r="288">
      <c r="A288" s="20"/>
      <c r="B288" s="20"/>
      <c r="C288" s="20"/>
      <c r="D288" s="46"/>
      <c r="E288" s="20"/>
      <c r="F288" s="20"/>
      <c r="G288" s="20"/>
      <c r="H288" s="20"/>
      <c r="I288" s="20"/>
      <c r="J288" s="45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9"/>
      <c r="AQ288" s="29"/>
      <c r="AR288" s="29"/>
      <c r="AS288" s="29"/>
      <c r="AT288" s="29"/>
      <c r="AU288" s="29"/>
      <c r="AV288" s="29"/>
      <c r="AW288" s="29"/>
      <c r="AX288" s="29"/>
    </row>
    <row r="289">
      <c r="A289" s="20"/>
      <c r="B289" s="20"/>
      <c r="C289" s="20"/>
      <c r="D289" s="46"/>
      <c r="E289" s="20"/>
      <c r="F289" s="20"/>
      <c r="G289" s="20"/>
      <c r="H289" s="20"/>
      <c r="I289" s="20"/>
      <c r="J289" s="45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9"/>
      <c r="AQ289" s="29"/>
      <c r="AR289" s="29"/>
      <c r="AS289" s="29"/>
      <c r="AT289" s="29"/>
      <c r="AU289" s="29"/>
      <c r="AV289" s="29"/>
      <c r="AW289" s="29"/>
      <c r="AX289" s="29"/>
    </row>
    <row r="290">
      <c r="A290" s="20"/>
      <c r="B290" s="20"/>
      <c r="C290" s="20"/>
      <c r="D290" s="46"/>
      <c r="E290" s="20"/>
      <c r="F290" s="20"/>
      <c r="G290" s="20"/>
      <c r="H290" s="20"/>
      <c r="I290" s="20"/>
      <c r="J290" s="45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9"/>
      <c r="AQ290" s="29"/>
      <c r="AR290" s="29"/>
      <c r="AS290" s="29"/>
      <c r="AT290" s="29"/>
      <c r="AU290" s="29"/>
      <c r="AV290" s="29"/>
      <c r="AW290" s="29"/>
      <c r="AX290" s="29"/>
    </row>
    <row r="291">
      <c r="A291" s="20"/>
      <c r="B291" s="20"/>
      <c r="C291" s="20"/>
      <c r="D291" s="46"/>
      <c r="E291" s="20"/>
      <c r="F291" s="20"/>
      <c r="G291" s="20"/>
      <c r="H291" s="20"/>
      <c r="I291" s="20"/>
      <c r="J291" s="45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9"/>
      <c r="AQ291" s="29"/>
      <c r="AR291" s="29"/>
      <c r="AS291" s="29"/>
      <c r="AT291" s="29"/>
      <c r="AU291" s="29"/>
      <c r="AV291" s="29"/>
      <c r="AW291" s="29"/>
      <c r="AX291" s="29"/>
    </row>
    <row r="292">
      <c r="A292" s="20"/>
      <c r="B292" s="20"/>
      <c r="C292" s="20"/>
      <c r="D292" s="46"/>
      <c r="E292" s="20"/>
      <c r="F292" s="20"/>
      <c r="G292" s="20"/>
      <c r="H292" s="20"/>
      <c r="I292" s="20"/>
      <c r="J292" s="45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9"/>
      <c r="AQ292" s="29"/>
      <c r="AR292" s="29"/>
      <c r="AS292" s="29"/>
      <c r="AT292" s="29"/>
      <c r="AU292" s="29"/>
      <c r="AV292" s="29"/>
      <c r="AW292" s="29"/>
      <c r="AX292" s="29"/>
    </row>
    <row r="293">
      <c r="A293" s="20"/>
      <c r="B293" s="20"/>
      <c r="C293" s="20"/>
      <c r="D293" s="46"/>
      <c r="E293" s="20"/>
      <c r="F293" s="20"/>
      <c r="G293" s="20"/>
      <c r="H293" s="20"/>
      <c r="I293" s="20"/>
      <c r="J293" s="45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9"/>
      <c r="AQ293" s="29"/>
      <c r="AR293" s="29"/>
      <c r="AS293" s="29"/>
      <c r="AT293" s="29"/>
      <c r="AU293" s="29"/>
      <c r="AV293" s="29"/>
      <c r="AW293" s="29"/>
      <c r="AX293" s="29"/>
    </row>
    <row r="294">
      <c r="A294" s="20"/>
      <c r="B294" s="20"/>
      <c r="C294" s="20"/>
      <c r="D294" s="46"/>
      <c r="E294" s="20"/>
      <c r="F294" s="20"/>
      <c r="G294" s="20"/>
      <c r="H294" s="20"/>
      <c r="I294" s="20"/>
      <c r="J294" s="45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9"/>
      <c r="AQ294" s="29"/>
      <c r="AR294" s="29"/>
      <c r="AS294" s="29"/>
      <c r="AT294" s="29"/>
      <c r="AU294" s="29"/>
      <c r="AV294" s="29"/>
      <c r="AW294" s="29"/>
      <c r="AX294" s="29"/>
    </row>
    <row r="295">
      <c r="A295" s="20"/>
      <c r="B295" s="20"/>
      <c r="C295" s="20"/>
      <c r="D295" s="46"/>
      <c r="E295" s="20"/>
      <c r="F295" s="20"/>
      <c r="G295" s="20"/>
      <c r="H295" s="20"/>
      <c r="I295" s="20"/>
      <c r="J295" s="45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9"/>
      <c r="AQ295" s="29"/>
      <c r="AR295" s="29"/>
      <c r="AS295" s="29"/>
      <c r="AT295" s="29"/>
      <c r="AU295" s="29"/>
      <c r="AV295" s="29"/>
      <c r="AW295" s="29"/>
      <c r="AX295" s="29"/>
    </row>
    <row r="296">
      <c r="A296" s="20"/>
      <c r="B296" s="20"/>
      <c r="C296" s="20"/>
      <c r="D296" s="46"/>
      <c r="E296" s="20"/>
      <c r="F296" s="20"/>
      <c r="G296" s="20"/>
      <c r="H296" s="20"/>
      <c r="I296" s="20"/>
      <c r="J296" s="45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9"/>
      <c r="AQ296" s="29"/>
      <c r="AR296" s="29"/>
      <c r="AS296" s="29"/>
      <c r="AT296" s="29"/>
      <c r="AU296" s="29"/>
      <c r="AV296" s="29"/>
      <c r="AW296" s="29"/>
      <c r="AX296" s="29"/>
    </row>
    <row r="297">
      <c r="A297" s="20"/>
      <c r="B297" s="20"/>
      <c r="C297" s="20"/>
      <c r="D297" s="46"/>
      <c r="E297" s="20"/>
      <c r="F297" s="20"/>
      <c r="G297" s="20"/>
      <c r="H297" s="20"/>
      <c r="I297" s="20"/>
      <c r="J297" s="45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9"/>
      <c r="AQ297" s="29"/>
      <c r="AR297" s="29"/>
      <c r="AS297" s="29"/>
      <c r="AT297" s="29"/>
      <c r="AU297" s="29"/>
      <c r="AV297" s="29"/>
      <c r="AW297" s="29"/>
      <c r="AX297" s="29"/>
    </row>
    <row r="298">
      <c r="A298" s="20"/>
      <c r="B298" s="20"/>
      <c r="C298" s="20"/>
      <c r="D298" s="46"/>
      <c r="E298" s="20"/>
      <c r="F298" s="20"/>
      <c r="G298" s="20"/>
      <c r="H298" s="20"/>
      <c r="I298" s="20"/>
      <c r="J298" s="45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9"/>
      <c r="AQ298" s="29"/>
      <c r="AR298" s="29"/>
      <c r="AS298" s="29"/>
      <c r="AT298" s="29"/>
      <c r="AU298" s="29"/>
      <c r="AV298" s="29"/>
      <c r="AW298" s="29"/>
      <c r="AX298" s="29"/>
    </row>
    <row r="299">
      <c r="A299" s="20"/>
      <c r="B299" s="20"/>
      <c r="C299" s="20"/>
      <c r="D299" s="46"/>
      <c r="E299" s="20"/>
      <c r="F299" s="20"/>
      <c r="G299" s="20"/>
      <c r="H299" s="20"/>
      <c r="I299" s="20"/>
      <c r="J299" s="45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9"/>
      <c r="AQ299" s="29"/>
      <c r="AR299" s="29"/>
      <c r="AS299" s="29"/>
      <c r="AT299" s="29"/>
      <c r="AU299" s="29"/>
      <c r="AV299" s="29"/>
      <c r="AW299" s="29"/>
      <c r="AX299" s="29"/>
    </row>
    <row r="300">
      <c r="A300" s="20"/>
      <c r="B300" s="20"/>
      <c r="C300" s="20"/>
      <c r="D300" s="46"/>
      <c r="E300" s="20"/>
      <c r="F300" s="20"/>
      <c r="G300" s="20"/>
      <c r="H300" s="20"/>
      <c r="I300" s="20"/>
      <c r="J300" s="45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9"/>
      <c r="AQ300" s="29"/>
      <c r="AR300" s="29"/>
      <c r="AS300" s="29"/>
      <c r="AT300" s="29"/>
      <c r="AU300" s="29"/>
      <c r="AV300" s="29"/>
      <c r="AW300" s="29"/>
      <c r="AX300" s="29"/>
    </row>
    <row r="301">
      <c r="A301" s="20"/>
      <c r="B301" s="20"/>
      <c r="C301" s="20"/>
      <c r="D301" s="46"/>
      <c r="E301" s="20"/>
      <c r="F301" s="20"/>
      <c r="G301" s="20"/>
      <c r="H301" s="20"/>
      <c r="I301" s="20"/>
      <c r="J301" s="45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9"/>
      <c r="AQ301" s="29"/>
      <c r="AR301" s="29"/>
      <c r="AS301" s="29"/>
      <c r="AT301" s="29"/>
      <c r="AU301" s="29"/>
      <c r="AV301" s="29"/>
      <c r="AW301" s="29"/>
      <c r="AX301" s="29"/>
    </row>
    <row r="302">
      <c r="A302" s="20"/>
      <c r="B302" s="20"/>
      <c r="C302" s="20"/>
      <c r="D302" s="46"/>
      <c r="E302" s="20"/>
      <c r="F302" s="20"/>
      <c r="G302" s="20"/>
      <c r="H302" s="20"/>
      <c r="I302" s="20"/>
      <c r="J302" s="45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9"/>
      <c r="AQ302" s="29"/>
      <c r="AR302" s="29"/>
      <c r="AS302" s="29"/>
      <c r="AT302" s="29"/>
      <c r="AU302" s="29"/>
      <c r="AV302" s="29"/>
      <c r="AW302" s="29"/>
      <c r="AX302" s="29"/>
    </row>
    <row r="303">
      <c r="A303" s="20"/>
      <c r="B303" s="20"/>
      <c r="C303" s="20"/>
      <c r="D303" s="46"/>
      <c r="E303" s="20"/>
      <c r="F303" s="20"/>
      <c r="G303" s="20"/>
      <c r="H303" s="20"/>
      <c r="I303" s="20"/>
      <c r="J303" s="45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9"/>
      <c r="AQ303" s="29"/>
      <c r="AR303" s="29"/>
      <c r="AS303" s="29"/>
      <c r="AT303" s="29"/>
      <c r="AU303" s="29"/>
      <c r="AV303" s="29"/>
      <c r="AW303" s="29"/>
      <c r="AX303" s="29"/>
    </row>
    <row r="304">
      <c r="A304" s="20"/>
      <c r="B304" s="20"/>
      <c r="C304" s="20"/>
      <c r="D304" s="46"/>
      <c r="E304" s="20"/>
      <c r="F304" s="20"/>
      <c r="G304" s="20"/>
      <c r="H304" s="20"/>
      <c r="I304" s="20"/>
      <c r="J304" s="45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9"/>
      <c r="AQ304" s="29"/>
      <c r="AR304" s="29"/>
      <c r="AS304" s="29"/>
      <c r="AT304" s="29"/>
      <c r="AU304" s="29"/>
      <c r="AV304" s="29"/>
      <c r="AW304" s="29"/>
      <c r="AX304" s="29"/>
    </row>
    <row r="305">
      <c r="A305" s="20"/>
      <c r="B305" s="20"/>
      <c r="C305" s="20"/>
      <c r="D305" s="46"/>
      <c r="E305" s="20"/>
      <c r="F305" s="20"/>
      <c r="G305" s="20"/>
      <c r="H305" s="20"/>
      <c r="I305" s="20"/>
      <c r="J305" s="45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9"/>
      <c r="AQ305" s="29"/>
      <c r="AR305" s="29"/>
      <c r="AS305" s="29"/>
      <c r="AT305" s="29"/>
      <c r="AU305" s="29"/>
      <c r="AV305" s="29"/>
      <c r="AW305" s="29"/>
      <c r="AX305" s="29"/>
    </row>
    <row r="306">
      <c r="A306" s="20"/>
      <c r="B306" s="20"/>
      <c r="C306" s="20"/>
      <c r="D306" s="46"/>
      <c r="E306" s="20"/>
      <c r="F306" s="20"/>
      <c r="G306" s="20"/>
      <c r="H306" s="20"/>
      <c r="I306" s="20"/>
      <c r="J306" s="45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9"/>
      <c r="AQ306" s="29"/>
      <c r="AR306" s="29"/>
      <c r="AS306" s="29"/>
      <c r="AT306" s="29"/>
      <c r="AU306" s="29"/>
      <c r="AV306" s="29"/>
      <c r="AW306" s="29"/>
      <c r="AX306" s="29"/>
    </row>
    <row r="307">
      <c r="A307" s="20"/>
      <c r="B307" s="20"/>
      <c r="C307" s="20"/>
      <c r="D307" s="46"/>
      <c r="E307" s="20"/>
      <c r="F307" s="20"/>
      <c r="G307" s="20"/>
      <c r="H307" s="20"/>
      <c r="I307" s="20"/>
      <c r="J307" s="45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9"/>
      <c r="AQ307" s="29"/>
      <c r="AR307" s="29"/>
      <c r="AS307" s="29"/>
      <c r="AT307" s="29"/>
      <c r="AU307" s="29"/>
      <c r="AV307" s="29"/>
      <c r="AW307" s="29"/>
      <c r="AX307" s="29"/>
    </row>
    <row r="308">
      <c r="A308" s="20"/>
      <c r="B308" s="20"/>
      <c r="C308" s="20"/>
      <c r="D308" s="46"/>
      <c r="E308" s="20"/>
      <c r="F308" s="20"/>
      <c r="G308" s="20"/>
      <c r="H308" s="20"/>
      <c r="I308" s="20"/>
      <c r="J308" s="45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9"/>
      <c r="AQ308" s="29"/>
      <c r="AR308" s="29"/>
      <c r="AS308" s="29"/>
      <c r="AT308" s="29"/>
      <c r="AU308" s="29"/>
      <c r="AV308" s="29"/>
      <c r="AW308" s="29"/>
      <c r="AX308" s="29"/>
    </row>
    <row r="309">
      <c r="A309" s="20"/>
      <c r="B309" s="20"/>
      <c r="C309" s="20"/>
      <c r="D309" s="46"/>
      <c r="E309" s="20"/>
      <c r="F309" s="20"/>
      <c r="G309" s="20"/>
      <c r="H309" s="20"/>
      <c r="I309" s="20"/>
      <c r="J309" s="45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9"/>
      <c r="AQ309" s="29"/>
      <c r="AR309" s="29"/>
      <c r="AS309" s="29"/>
      <c r="AT309" s="29"/>
      <c r="AU309" s="29"/>
      <c r="AV309" s="29"/>
      <c r="AW309" s="29"/>
      <c r="AX309" s="29"/>
    </row>
    <row r="310">
      <c r="A310" s="20"/>
      <c r="B310" s="20"/>
      <c r="C310" s="20"/>
      <c r="D310" s="46"/>
      <c r="E310" s="20"/>
      <c r="F310" s="20"/>
      <c r="G310" s="20"/>
      <c r="H310" s="20"/>
      <c r="I310" s="20"/>
      <c r="J310" s="45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9"/>
      <c r="AQ310" s="29"/>
      <c r="AR310" s="29"/>
      <c r="AS310" s="29"/>
      <c r="AT310" s="29"/>
      <c r="AU310" s="29"/>
      <c r="AV310" s="29"/>
      <c r="AW310" s="29"/>
      <c r="AX310" s="29"/>
    </row>
    <row r="311">
      <c r="A311" s="20"/>
      <c r="B311" s="20"/>
      <c r="C311" s="20"/>
      <c r="D311" s="46"/>
      <c r="E311" s="20"/>
      <c r="F311" s="20"/>
      <c r="G311" s="20"/>
      <c r="H311" s="20"/>
      <c r="I311" s="20"/>
      <c r="J311" s="45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9"/>
      <c r="AQ311" s="29"/>
      <c r="AR311" s="29"/>
      <c r="AS311" s="29"/>
      <c r="AT311" s="29"/>
      <c r="AU311" s="29"/>
      <c r="AV311" s="29"/>
      <c r="AW311" s="29"/>
      <c r="AX311" s="29"/>
    </row>
    <row r="312">
      <c r="A312" s="20"/>
      <c r="B312" s="20"/>
      <c r="C312" s="20"/>
      <c r="D312" s="46"/>
      <c r="E312" s="20"/>
      <c r="F312" s="20"/>
      <c r="G312" s="20"/>
      <c r="H312" s="20"/>
      <c r="I312" s="20"/>
      <c r="J312" s="45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9"/>
      <c r="AQ312" s="29"/>
      <c r="AR312" s="29"/>
      <c r="AS312" s="29"/>
      <c r="AT312" s="29"/>
      <c r="AU312" s="29"/>
      <c r="AV312" s="29"/>
      <c r="AW312" s="29"/>
      <c r="AX312" s="29"/>
    </row>
    <row r="313">
      <c r="A313" s="20"/>
      <c r="B313" s="20"/>
      <c r="C313" s="20"/>
      <c r="D313" s="46"/>
      <c r="E313" s="20"/>
      <c r="F313" s="20"/>
      <c r="G313" s="20"/>
      <c r="H313" s="20"/>
      <c r="I313" s="20"/>
      <c r="J313" s="45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9"/>
      <c r="AQ313" s="29"/>
      <c r="AR313" s="29"/>
      <c r="AS313" s="29"/>
      <c r="AT313" s="29"/>
      <c r="AU313" s="29"/>
      <c r="AV313" s="29"/>
      <c r="AW313" s="29"/>
      <c r="AX313" s="29"/>
    </row>
    <row r="314">
      <c r="A314" s="20"/>
      <c r="B314" s="20"/>
      <c r="C314" s="20"/>
      <c r="D314" s="46"/>
      <c r="E314" s="20"/>
      <c r="F314" s="20"/>
      <c r="G314" s="20"/>
      <c r="H314" s="20"/>
      <c r="I314" s="20"/>
      <c r="J314" s="45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9"/>
      <c r="AQ314" s="29"/>
      <c r="AR314" s="29"/>
      <c r="AS314" s="29"/>
      <c r="AT314" s="29"/>
      <c r="AU314" s="29"/>
      <c r="AV314" s="29"/>
      <c r="AW314" s="29"/>
      <c r="AX314" s="29"/>
    </row>
    <row r="315">
      <c r="A315" s="20"/>
      <c r="B315" s="20"/>
      <c r="C315" s="20"/>
      <c r="D315" s="46"/>
      <c r="E315" s="20"/>
      <c r="F315" s="20"/>
      <c r="G315" s="20"/>
      <c r="H315" s="20"/>
      <c r="I315" s="20"/>
      <c r="J315" s="45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9"/>
      <c r="AQ315" s="29"/>
      <c r="AR315" s="29"/>
      <c r="AS315" s="29"/>
      <c r="AT315" s="29"/>
      <c r="AU315" s="29"/>
      <c r="AV315" s="29"/>
      <c r="AW315" s="29"/>
      <c r="AX315" s="29"/>
    </row>
    <row r="316">
      <c r="A316" s="20"/>
      <c r="B316" s="20"/>
      <c r="C316" s="20"/>
      <c r="D316" s="46"/>
      <c r="E316" s="20"/>
      <c r="F316" s="20"/>
      <c r="G316" s="20"/>
      <c r="H316" s="20"/>
      <c r="I316" s="20"/>
      <c r="J316" s="45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9"/>
      <c r="AQ316" s="29"/>
      <c r="AR316" s="29"/>
      <c r="AS316" s="29"/>
      <c r="AT316" s="29"/>
      <c r="AU316" s="29"/>
      <c r="AV316" s="29"/>
      <c r="AW316" s="29"/>
      <c r="AX316" s="29"/>
    </row>
    <row r="317">
      <c r="A317" s="20"/>
      <c r="B317" s="20"/>
      <c r="C317" s="20"/>
      <c r="D317" s="46"/>
      <c r="E317" s="20"/>
      <c r="F317" s="20"/>
      <c r="G317" s="20"/>
      <c r="H317" s="20"/>
      <c r="I317" s="20"/>
      <c r="J317" s="45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9"/>
      <c r="AQ317" s="29"/>
      <c r="AR317" s="29"/>
      <c r="AS317" s="29"/>
      <c r="AT317" s="29"/>
      <c r="AU317" s="29"/>
      <c r="AV317" s="29"/>
      <c r="AW317" s="29"/>
      <c r="AX317" s="29"/>
    </row>
    <row r="318">
      <c r="A318" s="20"/>
      <c r="B318" s="20"/>
      <c r="C318" s="20"/>
      <c r="D318" s="46"/>
      <c r="E318" s="20"/>
      <c r="F318" s="20"/>
      <c r="G318" s="20"/>
      <c r="H318" s="20"/>
      <c r="I318" s="20"/>
      <c r="J318" s="45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9"/>
      <c r="AQ318" s="29"/>
      <c r="AR318" s="29"/>
      <c r="AS318" s="29"/>
      <c r="AT318" s="29"/>
      <c r="AU318" s="29"/>
      <c r="AV318" s="29"/>
      <c r="AW318" s="29"/>
      <c r="AX318" s="29"/>
    </row>
    <row r="319">
      <c r="A319" s="20"/>
      <c r="B319" s="20"/>
      <c r="C319" s="20"/>
      <c r="D319" s="46"/>
      <c r="E319" s="20"/>
      <c r="F319" s="20"/>
      <c r="G319" s="20"/>
      <c r="H319" s="20"/>
      <c r="I319" s="20"/>
      <c r="J319" s="45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9"/>
      <c r="AQ319" s="29"/>
      <c r="AR319" s="29"/>
      <c r="AS319" s="29"/>
      <c r="AT319" s="29"/>
      <c r="AU319" s="29"/>
      <c r="AV319" s="29"/>
      <c r="AW319" s="29"/>
      <c r="AX319" s="29"/>
    </row>
    <row r="320">
      <c r="A320" s="20"/>
      <c r="B320" s="20"/>
      <c r="C320" s="20"/>
      <c r="D320" s="46"/>
      <c r="E320" s="20"/>
      <c r="F320" s="20"/>
      <c r="G320" s="20"/>
      <c r="H320" s="20"/>
      <c r="I320" s="20"/>
      <c r="J320" s="45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9"/>
      <c r="AQ320" s="29"/>
      <c r="AR320" s="29"/>
      <c r="AS320" s="29"/>
      <c r="AT320" s="29"/>
      <c r="AU320" s="29"/>
      <c r="AV320" s="29"/>
      <c r="AW320" s="29"/>
      <c r="AX320" s="29"/>
    </row>
    <row r="321">
      <c r="A321" s="20"/>
      <c r="B321" s="20"/>
      <c r="C321" s="20"/>
      <c r="D321" s="46"/>
      <c r="E321" s="20"/>
      <c r="F321" s="20"/>
      <c r="G321" s="20"/>
      <c r="H321" s="20"/>
      <c r="I321" s="20"/>
      <c r="J321" s="45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9"/>
      <c r="AQ321" s="29"/>
      <c r="AR321" s="29"/>
      <c r="AS321" s="29"/>
      <c r="AT321" s="29"/>
      <c r="AU321" s="29"/>
      <c r="AV321" s="29"/>
      <c r="AW321" s="29"/>
      <c r="AX321" s="29"/>
    </row>
    <row r="322">
      <c r="A322" s="20"/>
      <c r="B322" s="20"/>
      <c r="C322" s="20"/>
      <c r="D322" s="46"/>
      <c r="E322" s="20"/>
      <c r="F322" s="20"/>
      <c r="G322" s="20"/>
      <c r="H322" s="20"/>
      <c r="I322" s="20"/>
      <c r="J322" s="45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9"/>
      <c r="AQ322" s="29"/>
      <c r="AR322" s="29"/>
      <c r="AS322" s="29"/>
      <c r="AT322" s="29"/>
      <c r="AU322" s="29"/>
      <c r="AV322" s="29"/>
      <c r="AW322" s="29"/>
      <c r="AX322" s="29"/>
    </row>
    <row r="323">
      <c r="A323" s="20"/>
      <c r="B323" s="20"/>
      <c r="C323" s="20"/>
      <c r="D323" s="46"/>
      <c r="E323" s="20"/>
      <c r="F323" s="20"/>
      <c r="G323" s="20"/>
      <c r="H323" s="20"/>
      <c r="I323" s="20"/>
      <c r="J323" s="45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9"/>
      <c r="AQ323" s="29"/>
      <c r="AR323" s="29"/>
      <c r="AS323" s="29"/>
      <c r="AT323" s="29"/>
      <c r="AU323" s="29"/>
      <c r="AV323" s="29"/>
      <c r="AW323" s="29"/>
      <c r="AX323" s="29"/>
    </row>
    <row r="324">
      <c r="A324" s="20"/>
      <c r="B324" s="20"/>
      <c r="C324" s="20"/>
      <c r="D324" s="46"/>
      <c r="E324" s="20"/>
      <c r="F324" s="20"/>
      <c r="G324" s="20"/>
      <c r="H324" s="20"/>
      <c r="I324" s="20"/>
      <c r="J324" s="45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9"/>
      <c r="AQ324" s="29"/>
      <c r="AR324" s="29"/>
      <c r="AS324" s="29"/>
      <c r="AT324" s="29"/>
      <c r="AU324" s="29"/>
      <c r="AV324" s="29"/>
      <c r="AW324" s="29"/>
      <c r="AX324" s="29"/>
    </row>
    <row r="325">
      <c r="A325" s="20"/>
      <c r="B325" s="20"/>
      <c r="C325" s="20"/>
      <c r="D325" s="46"/>
      <c r="E325" s="20"/>
      <c r="F325" s="20"/>
      <c r="G325" s="20"/>
      <c r="H325" s="20"/>
      <c r="I325" s="20"/>
      <c r="J325" s="45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9"/>
      <c r="AQ325" s="29"/>
      <c r="AR325" s="29"/>
      <c r="AS325" s="29"/>
      <c r="AT325" s="29"/>
      <c r="AU325" s="29"/>
      <c r="AV325" s="29"/>
      <c r="AW325" s="29"/>
      <c r="AX325" s="29"/>
    </row>
    <row r="326">
      <c r="A326" s="20"/>
      <c r="B326" s="20"/>
      <c r="C326" s="20"/>
      <c r="D326" s="46"/>
      <c r="E326" s="20"/>
      <c r="F326" s="20"/>
      <c r="G326" s="20"/>
      <c r="H326" s="20"/>
      <c r="I326" s="20"/>
      <c r="J326" s="45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9"/>
      <c r="AQ326" s="29"/>
      <c r="AR326" s="29"/>
      <c r="AS326" s="29"/>
      <c r="AT326" s="29"/>
      <c r="AU326" s="29"/>
      <c r="AV326" s="29"/>
      <c r="AW326" s="29"/>
      <c r="AX326" s="29"/>
    </row>
    <row r="327">
      <c r="A327" s="20"/>
      <c r="B327" s="20"/>
      <c r="C327" s="20"/>
      <c r="D327" s="46"/>
      <c r="E327" s="20"/>
      <c r="F327" s="20"/>
      <c r="G327" s="20"/>
      <c r="H327" s="20"/>
      <c r="I327" s="20"/>
      <c r="J327" s="45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9"/>
      <c r="AQ327" s="29"/>
      <c r="AR327" s="29"/>
      <c r="AS327" s="29"/>
      <c r="AT327" s="29"/>
      <c r="AU327" s="29"/>
      <c r="AV327" s="29"/>
      <c r="AW327" s="29"/>
      <c r="AX327" s="29"/>
    </row>
    <row r="328">
      <c r="A328" s="20"/>
      <c r="B328" s="20"/>
      <c r="C328" s="20"/>
      <c r="D328" s="46"/>
      <c r="E328" s="20"/>
      <c r="F328" s="20"/>
      <c r="G328" s="20"/>
      <c r="H328" s="20"/>
      <c r="I328" s="20"/>
      <c r="J328" s="45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9"/>
      <c r="AQ328" s="29"/>
      <c r="AR328" s="29"/>
      <c r="AS328" s="29"/>
      <c r="AT328" s="29"/>
      <c r="AU328" s="29"/>
      <c r="AV328" s="29"/>
      <c r="AW328" s="29"/>
      <c r="AX328" s="29"/>
    </row>
    <row r="329">
      <c r="A329" s="20"/>
      <c r="B329" s="20"/>
      <c r="C329" s="20"/>
      <c r="D329" s="46"/>
      <c r="E329" s="20"/>
      <c r="F329" s="20"/>
      <c r="G329" s="20"/>
      <c r="H329" s="20"/>
      <c r="I329" s="20"/>
      <c r="J329" s="45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9"/>
      <c r="AQ329" s="29"/>
      <c r="AR329" s="29"/>
      <c r="AS329" s="29"/>
      <c r="AT329" s="29"/>
      <c r="AU329" s="29"/>
      <c r="AV329" s="29"/>
      <c r="AW329" s="29"/>
      <c r="AX329" s="29"/>
    </row>
    <row r="330">
      <c r="A330" s="20"/>
      <c r="B330" s="20"/>
      <c r="C330" s="20"/>
      <c r="D330" s="46"/>
      <c r="E330" s="20"/>
      <c r="F330" s="20"/>
      <c r="G330" s="20"/>
      <c r="H330" s="20"/>
      <c r="I330" s="20"/>
      <c r="J330" s="45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9"/>
      <c r="AQ330" s="29"/>
      <c r="AR330" s="29"/>
      <c r="AS330" s="29"/>
      <c r="AT330" s="29"/>
      <c r="AU330" s="29"/>
      <c r="AV330" s="29"/>
      <c r="AW330" s="29"/>
      <c r="AX330" s="29"/>
    </row>
    <row r="331">
      <c r="A331" s="20"/>
      <c r="B331" s="20"/>
      <c r="C331" s="20"/>
      <c r="D331" s="46"/>
      <c r="E331" s="20"/>
      <c r="F331" s="20"/>
      <c r="G331" s="20"/>
      <c r="H331" s="20"/>
      <c r="I331" s="20"/>
      <c r="J331" s="45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9"/>
      <c r="AQ331" s="29"/>
      <c r="AR331" s="29"/>
      <c r="AS331" s="29"/>
      <c r="AT331" s="29"/>
      <c r="AU331" s="29"/>
      <c r="AV331" s="29"/>
      <c r="AW331" s="29"/>
      <c r="AX331" s="29"/>
    </row>
    <row r="332">
      <c r="A332" s="20"/>
      <c r="B332" s="20"/>
      <c r="C332" s="20"/>
      <c r="D332" s="46"/>
      <c r="E332" s="20"/>
      <c r="F332" s="20"/>
      <c r="G332" s="20"/>
      <c r="H332" s="20"/>
      <c r="I332" s="20"/>
      <c r="J332" s="45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9"/>
      <c r="AQ332" s="29"/>
      <c r="AR332" s="29"/>
      <c r="AS332" s="29"/>
      <c r="AT332" s="29"/>
      <c r="AU332" s="29"/>
      <c r="AV332" s="29"/>
      <c r="AW332" s="29"/>
      <c r="AX332" s="29"/>
    </row>
    <row r="333">
      <c r="A333" s="20"/>
      <c r="B333" s="20"/>
      <c r="C333" s="20"/>
      <c r="D333" s="46"/>
      <c r="E333" s="20"/>
      <c r="F333" s="20"/>
      <c r="G333" s="20"/>
      <c r="H333" s="20"/>
      <c r="I333" s="20"/>
      <c r="J333" s="45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9"/>
      <c r="AQ333" s="29"/>
      <c r="AR333" s="29"/>
      <c r="AS333" s="29"/>
      <c r="AT333" s="29"/>
      <c r="AU333" s="29"/>
      <c r="AV333" s="29"/>
      <c r="AW333" s="29"/>
      <c r="AX333" s="29"/>
    </row>
    <row r="334">
      <c r="A334" s="20"/>
      <c r="B334" s="20"/>
      <c r="C334" s="20"/>
      <c r="D334" s="46"/>
      <c r="E334" s="20"/>
      <c r="F334" s="20"/>
      <c r="G334" s="20"/>
      <c r="H334" s="20"/>
      <c r="I334" s="20"/>
      <c r="J334" s="45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9"/>
      <c r="AQ334" s="29"/>
      <c r="AR334" s="29"/>
      <c r="AS334" s="29"/>
      <c r="AT334" s="29"/>
      <c r="AU334" s="29"/>
      <c r="AV334" s="29"/>
      <c r="AW334" s="29"/>
      <c r="AX334" s="29"/>
    </row>
    <row r="335">
      <c r="A335" s="20"/>
      <c r="B335" s="20"/>
      <c r="C335" s="20"/>
      <c r="D335" s="46"/>
      <c r="E335" s="20"/>
      <c r="F335" s="20"/>
      <c r="G335" s="20"/>
      <c r="H335" s="20"/>
      <c r="I335" s="20"/>
      <c r="J335" s="45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9"/>
      <c r="AQ335" s="29"/>
      <c r="AR335" s="29"/>
      <c r="AS335" s="29"/>
      <c r="AT335" s="29"/>
      <c r="AU335" s="29"/>
      <c r="AV335" s="29"/>
      <c r="AW335" s="29"/>
      <c r="AX335" s="29"/>
    </row>
    <row r="336">
      <c r="A336" s="20"/>
      <c r="B336" s="20"/>
      <c r="C336" s="20"/>
      <c r="D336" s="46"/>
      <c r="E336" s="20"/>
      <c r="F336" s="20"/>
      <c r="G336" s="20"/>
      <c r="H336" s="20"/>
      <c r="I336" s="20"/>
      <c r="J336" s="45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9"/>
      <c r="AQ336" s="29"/>
      <c r="AR336" s="29"/>
      <c r="AS336" s="29"/>
      <c r="AT336" s="29"/>
      <c r="AU336" s="29"/>
      <c r="AV336" s="29"/>
      <c r="AW336" s="29"/>
      <c r="AX336" s="29"/>
    </row>
    <row r="337">
      <c r="A337" s="20"/>
      <c r="B337" s="20"/>
      <c r="C337" s="20"/>
      <c r="D337" s="46"/>
      <c r="E337" s="20"/>
      <c r="F337" s="20"/>
      <c r="G337" s="20"/>
      <c r="H337" s="20"/>
      <c r="I337" s="20"/>
      <c r="J337" s="45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9"/>
      <c r="AQ337" s="29"/>
      <c r="AR337" s="29"/>
      <c r="AS337" s="29"/>
      <c r="AT337" s="29"/>
      <c r="AU337" s="29"/>
      <c r="AV337" s="29"/>
      <c r="AW337" s="29"/>
      <c r="AX337" s="29"/>
    </row>
    <row r="338">
      <c r="A338" s="20"/>
      <c r="B338" s="20"/>
      <c r="C338" s="20"/>
      <c r="D338" s="46"/>
      <c r="E338" s="20"/>
      <c r="F338" s="20"/>
      <c r="G338" s="20"/>
      <c r="H338" s="20"/>
      <c r="I338" s="20"/>
      <c r="J338" s="45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9"/>
      <c r="AQ338" s="29"/>
      <c r="AR338" s="29"/>
      <c r="AS338" s="29"/>
      <c r="AT338" s="29"/>
      <c r="AU338" s="29"/>
      <c r="AV338" s="29"/>
      <c r="AW338" s="29"/>
      <c r="AX338" s="29"/>
    </row>
    <row r="339">
      <c r="A339" s="20"/>
      <c r="B339" s="20"/>
      <c r="C339" s="20"/>
      <c r="D339" s="46"/>
      <c r="E339" s="20"/>
      <c r="F339" s="20"/>
      <c r="G339" s="20"/>
      <c r="H339" s="20"/>
      <c r="I339" s="20"/>
      <c r="J339" s="45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9"/>
      <c r="AQ339" s="29"/>
      <c r="AR339" s="29"/>
      <c r="AS339" s="29"/>
      <c r="AT339" s="29"/>
      <c r="AU339" s="29"/>
      <c r="AV339" s="29"/>
      <c r="AW339" s="29"/>
      <c r="AX339" s="29"/>
    </row>
    <row r="340">
      <c r="A340" s="20"/>
      <c r="B340" s="20"/>
      <c r="C340" s="20"/>
      <c r="D340" s="46"/>
      <c r="E340" s="20"/>
      <c r="F340" s="20"/>
      <c r="G340" s="20"/>
      <c r="H340" s="20"/>
      <c r="I340" s="20"/>
      <c r="J340" s="45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9"/>
      <c r="AQ340" s="29"/>
      <c r="AR340" s="29"/>
      <c r="AS340" s="29"/>
      <c r="AT340" s="29"/>
      <c r="AU340" s="29"/>
      <c r="AV340" s="29"/>
      <c r="AW340" s="29"/>
      <c r="AX340" s="29"/>
    </row>
    <row r="341">
      <c r="A341" s="20"/>
      <c r="B341" s="20"/>
      <c r="C341" s="20"/>
      <c r="D341" s="46"/>
      <c r="E341" s="20"/>
      <c r="F341" s="20"/>
      <c r="G341" s="20"/>
      <c r="H341" s="20"/>
      <c r="I341" s="20"/>
      <c r="J341" s="45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9"/>
      <c r="AQ341" s="29"/>
      <c r="AR341" s="29"/>
      <c r="AS341" s="29"/>
      <c r="AT341" s="29"/>
      <c r="AU341" s="29"/>
      <c r="AV341" s="29"/>
      <c r="AW341" s="29"/>
      <c r="AX341" s="29"/>
    </row>
    <row r="342">
      <c r="A342" s="20"/>
      <c r="B342" s="20"/>
      <c r="C342" s="20"/>
      <c r="D342" s="46"/>
      <c r="E342" s="20"/>
      <c r="F342" s="20"/>
      <c r="G342" s="20"/>
      <c r="H342" s="20"/>
      <c r="I342" s="20"/>
      <c r="J342" s="45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9"/>
      <c r="AQ342" s="29"/>
      <c r="AR342" s="29"/>
      <c r="AS342" s="29"/>
      <c r="AT342" s="29"/>
      <c r="AU342" s="29"/>
      <c r="AV342" s="29"/>
      <c r="AW342" s="29"/>
      <c r="AX342" s="29"/>
    </row>
    <row r="343">
      <c r="A343" s="20"/>
      <c r="B343" s="20"/>
      <c r="C343" s="20"/>
      <c r="D343" s="46"/>
      <c r="E343" s="20"/>
      <c r="F343" s="20"/>
      <c r="G343" s="20"/>
      <c r="H343" s="20"/>
      <c r="I343" s="20"/>
      <c r="J343" s="45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9"/>
      <c r="AQ343" s="29"/>
      <c r="AR343" s="29"/>
      <c r="AS343" s="29"/>
      <c r="AT343" s="29"/>
      <c r="AU343" s="29"/>
      <c r="AV343" s="29"/>
      <c r="AW343" s="29"/>
      <c r="AX343" s="29"/>
    </row>
    <row r="344">
      <c r="A344" s="20"/>
      <c r="B344" s="20"/>
      <c r="C344" s="20"/>
      <c r="D344" s="46"/>
      <c r="E344" s="20"/>
      <c r="F344" s="20"/>
      <c r="G344" s="20"/>
      <c r="H344" s="20"/>
      <c r="I344" s="20"/>
      <c r="J344" s="45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9"/>
      <c r="AQ344" s="29"/>
      <c r="AR344" s="29"/>
      <c r="AS344" s="29"/>
      <c r="AT344" s="29"/>
      <c r="AU344" s="29"/>
      <c r="AV344" s="29"/>
      <c r="AW344" s="29"/>
      <c r="AX344" s="29"/>
    </row>
    <row r="345">
      <c r="A345" s="20"/>
      <c r="B345" s="20"/>
      <c r="C345" s="20"/>
      <c r="D345" s="46"/>
      <c r="E345" s="20"/>
      <c r="F345" s="20"/>
      <c r="G345" s="20"/>
      <c r="H345" s="20"/>
      <c r="I345" s="20"/>
      <c r="J345" s="45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9"/>
      <c r="AQ345" s="29"/>
      <c r="AR345" s="29"/>
      <c r="AS345" s="29"/>
      <c r="AT345" s="29"/>
      <c r="AU345" s="29"/>
      <c r="AV345" s="29"/>
      <c r="AW345" s="29"/>
      <c r="AX345" s="29"/>
    </row>
    <row r="346">
      <c r="A346" s="20"/>
      <c r="B346" s="20"/>
      <c r="C346" s="20"/>
      <c r="D346" s="46"/>
      <c r="E346" s="20"/>
      <c r="F346" s="20"/>
      <c r="G346" s="20"/>
      <c r="H346" s="20"/>
      <c r="I346" s="20"/>
      <c r="J346" s="45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9"/>
      <c r="AQ346" s="29"/>
      <c r="AR346" s="29"/>
      <c r="AS346" s="29"/>
      <c r="AT346" s="29"/>
      <c r="AU346" s="29"/>
      <c r="AV346" s="29"/>
      <c r="AW346" s="29"/>
      <c r="AX346" s="29"/>
    </row>
    <row r="347">
      <c r="A347" s="20"/>
      <c r="B347" s="20"/>
      <c r="C347" s="20"/>
      <c r="D347" s="46"/>
      <c r="E347" s="20"/>
      <c r="F347" s="20"/>
      <c r="G347" s="20"/>
      <c r="H347" s="20"/>
      <c r="I347" s="20"/>
      <c r="J347" s="45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9"/>
      <c r="AQ347" s="29"/>
      <c r="AR347" s="29"/>
      <c r="AS347" s="29"/>
      <c r="AT347" s="29"/>
      <c r="AU347" s="29"/>
      <c r="AV347" s="29"/>
      <c r="AW347" s="29"/>
      <c r="AX347" s="29"/>
    </row>
    <row r="348">
      <c r="A348" s="20"/>
      <c r="B348" s="20"/>
      <c r="C348" s="20"/>
      <c r="D348" s="46"/>
      <c r="E348" s="20"/>
      <c r="F348" s="20"/>
      <c r="G348" s="20"/>
      <c r="H348" s="20"/>
      <c r="I348" s="20"/>
      <c r="J348" s="45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9"/>
      <c r="AQ348" s="29"/>
      <c r="AR348" s="29"/>
      <c r="AS348" s="29"/>
      <c r="AT348" s="29"/>
      <c r="AU348" s="29"/>
      <c r="AV348" s="29"/>
      <c r="AW348" s="29"/>
      <c r="AX348" s="29"/>
    </row>
    <row r="349">
      <c r="A349" s="20"/>
      <c r="B349" s="20"/>
      <c r="C349" s="20"/>
      <c r="D349" s="46"/>
      <c r="E349" s="20"/>
      <c r="F349" s="20"/>
      <c r="G349" s="20"/>
      <c r="H349" s="20"/>
      <c r="I349" s="20"/>
      <c r="J349" s="45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9"/>
      <c r="AQ349" s="29"/>
      <c r="AR349" s="29"/>
      <c r="AS349" s="29"/>
      <c r="AT349" s="29"/>
      <c r="AU349" s="29"/>
      <c r="AV349" s="29"/>
      <c r="AW349" s="29"/>
      <c r="AX349" s="29"/>
    </row>
    <row r="350">
      <c r="A350" s="20"/>
      <c r="B350" s="20"/>
      <c r="C350" s="20"/>
      <c r="D350" s="46"/>
      <c r="E350" s="20"/>
      <c r="F350" s="20"/>
      <c r="G350" s="20"/>
      <c r="H350" s="20"/>
      <c r="I350" s="20"/>
      <c r="J350" s="45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9"/>
      <c r="AQ350" s="29"/>
      <c r="AR350" s="29"/>
      <c r="AS350" s="29"/>
      <c r="AT350" s="29"/>
      <c r="AU350" s="29"/>
      <c r="AV350" s="29"/>
      <c r="AW350" s="29"/>
      <c r="AX350" s="29"/>
    </row>
    <row r="351">
      <c r="A351" s="20"/>
      <c r="B351" s="20"/>
      <c r="C351" s="20"/>
      <c r="D351" s="46"/>
      <c r="E351" s="20"/>
      <c r="F351" s="20"/>
      <c r="G351" s="20"/>
      <c r="H351" s="20"/>
      <c r="I351" s="20"/>
      <c r="J351" s="45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9"/>
      <c r="AQ351" s="29"/>
      <c r="AR351" s="29"/>
      <c r="AS351" s="29"/>
      <c r="AT351" s="29"/>
      <c r="AU351" s="29"/>
      <c r="AV351" s="29"/>
      <c r="AW351" s="29"/>
      <c r="AX351" s="29"/>
    </row>
    <row r="352">
      <c r="A352" s="20"/>
      <c r="B352" s="20"/>
      <c r="C352" s="20"/>
      <c r="D352" s="46"/>
      <c r="E352" s="20"/>
      <c r="F352" s="20"/>
      <c r="G352" s="20"/>
      <c r="H352" s="20"/>
      <c r="I352" s="20"/>
      <c r="J352" s="45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9"/>
      <c r="AQ352" s="29"/>
      <c r="AR352" s="29"/>
      <c r="AS352" s="29"/>
      <c r="AT352" s="29"/>
      <c r="AU352" s="29"/>
      <c r="AV352" s="29"/>
      <c r="AW352" s="29"/>
      <c r="AX352" s="29"/>
    </row>
    <row r="353">
      <c r="A353" s="20"/>
      <c r="B353" s="20"/>
      <c r="C353" s="20"/>
      <c r="D353" s="46"/>
      <c r="E353" s="20"/>
      <c r="F353" s="20"/>
      <c r="G353" s="20"/>
      <c r="H353" s="20"/>
      <c r="I353" s="20"/>
      <c r="J353" s="45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9"/>
      <c r="AQ353" s="29"/>
      <c r="AR353" s="29"/>
      <c r="AS353" s="29"/>
      <c r="AT353" s="29"/>
      <c r="AU353" s="29"/>
      <c r="AV353" s="29"/>
      <c r="AW353" s="29"/>
      <c r="AX353" s="29"/>
    </row>
    <row r="354">
      <c r="A354" s="20"/>
      <c r="B354" s="20"/>
      <c r="C354" s="20"/>
      <c r="D354" s="46"/>
      <c r="E354" s="20"/>
      <c r="F354" s="20"/>
      <c r="G354" s="20"/>
      <c r="H354" s="20"/>
      <c r="I354" s="20"/>
      <c r="J354" s="45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9"/>
      <c r="AQ354" s="29"/>
      <c r="AR354" s="29"/>
      <c r="AS354" s="29"/>
      <c r="AT354" s="29"/>
      <c r="AU354" s="29"/>
      <c r="AV354" s="29"/>
      <c r="AW354" s="29"/>
      <c r="AX354" s="29"/>
    </row>
    <row r="355">
      <c r="A355" s="20"/>
      <c r="B355" s="20"/>
      <c r="C355" s="20"/>
      <c r="D355" s="46"/>
      <c r="E355" s="20"/>
      <c r="F355" s="20"/>
      <c r="G355" s="20"/>
      <c r="H355" s="20"/>
      <c r="I355" s="20"/>
      <c r="J355" s="45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9"/>
      <c r="AQ355" s="29"/>
      <c r="AR355" s="29"/>
      <c r="AS355" s="29"/>
      <c r="AT355" s="29"/>
      <c r="AU355" s="29"/>
      <c r="AV355" s="29"/>
      <c r="AW355" s="29"/>
      <c r="AX355" s="29"/>
    </row>
    <row r="356">
      <c r="A356" s="20"/>
      <c r="B356" s="20"/>
      <c r="C356" s="20"/>
      <c r="D356" s="46"/>
      <c r="E356" s="20"/>
      <c r="F356" s="20"/>
      <c r="G356" s="20"/>
      <c r="H356" s="20"/>
      <c r="I356" s="20"/>
      <c r="J356" s="45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9"/>
      <c r="AQ356" s="29"/>
      <c r="AR356" s="29"/>
      <c r="AS356" s="29"/>
      <c r="AT356" s="29"/>
      <c r="AU356" s="29"/>
      <c r="AV356" s="29"/>
      <c r="AW356" s="29"/>
      <c r="AX356" s="29"/>
    </row>
    <row r="357">
      <c r="A357" s="20"/>
      <c r="B357" s="20"/>
      <c r="C357" s="20"/>
      <c r="D357" s="46"/>
      <c r="E357" s="20"/>
      <c r="F357" s="20"/>
      <c r="G357" s="20"/>
      <c r="H357" s="20"/>
      <c r="I357" s="20"/>
      <c r="J357" s="45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9"/>
      <c r="AQ357" s="29"/>
      <c r="AR357" s="29"/>
      <c r="AS357" s="29"/>
      <c r="AT357" s="29"/>
      <c r="AU357" s="29"/>
      <c r="AV357" s="29"/>
      <c r="AW357" s="29"/>
      <c r="AX357" s="29"/>
    </row>
    <row r="358">
      <c r="A358" s="20"/>
      <c r="B358" s="20"/>
      <c r="C358" s="20"/>
      <c r="D358" s="46"/>
      <c r="E358" s="20"/>
      <c r="F358" s="20"/>
      <c r="G358" s="20"/>
      <c r="H358" s="20"/>
      <c r="I358" s="20"/>
      <c r="J358" s="45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9"/>
      <c r="AQ358" s="29"/>
      <c r="AR358" s="29"/>
      <c r="AS358" s="29"/>
      <c r="AT358" s="29"/>
      <c r="AU358" s="29"/>
      <c r="AV358" s="29"/>
      <c r="AW358" s="29"/>
      <c r="AX358" s="29"/>
    </row>
    <row r="359">
      <c r="A359" s="20"/>
      <c r="B359" s="20"/>
      <c r="C359" s="20"/>
      <c r="D359" s="46"/>
      <c r="E359" s="20"/>
      <c r="F359" s="20"/>
      <c r="G359" s="20"/>
      <c r="H359" s="20"/>
      <c r="I359" s="20"/>
      <c r="J359" s="45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9"/>
      <c r="AQ359" s="29"/>
      <c r="AR359" s="29"/>
      <c r="AS359" s="29"/>
      <c r="AT359" s="29"/>
      <c r="AU359" s="29"/>
      <c r="AV359" s="29"/>
      <c r="AW359" s="29"/>
      <c r="AX359" s="29"/>
    </row>
    <row r="360">
      <c r="A360" s="20"/>
      <c r="B360" s="20"/>
      <c r="C360" s="20"/>
      <c r="D360" s="46"/>
      <c r="E360" s="20"/>
      <c r="F360" s="20"/>
      <c r="G360" s="20"/>
      <c r="H360" s="20"/>
      <c r="I360" s="20"/>
      <c r="J360" s="45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9"/>
      <c r="AQ360" s="29"/>
      <c r="AR360" s="29"/>
      <c r="AS360" s="29"/>
      <c r="AT360" s="29"/>
      <c r="AU360" s="29"/>
      <c r="AV360" s="29"/>
      <c r="AW360" s="29"/>
      <c r="AX360" s="29"/>
    </row>
    <row r="361">
      <c r="A361" s="20"/>
      <c r="B361" s="20"/>
      <c r="C361" s="20"/>
      <c r="D361" s="46"/>
      <c r="E361" s="20"/>
      <c r="F361" s="20"/>
      <c r="G361" s="20"/>
      <c r="H361" s="20"/>
      <c r="I361" s="20"/>
      <c r="J361" s="45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9"/>
      <c r="AQ361" s="29"/>
      <c r="AR361" s="29"/>
      <c r="AS361" s="29"/>
      <c r="AT361" s="29"/>
      <c r="AU361" s="29"/>
      <c r="AV361" s="29"/>
      <c r="AW361" s="29"/>
      <c r="AX361" s="29"/>
    </row>
    <row r="362">
      <c r="A362" s="20"/>
      <c r="B362" s="20"/>
      <c r="C362" s="20"/>
      <c r="D362" s="46"/>
      <c r="E362" s="20"/>
      <c r="F362" s="20"/>
      <c r="G362" s="20"/>
      <c r="H362" s="20"/>
      <c r="I362" s="20"/>
      <c r="J362" s="45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9"/>
      <c r="AQ362" s="29"/>
      <c r="AR362" s="29"/>
      <c r="AS362" s="29"/>
      <c r="AT362" s="29"/>
      <c r="AU362" s="29"/>
      <c r="AV362" s="29"/>
      <c r="AW362" s="29"/>
      <c r="AX362" s="29"/>
    </row>
    <row r="363">
      <c r="A363" s="20"/>
      <c r="B363" s="20"/>
      <c r="C363" s="20"/>
      <c r="D363" s="46"/>
      <c r="E363" s="20"/>
      <c r="F363" s="20"/>
      <c r="G363" s="20"/>
      <c r="H363" s="20"/>
      <c r="I363" s="20"/>
      <c r="J363" s="45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9"/>
      <c r="AQ363" s="29"/>
      <c r="AR363" s="29"/>
      <c r="AS363" s="29"/>
      <c r="AT363" s="29"/>
      <c r="AU363" s="29"/>
      <c r="AV363" s="29"/>
      <c r="AW363" s="29"/>
      <c r="AX363" s="29"/>
    </row>
    <row r="364">
      <c r="A364" s="20"/>
      <c r="B364" s="20"/>
      <c r="C364" s="20"/>
      <c r="D364" s="46"/>
      <c r="E364" s="20"/>
      <c r="F364" s="20"/>
      <c r="G364" s="20"/>
      <c r="H364" s="20"/>
      <c r="I364" s="20"/>
      <c r="J364" s="45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9"/>
      <c r="AQ364" s="29"/>
      <c r="AR364" s="29"/>
      <c r="AS364" s="29"/>
      <c r="AT364" s="29"/>
      <c r="AU364" s="29"/>
      <c r="AV364" s="29"/>
      <c r="AW364" s="29"/>
      <c r="AX364" s="29"/>
    </row>
    <row r="365">
      <c r="A365" s="20"/>
      <c r="B365" s="20"/>
      <c r="C365" s="20"/>
      <c r="D365" s="46"/>
      <c r="E365" s="20"/>
      <c r="F365" s="20"/>
      <c r="G365" s="20"/>
      <c r="H365" s="20"/>
      <c r="I365" s="20"/>
      <c r="J365" s="45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9"/>
      <c r="AQ365" s="29"/>
      <c r="AR365" s="29"/>
      <c r="AS365" s="29"/>
      <c r="AT365" s="29"/>
      <c r="AU365" s="29"/>
      <c r="AV365" s="29"/>
      <c r="AW365" s="29"/>
      <c r="AX365" s="29"/>
    </row>
    <row r="366">
      <c r="A366" s="20"/>
      <c r="B366" s="20"/>
      <c r="C366" s="20"/>
      <c r="D366" s="46"/>
      <c r="E366" s="20"/>
      <c r="F366" s="20"/>
      <c r="G366" s="20"/>
      <c r="H366" s="20"/>
      <c r="I366" s="20"/>
      <c r="J366" s="45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9"/>
      <c r="AQ366" s="29"/>
      <c r="AR366" s="29"/>
      <c r="AS366" s="29"/>
      <c r="AT366" s="29"/>
      <c r="AU366" s="29"/>
      <c r="AV366" s="29"/>
      <c r="AW366" s="29"/>
      <c r="AX366" s="29"/>
    </row>
    <row r="367">
      <c r="A367" s="20"/>
      <c r="B367" s="20"/>
      <c r="C367" s="20"/>
      <c r="D367" s="46"/>
      <c r="E367" s="20"/>
      <c r="F367" s="20"/>
      <c r="G367" s="20"/>
      <c r="H367" s="20"/>
      <c r="I367" s="20"/>
      <c r="J367" s="45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9"/>
      <c r="AQ367" s="29"/>
      <c r="AR367" s="29"/>
      <c r="AS367" s="29"/>
      <c r="AT367" s="29"/>
      <c r="AU367" s="29"/>
      <c r="AV367" s="29"/>
      <c r="AW367" s="29"/>
      <c r="AX367" s="29"/>
    </row>
    <row r="368">
      <c r="A368" s="20"/>
      <c r="B368" s="20"/>
      <c r="C368" s="20"/>
      <c r="D368" s="46"/>
      <c r="E368" s="20"/>
      <c r="F368" s="20"/>
      <c r="G368" s="20"/>
      <c r="H368" s="20"/>
      <c r="I368" s="20"/>
      <c r="J368" s="45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9"/>
      <c r="AQ368" s="29"/>
      <c r="AR368" s="29"/>
      <c r="AS368" s="29"/>
      <c r="AT368" s="29"/>
      <c r="AU368" s="29"/>
      <c r="AV368" s="29"/>
      <c r="AW368" s="29"/>
      <c r="AX368" s="29"/>
    </row>
    <row r="369">
      <c r="A369" s="20"/>
      <c r="B369" s="20"/>
      <c r="C369" s="20"/>
      <c r="D369" s="46"/>
      <c r="E369" s="20"/>
      <c r="F369" s="20"/>
      <c r="G369" s="20"/>
      <c r="H369" s="20"/>
      <c r="I369" s="20"/>
      <c r="J369" s="45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9"/>
      <c r="AQ369" s="29"/>
      <c r="AR369" s="29"/>
      <c r="AS369" s="29"/>
      <c r="AT369" s="29"/>
      <c r="AU369" s="29"/>
      <c r="AV369" s="29"/>
      <c r="AW369" s="29"/>
      <c r="AX369" s="29"/>
    </row>
    <row r="370">
      <c r="A370" s="20"/>
      <c r="B370" s="20"/>
      <c r="C370" s="20"/>
      <c r="D370" s="46"/>
      <c r="E370" s="20"/>
      <c r="F370" s="20"/>
      <c r="G370" s="20"/>
      <c r="H370" s="20"/>
      <c r="I370" s="20"/>
      <c r="J370" s="45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9"/>
      <c r="AQ370" s="29"/>
      <c r="AR370" s="29"/>
      <c r="AS370" s="29"/>
      <c r="AT370" s="29"/>
      <c r="AU370" s="29"/>
      <c r="AV370" s="29"/>
      <c r="AW370" s="29"/>
      <c r="AX370" s="29"/>
    </row>
    <row r="371">
      <c r="A371" s="20"/>
      <c r="B371" s="20"/>
      <c r="C371" s="20"/>
      <c r="D371" s="46"/>
      <c r="E371" s="20"/>
      <c r="F371" s="20"/>
      <c r="G371" s="20"/>
      <c r="H371" s="20"/>
      <c r="I371" s="20"/>
      <c r="J371" s="45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9"/>
      <c r="AQ371" s="29"/>
      <c r="AR371" s="29"/>
      <c r="AS371" s="29"/>
      <c r="AT371" s="29"/>
      <c r="AU371" s="29"/>
      <c r="AV371" s="29"/>
      <c r="AW371" s="29"/>
      <c r="AX371" s="29"/>
    </row>
    <row r="372">
      <c r="A372" s="20"/>
      <c r="B372" s="20"/>
      <c r="C372" s="20"/>
      <c r="D372" s="46"/>
      <c r="E372" s="20"/>
      <c r="F372" s="20"/>
      <c r="G372" s="20"/>
      <c r="H372" s="20"/>
      <c r="I372" s="20"/>
      <c r="J372" s="45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9"/>
      <c r="AQ372" s="29"/>
      <c r="AR372" s="29"/>
      <c r="AS372" s="29"/>
      <c r="AT372" s="29"/>
      <c r="AU372" s="29"/>
      <c r="AV372" s="29"/>
      <c r="AW372" s="29"/>
      <c r="AX372" s="29"/>
    </row>
    <row r="373">
      <c r="A373" s="20"/>
      <c r="B373" s="20"/>
      <c r="C373" s="20"/>
      <c r="D373" s="46"/>
      <c r="E373" s="20"/>
      <c r="F373" s="20"/>
      <c r="G373" s="20"/>
      <c r="H373" s="20"/>
      <c r="I373" s="20"/>
      <c r="J373" s="45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9"/>
      <c r="AQ373" s="29"/>
      <c r="AR373" s="29"/>
      <c r="AS373" s="29"/>
      <c r="AT373" s="29"/>
      <c r="AU373" s="29"/>
      <c r="AV373" s="29"/>
      <c r="AW373" s="29"/>
      <c r="AX373" s="29"/>
    </row>
    <row r="374">
      <c r="A374" s="20"/>
      <c r="B374" s="20"/>
      <c r="C374" s="20"/>
      <c r="D374" s="46"/>
      <c r="E374" s="20"/>
      <c r="F374" s="20"/>
      <c r="G374" s="20"/>
      <c r="H374" s="20"/>
      <c r="I374" s="20"/>
      <c r="J374" s="45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9"/>
      <c r="AQ374" s="29"/>
      <c r="AR374" s="29"/>
      <c r="AS374" s="29"/>
      <c r="AT374" s="29"/>
      <c r="AU374" s="29"/>
      <c r="AV374" s="29"/>
      <c r="AW374" s="29"/>
      <c r="AX374" s="29"/>
    </row>
    <row r="375">
      <c r="A375" s="20"/>
      <c r="B375" s="20"/>
      <c r="C375" s="20"/>
      <c r="D375" s="46"/>
      <c r="E375" s="20"/>
      <c r="F375" s="20"/>
      <c r="G375" s="20"/>
      <c r="H375" s="20"/>
      <c r="I375" s="20"/>
      <c r="J375" s="45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9"/>
      <c r="AQ375" s="29"/>
      <c r="AR375" s="29"/>
      <c r="AS375" s="29"/>
      <c r="AT375" s="29"/>
      <c r="AU375" s="29"/>
      <c r="AV375" s="29"/>
      <c r="AW375" s="29"/>
      <c r="AX375" s="29"/>
    </row>
    <row r="376">
      <c r="A376" s="20"/>
      <c r="B376" s="20"/>
      <c r="C376" s="20"/>
      <c r="D376" s="46"/>
      <c r="E376" s="20"/>
      <c r="F376" s="20"/>
      <c r="G376" s="20"/>
      <c r="H376" s="20"/>
      <c r="I376" s="20"/>
      <c r="J376" s="45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9"/>
      <c r="AQ376" s="29"/>
      <c r="AR376" s="29"/>
      <c r="AS376" s="29"/>
      <c r="AT376" s="29"/>
      <c r="AU376" s="29"/>
      <c r="AV376" s="29"/>
      <c r="AW376" s="29"/>
      <c r="AX376" s="29"/>
    </row>
    <row r="377">
      <c r="A377" s="20"/>
      <c r="B377" s="20"/>
      <c r="C377" s="20"/>
      <c r="D377" s="46"/>
      <c r="E377" s="20"/>
      <c r="F377" s="20"/>
      <c r="G377" s="20"/>
      <c r="H377" s="20"/>
      <c r="I377" s="20"/>
      <c r="J377" s="45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9"/>
      <c r="AQ377" s="29"/>
      <c r="AR377" s="29"/>
      <c r="AS377" s="29"/>
      <c r="AT377" s="29"/>
      <c r="AU377" s="29"/>
      <c r="AV377" s="29"/>
      <c r="AW377" s="29"/>
      <c r="AX377" s="29"/>
    </row>
    <row r="378">
      <c r="A378" s="20"/>
      <c r="B378" s="20"/>
      <c r="C378" s="20"/>
      <c r="D378" s="46"/>
      <c r="E378" s="20"/>
      <c r="F378" s="20"/>
      <c r="G378" s="20"/>
      <c r="H378" s="20"/>
      <c r="I378" s="20"/>
      <c r="J378" s="45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9"/>
      <c r="AQ378" s="29"/>
      <c r="AR378" s="29"/>
      <c r="AS378" s="29"/>
      <c r="AT378" s="29"/>
      <c r="AU378" s="29"/>
      <c r="AV378" s="29"/>
      <c r="AW378" s="29"/>
      <c r="AX378" s="29"/>
    </row>
    <row r="379">
      <c r="A379" s="20"/>
      <c r="B379" s="20"/>
      <c r="C379" s="20"/>
      <c r="D379" s="46"/>
      <c r="E379" s="20"/>
      <c r="F379" s="20"/>
      <c r="G379" s="20"/>
      <c r="H379" s="20"/>
      <c r="I379" s="20"/>
      <c r="J379" s="45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9"/>
      <c r="AQ379" s="29"/>
      <c r="AR379" s="29"/>
      <c r="AS379" s="29"/>
      <c r="AT379" s="29"/>
      <c r="AU379" s="29"/>
      <c r="AV379" s="29"/>
      <c r="AW379" s="29"/>
      <c r="AX379" s="29"/>
    </row>
    <row r="380">
      <c r="A380" s="20"/>
      <c r="B380" s="20"/>
      <c r="C380" s="20"/>
      <c r="D380" s="46"/>
      <c r="E380" s="20"/>
      <c r="F380" s="20"/>
      <c r="G380" s="20"/>
      <c r="H380" s="20"/>
      <c r="I380" s="20"/>
      <c r="J380" s="45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9"/>
      <c r="AQ380" s="29"/>
      <c r="AR380" s="29"/>
      <c r="AS380" s="29"/>
      <c r="AT380" s="29"/>
      <c r="AU380" s="29"/>
      <c r="AV380" s="29"/>
      <c r="AW380" s="29"/>
      <c r="AX380" s="29"/>
    </row>
    <row r="381">
      <c r="A381" s="20"/>
      <c r="B381" s="20"/>
      <c r="C381" s="20"/>
      <c r="D381" s="46"/>
      <c r="E381" s="20"/>
      <c r="F381" s="20"/>
      <c r="G381" s="20"/>
      <c r="H381" s="20"/>
      <c r="I381" s="20"/>
      <c r="J381" s="45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9"/>
      <c r="AQ381" s="29"/>
      <c r="AR381" s="29"/>
      <c r="AS381" s="29"/>
      <c r="AT381" s="29"/>
      <c r="AU381" s="29"/>
      <c r="AV381" s="29"/>
      <c r="AW381" s="29"/>
      <c r="AX381" s="29"/>
    </row>
    <row r="382">
      <c r="A382" s="20"/>
      <c r="B382" s="20"/>
      <c r="C382" s="20"/>
      <c r="D382" s="46"/>
      <c r="E382" s="20"/>
      <c r="F382" s="20"/>
      <c r="G382" s="20"/>
      <c r="H382" s="20"/>
      <c r="I382" s="20"/>
      <c r="J382" s="45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9"/>
      <c r="AQ382" s="29"/>
      <c r="AR382" s="29"/>
      <c r="AS382" s="29"/>
      <c r="AT382" s="29"/>
      <c r="AU382" s="29"/>
      <c r="AV382" s="29"/>
      <c r="AW382" s="29"/>
      <c r="AX382" s="29"/>
    </row>
    <row r="383">
      <c r="A383" s="20"/>
      <c r="B383" s="20"/>
      <c r="C383" s="20"/>
      <c r="D383" s="46"/>
      <c r="E383" s="20"/>
      <c r="F383" s="20"/>
      <c r="G383" s="20"/>
      <c r="H383" s="20"/>
      <c r="I383" s="20"/>
      <c r="J383" s="45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9"/>
      <c r="AQ383" s="29"/>
      <c r="AR383" s="29"/>
      <c r="AS383" s="29"/>
      <c r="AT383" s="29"/>
      <c r="AU383" s="29"/>
      <c r="AV383" s="29"/>
      <c r="AW383" s="29"/>
      <c r="AX383" s="29"/>
    </row>
    <row r="384">
      <c r="A384" s="20"/>
      <c r="B384" s="20"/>
      <c r="C384" s="20"/>
      <c r="D384" s="46"/>
      <c r="E384" s="20"/>
      <c r="F384" s="20"/>
      <c r="G384" s="20"/>
      <c r="H384" s="20"/>
      <c r="I384" s="20"/>
      <c r="J384" s="45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9"/>
      <c r="AQ384" s="29"/>
      <c r="AR384" s="29"/>
      <c r="AS384" s="29"/>
      <c r="AT384" s="29"/>
      <c r="AU384" s="29"/>
      <c r="AV384" s="29"/>
      <c r="AW384" s="29"/>
      <c r="AX384" s="29"/>
    </row>
    <row r="385">
      <c r="A385" s="20"/>
      <c r="B385" s="20"/>
      <c r="C385" s="20"/>
      <c r="D385" s="46"/>
      <c r="E385" s="20"/>
      <c r="F385" s="20"/>
      <c r="G385" s="20"/>
      <c r="H385" s="20"/>
      <c r="I385" s="20"/>
      <c r="J385" s="45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9"/>
      <c r="AQ385" s="29"/>
      <c r="AR385" s="29"/>
      <c r="AS385" s="29"/>
      <c r="AT385" s="29"/>
      <c r="AU385" s="29"/>
      <c r="AV385" s="29"/>
      <c r="AW385" s="29"/>
      <c r="AX385" s="29"/>
    </row>
    <row r="386">
      <c r="A386" s="20"/>
      <c r="B386" s="20"/>
      <c r="C386" s="20"/>
      <c r="D386" s="46"/>
      <c r="E386" s="20"/>
      <c r="F386" s="20"/>
      <c r="G386" s="20"/>
      <c r="H386" s="20"/>
      <c r="I386" s="20"/>
      <c r="J386" s="45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9"/>
      <c r="AQ386" s="29"/>
      <c r="AR386" s="29"/>
      <c r="AS386" s="29"/>
      <c r="AT386" s="29"/>
      <c r="AU386" s="29"/>
      <c r="AV386" s="29"/>
      <c r="AW386" s="29"/>
      <c r="AX386" s="29"/>
    </row>
    <row r="387">
      <c r="A387" s="20"/>
      <c r="B387" s="20"/>
      <c r="C387" s="20"/>
      <c r="D387" s="46"/>
      <c r="E387" s="20"/>
      <c r="F387" s="20"/>
      <c r="G387" s="20"/>
      <c r="H387" s="20"/>
      <c r="I387" s="20"/>
      <c r="J387" s="45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9"/>
      <c r="AQ387" s="29"/>
      <c r="AR387" s="29"/>
      <c r="AS387" s="29"/>
      <c r="AT387" s="29"/>
      <c r="AU387" s="29"/>
      <c r="AV387" s="29"/>
      <c r="AW387" s="29"/>
      <c r="AX387" s="29"/>
    </row>
    <row r="388">
      <c r="A388" s="20"/>
      <c r="B388" s="20"/>
      <c r="C388" s="20"/>
      <c r="D388" s="46"/>
      <c r="E388" s="20"/>
      <c r="F388" s="20"/>
      <c r="G388" s="20"/>
      <c r="H388" s="20"/>
      <c r="I388" s="20"/>
      <c r="J388" s="45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9"/>
      <c r="AQ388" s="29"/>
      <c r="AR388" s="29"/>
      <c r="AS388" s="29"/>
      <c r="AT388" s="29"/>
      <c r="AU388" s="29"/>
      <c r="AV388" s="29"/>
      <c r="AW388" s="29"/>
      <c r="AX388" s="29"/>
    </row>
    <row r="389">
      <c r="A389" s="20"/>
      <c r="B389" s="20"/>
      <c r="C389" s="20"/>
      <c r="D389" s="46"/>
      <c r="E389" s="20"/>
      <c r="F389" s="20"/>
      <c r="G389" s="20"/>
      <c r="H389" s="20"/>
      <c r="I389" s="20"/>
      <c r="J389" s="45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9"/>
      <c r="AQ389" s="29"/>
      <c r="AR389" s="29"/>
      <c r="AS389" s="29"/>
      <c r="AT389" s="29"/>
      <c r="AU389" s="29"/>
      <c r="AV389" s="29"/>
      <c r="AW389" s="29"/>
      <c r="AX389" s="29"/>
    </row>
    <row r="390">
      <c r="A390" s="20"/>
      <c r="B390" s="20"/>
      <c r="C390" s="20"/>
      <c r="D390" s="46"/>
      <c r="E390" s="20"/>
      <c r="F390" s="20"/>
      <c r="G390" s="20"/>
      <c r="H390" s="20"/>
      <c r="I390" s="20"/>
      <c r="J390" s="45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9"/>
      <c r="AQ390" s="29"/>
      <c r="AR390" s="29"/>
      <c r="AS390" s="29"/>
      <c r="AT390" s="29"/>
      <c r="AU390" s="29"/>
      <c r="AV390" s="29"/>
      <c r="AW390" s="29"/>
      <c r="AX390" s="29"/>
    </row>
    <row r="391">
      <c r="A391" s="20"/>
      <c r="B391" s="20"/>
      <c r="C391" s="20"/>
      <c r="D391" s="46"/>
      <c r="E391" s="20"/>
      <c r="F391" s="20"/>
      <c r="G391" s="20"/>
      <c r="H391" s="20"/>
      <c r="I391" s="20"/>
      <c r="J391" s="45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9"/>
      <c r="AQ391" s="29"/>
      <c r="AR391" s="29"/>
      <c r="AS391" s="29"/>
      <c r="AT391" s="29"/>
      <c r="AU391" s="29"/>
      <c r="AV391" s="29"/>
      <c r="AW391" s="29"/>
      <c r="AX391" s="29"/>
    </row>
    <row r="392">
      <c r="A392" s="20"/>
      <c r="B392" s="20"/>
      <c r="C392" s="20"/>
      <c r="D392" s="46"/>
      <c r="E392" s="20"/>
      <c r="F392" s="20"/>
      <c r="G392" s="20"/>
      <c r="H392" s="20"/>
      <c r="I392" s="20"/>
      <c r="J392" s="45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9"/>
      <c r="AQ392" s="29"/>
      <c r="AR392" s="29"/>
      <c r="AS392" s="29"/>
      <c r="AT392" s="29"/>
      <c r="AU392" s="29"/>
      <c r="AV392" s="29"/>
      <c r="AW392" s="29"/>
      <c r="AX392" s="29"/>
    </row>
    <row r="393">
      <c r="A393" s="20"/>
      <c r="B393" s="20"/>
      <c r="C393" s="20"/>
      <c r="D393" s="46"/>
      <c r="E393" s="20"/>
      <c r="F393" s="20"/>
      <c r="G393" s="20"/>
      <c r="H393" s="20"/>
      <c r="I393" s="20"/>
      <c r="J393" s="45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9"/>
      <c r="AQ393" s="29"/>
      <c r="AR393" s="29"/>
      <c r="AS393" s="29"/>
      <c r="AT393" s="29"/>
      <c r="AU393" s="29"/>
      <c r="AV393" s="29"/>
      <c r="AW393" s="29"/>
      <c r="AX393" s="29"/>
    </row>
    <row r="394">
      <c r="A394" s="20"/>
      <c r="B394" s="20"/>
      <c r="C394" s="20"/>
      <c r="D394" s="46"/>
      <c r="E394" s="20"/>
      <c r="F394" s="20"/>
      <c r="G394" s="20"/>
      <c r="H394" s="20"/>
      <c r="I394" s="20"/>
      <c r="J394" s="45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9"/>
      <c r="AQ394" s="29"/>
      <c r="AR394" s="29"/>
      <c r="AS394" s="29"/>
      <c r="AT394" s="29"/>
      <c r="AU394" s="29"/>
      <c r="AV394" s="29"/>
      <c r="AW394" s="29"/>
      <c r="AX394" s="29"/>
    </row>
    <row r="395">
      <c r="A395" s="20"/>
      <c r="B395" s="20"/>
      <c r="C395" s="20"/>
      <c r="D395" s="46"/>
      <c r="E395" s="20"/>
      <c r="F395" s="20"/>
      <c r="G395" s="20"/>
      <c r="H395" s="20"/>
      <c r="I395" s="20"/>
      <c r="J395" s="45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9"/>
      <c r="AQ395" s="29"/>
      <c r="AR395" s="29"/>
      <c r="AS395" s="29"/>
      <c r="AT395" s="29"/>
      <c r="AU395" s="29"/>
      <c r="AV395" s="29"/>
      <c r="AW395" s="29"/>
      <c r="AX395" s="29"/>
    </row>
    <row r="396">
      <c r="A396" s="20"/>
      <c r="B396" s="20"/>
      <c r="C396" s="20"/>
      <c r="D396" s="46"/>
      <c r="E396" s="20"/>
      <c r="F396" s="20"/>
      <c r="G396" s="20"/>
      <c r="H396" s="20"/>
      <c r="I396" s="20"/>
      <c r="J396" s="45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9"/>
      <c r="AQ396" s="29"/>
      <c r="AR396" s="29"/>
      <c r="AS396" s="29"/>
      <c r="AT396" s="29"/>
      <c r="AU396" s="29"/>
      <c r="AV396" s="29"/>
      <c r="AW396" s="29"/>
      <c r="AX396" s="29"/>
    </row>
    <row r="397">
      <c r="A397" s="20"/>
      <c r="B397" s="20"/>
      <c r="C397" s="20"/>
      <c r="D397" s="46"/>
      <c r="E397" s="20"/>
      <c r="F397" s="20"/>
      <c r="G397" s="20"/>
      <c r="H397" s="20"/>
      <c r="I397" s="20"/>
      <c r="J397" s="45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9"/>
      <c r="AQ397" s="29"/>
      <c r="AR397" s="29"/>
      <c r="AS397" s="29"/>
      <c r="AT397" s="29"/>
      <c r="AU397" s="29"/>
      <c r="AV397" s="29"/>
      <c r="AW397" s="29"/>
      <c r="AX397" s="29"/>
    </row>
    <row r="398">
      <c r="A398" s="20"/>
      <c r="B398" s="20"/>
      <c r="C398" s="20"/>
      <c r="D398" s="46"/>
      <c r="E398" s="20"/>
      <c r="F398" s="20"/>
      <c r="G398" s="20"/>
      <c r="H398" s="20"/>
      <c r="I398" s="20"/>
      <c r="J398" s="45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9"/>
      <c r="AQ398" s="29"/>
      <c r="AR398" s="29"/>
      <c r="AS398" s="29"/>
      <c r="AT398" s="29"/>
      <c r="AU398" s="29"/>
      <c r="AV398" s="29"/>
      <c r="AW398" s="29"/>
      <c r="AX398" s="29"/>
    </row>
    <row r="399">
      <c r="A399" s="20"/>
      <c r="B399" s="20"/>
      <c r="C399" s="20"/>
      <c r="D399" s="46"/>
      <c r="E399" s="20"/>
      <c r="F399" s="20"/>
      <c r="G399" s="20"/>
      <c r="H399" s="20"/>
      <c r="I399" s="20"/>
      <c r="J399" s="45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9"/>
      <c r="AQ399" s="29"/>
      <c r="AR399" s="29"/>
      <c r="AS399" s="29"/>
      <c r="AT399" s="29"/>
      <c r="AU399" s="29"/>
      <c r="AV399" s="29"/>
      <c r="AW399" s="29"/>
      <c r="AX399" s="29"/>
    </row>
    <row r="400">
      <c r="A400" s="20"/>
      <c r="B400" s="20"/>
      <c r="C400" s="20"/>
      <c r="D400" s="46"/>
      <c r="E400" s="20"/>
      <c r="F400" s="20"/>
      <c r="G400" s="20"/>
      <c r="H400" s="20"/>
      <c r="I400" s="20"/>
      <c r="J400" s="45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9"/>
      <c r="AQ400" s="29"/>
      <c r="AR400" s="29"/>
      <c r="AS400" s="29"/>
      <c r="AT400" s="29"/>
      <c r="AU400" s="29"/>
      <c r="AV400" s="29"/>
      <c r="AW400" s="29"/>
      <c r="AX400" s="29"/>
    </row>
    <row r="401">
      <c r="A401" s="20"/>
      <c r="B401" s="20"/>
      <c r="C401" s="20"/>
      <c r="D401" s="46"/>
      <c r="E401" s="20"/>
      <c r="F401" s="20"/>
      <c r="G401" s="20"/>
      <c r="H401" s="20"/>
      <c r="I401" s="20"/>
      <c r="J401" s="45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9"/>
      <c r="AQ401" s="29"/>
      <c r="AR401" s="29"/>
      <c r="AS401" s="29"/>
      <c r="AT401" s="29"/>
      <c r="AU401" s="29"/>
      <c r="AV401" s="29"/>
      <c r="AW401" s="29"/>
      <c r="AX401" s="29"/>
    </row>
    <row r="402">
      <c r="A402" s="20"/>
      <c r="B402" s="20"/>
      <c r="C402" s="20"/>
      <c r="D402" s="46"/>
      <c r="E402" s="20"/>
      <c r="F402" s="20"/>
      <c r="G402" s="20"/>
      <c r="H402" s="20"/>
      <c r="I402" s="20"/>
      <c r="J402" s="45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9"/>
      <c r="AQ402" s="29"/>
      <c r="AR402" s="29"/>
      <c r="AS402" s="29"/>
      <c r="AT402" s="29"/>
      <c r="AU402" s="29"/>
      <c r="AV402" s="29"/>
      <c r="AW402" s="29"/>
      <c r="AX402" s="29"/>
    </row>
    <row r="403">
      <c r="A403" s="20"/>
      <c r="B403" s="20"/>
      <c r="C403" s="20"/>
      <c r="D403" s="46"/>
      <c r="E403" s="20"/>
      <c r="F403" s="20"/>
      <c r="G403" s="20"/>
      <c r="H403" s="20"/>
      <c r="I403" s="20"/>
      <c r="J403" s="45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9"/>
      <c r="AQ403" s="29"/>
      <c r="AR403" s="29"/>
      <c r="AS403" s="29"/>
      <c r="AT403" s="29"/>
      <c r="AU403" s="29"/>
      <c r="AV403" s="29"/>
      <c r="AW403" s="29"/>
      <c r="AX403" s="29"/>
    </row>
    <row r="404">
      <c r="A404" s="20"/>
      <c r="B404" s="20"/>
      <c r="C404" s="20"/>
      <c r="D404" s="46"/>
      <c r="E404" s="20"/>
      <c r="F404" s="20"/>
      <c r="G404" s="20"/>
      <c r="H404" s="20"/>
      <c r="I404" s="20"/>
      <c r="J404" s="45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9"/>
      <c r="AQ404" s="29"/>
      <c r="AR404" s="29"/>
      <c r="AS404" s="29"/>
      <c r="AT404" s="29"/>
      <c r="AU404" s="29"/>
      <c r="AV404" s="29"/>
      <c r="AW404" s="29"/>
      <c r="AX404" s="29"/>
    </row>
    <row r="405">
      <c r="A405" s="20"/>
      <c r="B405" s="20"/>
      <c r="C405" s="20"/>
      <c r="D405" s="46"/>
      <c r="E405" s="20"/>
      <c r="F405" s="20"/>
      <c r="G405" s="20"/>
      <c r="H405" s="20"/>
      <c r="I405" s="20"/>
      <c r="J405" s="45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9"/>
      <c r="AQ405" s="29"/>
      <c r="AR405" s="29"/>
      <c r="AS405" s="29"/>
      <c r="AT405" s="29"/>
      <c r="AU405" s="29"/>
      <c r="AV405" s="29"/>
      <c r="AW405" s="29"/>
      <c r="AX405" s="29"/>
    </row>
    <row r="406">
      <c r="A406" s="20"/>
      <c r="B406" s="20"/>
      <c r="C406" s="20"/>
      <c r="D406" s="46"/>
      <c r="E406" s="20"/>
      <c r="F406" s="20"/>
      <c r="G406" s="20"/>
      <c r="H406" s="20"/>
      <c r="I406" s="20"/>
      <c r="J406" s="45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9"/>
      <c r="AQ406" s="29"/>
      <c r="AR406" s="29"/>
      <c r="AS406" s="29"/>
      <c r="AT406" s="29"/>
      <c r="AU406" s="29"/>
      <c r="AV406" s="29"/>
      <c r="AW406" s="29"/>
      <c r="AX406" s="29"/>
    </row>
    <row r="407">
      <c r="A407" s="20"/>
      <c r="B407" s="20"/>
      <c r="C407" s="20"/>
      <c r="D407" s="46"/>
      <c r="E407" s="20"/>
      <c r="F407" s="20"/>
      <c r="G407" s="20"/>
      <c r="H407" s="20"/>
      <c r="I407" s="20"/>
      <c r="J407" s="45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9"/>
      <c r="AQ407" s="29"/>
      <c r="AR407" s="29"/>
      <c r="AS407" s="29"/>
      <c r="AT407" s="29"/>
      <c r="AU407" s="29"/>
      <c r="AV407" s="29"/>
      <c r="AW407" s="29"/>
      <c r="AX407" s="29"/>
    </row>
    <row r="408">
      <c r="A408" s="20"/>
      <c r="B408" s="20"/>
      <c r="C408" s="20"/>
      <c r="D408" s="46"/>
      <c r="E408" s="20"/>
      <c r="F408" s="20"/>
      <c r="G408" s="20"/>
      <c r="H408" s="20"/>
      <c r="I408" s="20"/>
      <c r="J408" s="45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9"/>
      <c r="AQ408" s="29"/>
      <c r="AR408" s="29"/>
      <c r="AS408" s="29"/>
      <c r="AT408" s="29"/>
      <c r="AU408" s="29"/>
      <c r="AV408" s="29"/>
      <c r="AW408" s="29"/>
      <c r="AX408" s="29"/>
    </row>
    <row r="409">
      <c r="A409" s="20"/>
      <c r="B409" s="20"/>
      <c r="C409" s="20"/>
      <c r="D409" s="46"/>
      <c r="E409" s="20"/>
      <c r="F409" s="20"/>
      <c r="G409" s="20"/>
      <c r="H409" s="20"/>
      <c r="I409" s="20"/>
      <c r="J409" s="45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9"/>
      <c r="AQ409" s="29"/>
      <c r="AR409" s="29"/>
      <c r="AS409" s="29"/>
      <c r="AT409" s="29"/>
      <c r="AU409" s="29"/>
      <c r="AV409" s="29"/>
      <c r="AW409" s="29"/>
      <c r="AX409" s="29"/>
    </row>
    <row r="410">
      <c r="A410" s="20"/>
      <c r="B410" s="20"/>
      <c r="C410" s="20"/>
      <c r="D410" s="46"/>
      <c r="E410" s="20"/>
      <c r="F410" s="20"/>
      <c r="G410" s="20"/>
      <c r="H410" s="20"/>
      <c r="I410" s="20"/>
      <c r="J410" s="45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9"/>
      <c r="AQ410" s="29"/>
      <c r="AR410" s="29"/>
      <c r="AS410" s="29"/>
      <c r="AT410" s="29"/>
      <c r="AU410" s="29"/>
      <c r="AV410" s="29"/>
      <c r="AW410" s="29"/>
      <c r="AX410" s="29"/>
    </row>
    <row r="411">
      <c r="A411" s="20"/>
      <c r="B411" s="20"/>
      <c r="C411" s="20"/>
      <c r="D411" s="46"/>
      <c r="E411" s="20"/>
      <c r="F411" s="20"/>
      <c r="G411" s="20"/>
      <c r="H411" s="20"/>
      <c r="I411" s="20"/>
      <c r="J411" s="45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9"/>
      <c r="AQ411" s="29"/>
      <c r="AR411" s="29"/>
      <c r="AS411" s="29"/>
      <c r="AT411" s="29"/>
      <c r="AU411" s="29"/>
      <c r="AV411" s="29"/>
      <c r="AW411" s="29"/>
      <c r="AX411" s="29"/>
    </row>
    <row r="412">
      <c r="A412" s="20"/>
      <c r="B412" s="20"/>
      <c r="C412" s="20"/>
      <c r="D412" s="46"/>
      <c r="E412" s="20"/>
      <c r="F412" s="20"/>
      <c r="G412" s="20"/>
      <c r="H412" s="20"/>
      <c r="I412" s="20"/>
      <c r="J412" s="45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9"/>
      <c r="AQ412" s="29"/>
      <c r="AR412" s="29"/>
      <c r="AS412" s="29"/>
      <c r="AT412" s="29"/>
      <c r="AU412" s="29"/>
      <c r="AV412" s="29"/>
      <c r="AW412" s="29"/>
      <c r="AX412" s="29"/>
    </row>
    <row r="413">
      <c r="A413" s="20"/>
      <c r="B413" s="20"/>
      <c r="C413" s="20"/>
      <c r="D413" s="46"/>
      <c r="E413" s="20"/>
      <c r="F413" s="20"/>
      <c r="G413" s="20"/>
      <c r="H413" s="20"/>
      <c r="I413" s="20"/>
      <c r="J413" s="45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9"/>
      <c r="AQ413" s="29"/>
      <c r="AR413" s="29"/>
      <c r="AS413" s="29"/>
      <c r="AT413" s="29"/>
      <c r="AU413" s="29"/>
      <c r="AV413" s="29"/>
      <c r="AW413" s="29"/>
      <c r="AX413" s="29"/>
    </row>
    <row r="414">
      <c r="A414" s="20"/>
      <c r="B414" s="20"/>
      <c r="C414" s="20"/>
      <c r="D414" s="46"/>
      <c r="E414" s="20"/>
      <c r="F414" s="20"/>
      <c r="G414" s="20"/>
      <c r="H414" s="20"/>
      <c r="I414" s="20"/>
      <c r="J414" s="45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9"/>
      <c r="AQ414" s="29"/>
      <c r="AR414" s="29"/>
      <c r="AS414" s="29"/>
      <c r="AT414" s="29"/>
      <c r="AU414" s="29"/>
      <c r="AV414" s="29"/>
      <c r="AW414" s="29"/>
      <c r="AX414" s="29"/>
    </row>
    <row r="415">
      <c r="A415" s="20"/>
      <c r="B415" s="20"/>
      <c r="C415" s="20"/>
      <c r="D415" s="46"/>
      <c r="E415" s="20"/>
      <c r="F415" s="20"/>
      <c r="G415" s="20"/>
      <c r="H415" s="20"/>
      <c r="I415" s="20"/>
      <c r="J415" s="45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9"/>
      <c r="AQ415" s="29"/>
      <c r="AR415" s="29"/>
      <c r="AS415" s="29"/>
      <c r="AT415" s="29"/>
      <c r="AU415" s="29"/>
      <c r="AV415" s="29"/>
      <c r="AW415" s="29"/>
      <c r="AX415" s="29"/>
    </row>
    <row r="416">
      <c r="A416" s="20"/>
      <c r="B416" s="20"/>
      <c r="C416" s="20"/>
      <c r="D416" s="46"/>
      <c r="E416" s="20"/>
      <c r="F416" s="20"/>
      <c r="G416" s="20"/>
      <c r="H416" s="20"/>
      <c r="I416" s="20"/>
      <c r="J416" s="45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9"/>
      <c r="AQ416" s="29"/>
      <c r="AR416" s="29"/>
      <c r="AS416" s="29"/>
      <c r="AT416" s="29"/>
      <c r="AU416" s="29"/>
      <c r="AV416" s="29"/>
      <c r="AW416" s="29"/>
      <c r="AX416" s="29"/>
    </row>
    <row r="417">
      <c r="A417" s="20"/>
      <c r="B417" s="20"/>
      <c r="C417" s="20"/>
      <c r="D417" s="46"/>
      <c r="E417" s="20"/>
      <c r="F417" s="20"/>
      <c r="G417" s="20"/>
      <c r="H417" s="20"/>
      <c r="I417" s="20"/>
      <c r="J417" s="45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9"/>
      <c r="AQ417" s="29"/>
      <c r="AR417" s="29"/>
      <c r="AS417" s="29"/>
      <c r="AT417" s="29"/>
      <c r="AU417" s="29"/>
      <c r="AV417" s="29"/>
      <c r="AW417" s="29"/>
      <c r="AX417" s="29"/>
    </row>
    <row r="418">
      <c r="A418" s="20"/>
      <c r="B418" s="20"/>
      <c r="C418" s="20"/>
      <c r="D418" s="46"/>
      <c r="E418" s="20"/>
      <c r="F418" s="20"/>
      <c r="G418" s="20"/>
      <c r="H418" s="20"/>
      <c r="I418" s="20"/>
      <c r="J418" s="45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9"/>
      <c r="AQ418" s="29"/>
      <c r="AR418" s="29"/>
      <c r="AS418" s="29"/>
      <c r="AT418" s="29"/>
      <c r="AU418" s="29"/>
      <c r="AV418" s="29"/>
      <c r="AW418" s="29"/>
      <c r="AX418" s="29"/>
    </row>
    <row r="419">
      <c r="A419" s="20"/>
      <c r="B419" s="20"/>
      <c r="C419" s="20"/>
      <c r="D419" s="46"/>
      <c r="E419" s="20"/>
      <c r="F419" s="20"/>
      <c r="G419" s="20"/>
      <c r="H419" s="20"/>
      <c r="I419" s="20"/>
      <c r="J419" s="45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9"/>
      <c r="AQ419" s="29"/>
      <c r="AR419" s="29"/>
      <c r="AS419" s="29"/>
      <c r="AT419" s="29"/>
      <c r="AU419" s="29"/>
      <c r="AV419" s="29"/>
      <c r="AW419" s="29"/>
      <c r="AX419" s="29"/>
    </row>
    <row r="420">
      <c r="A420" s="20"/>
      <c r="B420" s="20"/>
      <c r="C420" s="20"/>
      <c r="D420" s="46"/>
      <c r="E420" s="20"/>
      <c r="F420" s="20"/>
      <c r="G420" s="20"/>
      <c r="H420" s="20"/>
      <c r="I420" s="20"/>
      <c r="J420" s="45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9"/>
      <c r="AQ420" s="29"/>
      <c r="AR420" s="29"/>
      <c r="AS420" s="29"/>
      <c r="AT420" s="29"/>
      <c r="AU420" s="29"/>
      <c r="AV420" s="29"/>
      <c r="AW420" s="29"/>
      <c r="AX420" s="29"/>
    </row>
    <row r="421">
      <c r="A421" s="20"/>
      <c r="B421" s="20"/>
      <c r="C421" s="20"/>
      <c r="D421" s="46"/>
      <c r="E421" s="20"/>
      <c r="F421" s="20"/>
      <c r="G421" s="20"/>
      <c r="H421" s="20"/>
      <c r="I421" s="20"/>
      <c r="J421" s="45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9"/>
      <c r="AQ421" s="29"/>
      <c r="AR421" s="29"/>
      <c r="AS421" s="29"/>
      <c r="AT421" s="29"/>
      <c r="AU421" s="29"/>
      <c r="AV421" s="29"/>
      <c r="AW421" s="29"/>
      <c r="AX421" s="29"/>
    </row>
    <row r="422">
      <c r="A422" s="20"/>
      <c r="B422" s="20"/>
      <c r="C422" s="20"/>
      <c r="D422" s="46"/>
      <c r="E422" s="20"/>
      <c r="F422" s="20"/>
      <c r="G422" s="20"/>
      <c r="H422" s="20"/>
      <c r="I422" s="20"/>
      <c r="J422" s="45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9"/>
      <c r="AQ422" s="29"/>
      <c r="AR422" s="29"/>
      <c r="AS422" s="29"/>
      <c r="AT422" s="29"/>
      <c r="AU422" s="29"/>
      <c r="AV422" s="29"/>
      <c r="AW422" s="29"/>
      <c r="AX422" s="29"/>
    </row>
    <row r="423">
      <c r="A423" s="20"/>
      <c r="B423" s="20"/>
      <c r="C423" s="20"/>
      <c r="D423" s="46"/>
      <c r="E423" s="20"/>
      <c r="F423" s="20"/>
      <c r="G423" s="20"/>
      <c r="H423" s="20"/>
      <c r="I423" s="20"/>
      <c r="J423" s="45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9"/>
      <c r="AQ423" s="29"/>
      <c r="AR423" s="29"/>
      <c r="AS423" s="29"/>
      <c r="AT423" s="29"/>
      <c r="AU423" s="29"/>
      <c r="AV423" s="29"/>
      <c r="AW423" s="29"/>
      <c r="AX423" s="29"/>
    </row>
    <row r="424">
      <c r="A424" s="20"/>
      <c r="B424" s="20"/>
      <c r="C424" s="20"/>
      <c r="D424" s="46"/>
      <c r="E424" s="20"/>
      <c r="F424" s="20"/>
      <c r="G424" s="20"/>
      <c r="H424" s="20"/>
      <c r="I424" s="20"/>
      <c r="J424" s="45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9"/>
      <c r="AQ424" s="29"/>
      <c r="AR424" s="29"/>
      <c r="AS424" s="29"/>
      <c r="AT424" s="29"/>
      <c r="AU424" s="29"/>
      <c r="AV424" s="29"/>
      <c r="AW424" s="29"/>
      <c r="AX424" s="29"/>
    </row>
    <row r="425">
      <c r="A425" s="20"/>
      <c r="B425" s="20"/>
      <c r="C425" s="20"/>
      <c r="D425" s="46"/>
      <c r="E425" s="20"/>
      <c r="F425" s="20"/>
      <c r="G425" s="20"/>
      <c r="H425" s="20"/>
      <c r="I425" s="20"/>
      <c r="J425" s="45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9"/>
      <c r="AQ425" s="29"/>
      <c r="AR425" s="29"/>
      <c r="AS425" s="29"/>
      <c r="AT425" s="29"/>
      <c r="AU425" s="29"/>
      <c r="AV425" s="29"/>
      <c r="AW425" s="29"/>
      <c r="AX425" s="29"/>
    </row>
    <row r="426">
      <c r="A426" s="20"/>
      <c r="B426" s="20"/>
      <c r="C426" s="20"/>
      <c r="D426" s="46"/>
      <c r="E426" s="20"/>
      <c r="F426" s="20"/>
      <c r="G426" s="20"/>
      <c r="H426" s="20"/>
      <c r="I426" s="20"/>
      <c r="J426" s="45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9"/>
      <c r="AQ426" s="29"/>
      <c r="AR426" s="29"/>
      <c r="AS426" s="29"/>
      <c r="AT426" s="29"/>
      <c r="AU426" s="29"/>
      <c r="AV426" s="29"/>
      <c r="AW426" s="29"/>
      <c r="AX426" s="29"/>
    </row>
    <row r="427">
      <c r="A427" s="20"/>
      <c r="B427" s="20"/>
      <c r="C427" s="20"/>
      <c r="D427" s="46"/>
      <c r="E427" s="20"/>
      <c r="F427" s="20"/>
      <c r="G427" s="20"/>
      <c r="H427" s="20"/>
      <c r="I427" s="20"/>
      <c r="J427" s="45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9"/>
      <c r="AQ427" s="29"/>
      <c r="AR427" s="29"/>
      <c r="AS427" s="29"/>
      <c r="AT427" s="29"/>
      <c r="AU427" s="29"/>
      <c r="AV427" s="29"/>
      <c r="AW427" s="29"/>
      <c r="AX427" s="29"/>
    </row>
    <row r="428">
      <c r="A428" s="20"/>
      <c r="B428" s="20"/>
      <c r="C428" s="20"/>
      <c r="D428" s="46"/>
      <c r="E428" s="20"/>
      <c r="F428" s="20"/>
      <c r="G428" s="20"/>
      <c r="H428" s="20"/>
      <c r="I428" s="20"/>
      <c r="J428" s="45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9"/>
      <c r="AQ428" s="29"/>
      <c r="AR428" s="29"/>
      <c r="AS428" s="29"/>
      <c r="AT428" s="29"/>
      <c r="AU428" s="29"/>
      <c r="AV428" s="29"/>
      <c r="AW428" s="29"/>
      <c r="AX428" s="29"/>
    </row>
    <row r="429">
      <c r="A429" s="20"/>
      <c r="B429" s="20"/>
      <c r="C429" s="20"/>
      <c r="D429" s="46"/>
      <c r="E429" s="20"/>
      <c r="F429" s="20"/>
      <c r="G429" s="20"/>
      <c r="H429" s="20"/>
      <c r="I429" s="20"/>
      <c r="J429" s="45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9"/>
      <c r="AQ429" s="29"/>
      <c r="AR429" s="29"/>
      <c r="AS429" s="29"/>
      <c r="AT429" s="29"/>
      <c r="AU429" s="29"/>
      <c r="AV429" s="29"/>
      <c r="AW429" s="29"/>
      <c r="AX429" s="29"/>
    </row>
    <row r="430">
      <c r="A430" s="20"/>
      <c r="B430" s="20"/>
      <c r="C430" s="20"/>
      <c r="D430" s="46"/>
      <c r="E430" s="20"/>
      <c r="F430" s="20"/>
      <c r="G430" s="20"/>
      <c r="H430" s="20"/>
      <c r="I430" s="20"/>
      <c r="J430" s="45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9"/>
      <c r="AQ430" s="29"/>
      <c r="AR430" s="29"/>
      <c r="AS430" s="29"/>
      <c r="AT430" s="29"/>
      <c r="AU430" s="29"/>
      <c r="AV430" s="29"/>
      <c r="AW430" s="29"/>
      <c r="AX430" s="29"/>
    </row>
    <row r="431">
      <c r="A431" s="20"/>
      <c r="B431" s="20"/>
      <c r="C431" s="20"/>
      <c r="D431" s="46"/>
      <c r="E431" s="20"/>
      <c r="F431" s="20"/>
      <c r="G431" s="20"/>
      <c r="H431" s="20"/>
      <c r="I431" s="20"/>
      <c r="J431" s="45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9"/>
      <c r="AQ431" s="29"/>
      <c r="AR431" s="29"/>
      <c r="AS431" s="29"/>
      <c r="AT431" s="29"/>
      <c r="AU431" s="29"/>
      <c r="AV431" s="29"/>
      <c r="AW431" s="29"/>
      <c r="AX431" s="29"/>
    </row>
    <row r="432">
      <c r="A432" s="20"/>
      <c r="B432" s="20"/>
      <c r="C432" s="20"/>
      <c r="D432" s="46"/>
      <c r="E432" s="20"/>
      <c r="F432" s="20"/>
      <c r="G432" s="20"/>
      <c r="H432" s="20"/>
      <c r="I432" s="20"/>
      <c r="J432" s="45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9"/>
      <c r="AQ432" s="29"/>
      <c r="AR432" s="29"/>
      <c r="AS432" s="29"/>
      <c r="AT432" s="29"/>
      <c r="AU432" s="29"/>
      <c r="AV432" s="29"/>
      <c r="AW432" s="29"/>
      <c r="AX432" s="29"/>
    </row>
    <row r="433">
      <c r="A433" s="20"/>
      <c r="B433" s="20"/>
      <c r="C433" s="20"/>
      <c r="D433" s="46"/>
      <c r="E433" s="20"/>
      <c r="F433" s="20"/>
      <c r="G433" s="20"/>
      <c r="H433" s="20"/>
      <c r="I433" s="20"/>
      <c r="J433" s="45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9"/>
      <c r="AQ433" s="29"/>
      <c r="AR433" s="29"/>
      <c r="AS433" s="29"/>
      <c r="AT433" s="29"/>
      <c r="AU433" s="29"/>
      <c r="AV433" s="29"/>
      <c r="AW433" s="29"/>
      <c r="AX433" s="29"/>
    </row>
    <row r="434">
      <c r="A434" s="20"/>
      <c r="B434" s="20"/>
      <c r="C434" s="20"/>
      <c r="D434" s="46"/>
      <c r="E434" s="20"/>
      <c r="F434" s="20"/>
      <c r="G434" s="20"/>
      <c r="H434" s="20"/>
      <c r="I434" s="20"/>
      <c r="J434" s="45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9"/>
      <c r="AQ434" s="29"/>
      <c r="AR434" s="29"/>
      <c r="AS434" s="29"/>
      <c r="AT434" s="29"/>
      <c r="AU434" s="29"/>
      <c r="AV434" s="29"/>
      <c r="AW434" s="29"/>
      <c r="AX434" s="29"/>
    </row>
    <row r="435">
      <c r="A435" s="20"/>
      <c r="B435" s="20"/>
      <c r="C435" s="20"/>
      <c r="D435" s="46"/>
      <c r="E435" s="20"/>
      <c r="F435" s="20"/>
      <c r="G435" s="20"/>
      <c r="H435" s="20"/>
      <c r="I435" s="20"/>
      <c r="J435" s="45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9"/>
      <c r="AQ435" s="29"/>
      <c r="AR435" s="29"/>
      <c r="AS435" s="29"/>
      <c r="AT435" s="29"/>
      <c r="AU435" s="29"/>
      <c r="AV435" s="29"/>
      <c r="AW435" s="29"/>
      <c r="AX435" s="29"/>
    </row>
    <row r="436">
      <c r="A436" s="20"/>
      <c r="B436" s="20"/>
      <c r="C436" s="20"/>
      <c r="D436" s="46"/>
      <c r="E436" s="20"/>
      <c r="F436" s="20"/>
      <c r="G436" s="20"/>
      <c r="H436" s="20"/>
      <c r="I436" s="20"/>
      <c r="J436" s="45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9"/>
      <c r="AQ436" s="29"/>
      <c r="AR436" s="29"/>
      <c r="AS436" s="29"/>
      <c r="AT436" s="29"/>
      <c r="AU436" s="29"/>
      <c r="AV436" s="29"/>
      <c r="AW436" s="29"/>
      <c r="AX436" s="29"/>
    </row>
    <row r="437">
      <c r="A437" s="20"/>
      <c r="B437" s="20"/>
      <c r="C437" s="20"/>
      <c r="D437" s="46"/>
      <c r="E437" s="20"/>
      <c r="F437" s="20"/>
      <c r="G437" s="20"/>
      <c r="H437" s="20"/>
      <c r="I437" s="20"/>
      <c r="J437" s="45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9"/>
      <c r="AQ437" s="29"/>
      <c r="AR437" s="29"/>
      <c r="AS437" s="29"/>
      <c r="AT437" s="29"/>
      <c r="AU437" s="29"/>
      <c r="AV437" s="29"/>
      <c r="AW437" s="29"/>
      <c r="AX437" s="29"/>
    </row>
    <row r="438">
      <c r="A438" s="20"/>
      <c r="B438" s="20"/>
      <c r="C438" s="20"/>
      <c r="D438" s="46"/>
      <c r="E438" s="20"/>
      <c r="F438" s="20"/>
      <c r="G438" s="20"/>
      <c r="H438" s="20"/>
      <c r="I438" s="20"/>
      <c r="J438" s="45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9"/>
      <c r="AQ438" s="29"/>
      <c r="AR438" s="29"/>
      <c r="AS438" s="29"/>
      <c r="AT438" s="29"/>
      <c r="AU438" s="29"/>
      <c r="AV438" s="29"/>
      <c r="AW438" s="29"/>
      <c r="AX438" s="29"/>
    </row>
    <row r="439">
      <c r="A439" s="20"/>
      <c r="B439" s="20"/>
      <c r="C439" s="20"/>
      <c r="D439" s="46"/>
      <c r="E439" s="20"/>
      <c r="F439" s="20"/>
      <c r="G439" s="20"/>
      <c r="H439" s="20"/>
      <c r="I439" s="20"/>
      <c r="J439" s="45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9"/>
      <c r="AQ439" s="29"/>
      <c r="AR439" s="29"/>
      <c r="AS439" s="29"/>
      <c r="AT439" s="29"/>
      <c r="AU439" s="29"/>
      <c r="AV439" s="29"/>
      <c r="AW439" s="29"/>
      <c r="AX439" s="29"/>
    </row>
    <row r="440">
      <c r="A440" s="20"/>
      <c r="B440" s="20"/>
      <c r="C440" s="20"/>
      <c r="D440" s="46"/>
      <c r="E440" s="20"/>
      <c r="F440" s="20"/>
      <c r="G440" s="20"/>
      <c r="H440" s="20"/>
      <c r="I440" s="20"/>
      <c r="J440" s="45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9"/>
      <c r="AQ440" s="29"/>
      <c r="AR440" s="29"/>
      <c r="AS440" s="29"/>
      <c r="AT440" s="29"/>
      <c r="AU440" s="29"/>
      <c r="AV440" s="29"/>
      <c r="AW440" s="29"/>
      <c r="AX440" s="29"/>
    </row>
    <row r="441">
      <c r="A441" s="20"/>
      <c r="B441" s="20"/>
      <c r="C441" s="20"/>
      <c r="D441" s="46"/>
      <c r="E441" s="20"/>
      <c r="F441" s="20"/>
      <c r="G441" s="20"/>
      <c r="H441" s="20"/>
      <c r="I441" s="20"/>
      <c r="J441" s="45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9"/>
      <c r="AQ441" s="29"/>
      <c r="AR441" s="29"/>
      <c r="AS441" s="29"/>
      <c r="AT441" s="29"/>
      <c r="AU441" s="29"/>
      <c r="AV441" s="29"/>
      <c r="AW441" s="29"/>
      <c r="AX441" s="29"/>
    </row>
    <row r="442">
      <c r="A442" s="20"/>
      <c r="B442" s="20"/>
      <c r="C442" s="20"/>
      <c r="D442" s="46"/>
      <c r="E442" s="20"/>
      <c r="F442" s="20"/>
      <c r="G442" s="20"/>
      <c r="H442" s="20"/>
      <c r="I442" s="20"/>
      <c r="J442" s="45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9"/>
      <c r="AQ442" s="29"/>
      <c r="AR442" s="29"/>
      <c r="AS442" s="29"/>
      <c r="AT442" s="29"/>
      <c r="AU442" s="29"/>
      <c r="AV442" s="29"/>
      <c r="AW442" s="29"/>
      <c r="AX442" s="29"/>
    </row>
    <row r="443">
      <c r="A443" s="20"/>
      <c r="B443" s="20"/>
      <c r="C443" s="20"/>
      <c r="D443" s="46"/>
      <c r="E443" s="20"/>
      <c r="F443" s="20"/>
      <c r="G443" s="20"/>
      <c r="H443" s="20"/>
      <c r="I443" s="20"/>
      <c r="J443" s="45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9"/>
      <c r="AQ443" s="29"/>
      <c r="AR443" s="29"/>
      <c r="AS443" s="29"/>
      <c r="AT443" s="29"/>
      <c r="AU443" s="29"/>
      <c r="AV443" s="29"/>
      <c r="AW443" s="29"/>
      <c r="AX443" s="29"/>
    </row>
    <row r="444">
      <c r="A444" s="20"/>
      <c r="B444" s="20"/>
      <c r="C444" s="20"/>
      <c r="D444" s="46"/>
      <c r="E444" s="20"/>
      <c r="F444" s="20"/>
      <c r="G444" s="20"/>
      <c r="H444" s="20"/>
      <c r="I444" s="20"/>
      <c r="J444" s="45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9"/>
      <c r="AQ444" s="29"/>
      <c r="AR444" s="29"/>
      <c r="AS444" s="29"/>
      <c r="AT444" s="29"/>
      <c r="AU444" s="29"/>
      <c r="AV444" s="29"/>
      <c r="AW444" s="29"/>
      <c r="AX444" s="29"/>
    </row>
    <row r="445">
      <c r="A445" s="20"/>
      <c r="B445" s="20"/>
      <c r="C445" s="20"/>
      <c r="D445" s="46"/>
      <c r="E445" s="20"/>
      <c r="F445" s="20"/>
      <c r="G445" s="20"/>
      <c r="H445" s="20"/>
      <c r="I445" s="20"/>
      <c r="J445" s="45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9"/>
      <c r="AQ445" s="29"/>
      <c r="AR445" s="29"/>
      <c r="AS445" s="29"/>
      <c r="AT445" s="29"/>
      <c r="AU445" s="29"/>
      <c r="AV445" s="29"/>
      <c r="AW445" s="29"/>
      <c r="AX445" s="29"/>
    </row>
    <row r="446">
      <c r="A446" s="20"/>
      <c r="B446" s="20"/>
      <c r="C446" s="20"/>
      <c r="D446" s="46"/>
      <c r="E446" s="20"/>
      <c r="F446" s="20"/>
      <c r="G446" s="20"/>
      <c r="H446" s="20"/>
      <c r="I446" s="20"/>
      <c r="J446" s="45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9"/>
      <c r="AQ446" s="29"/>
      <c r="AR446" s="29"/>
      <c r="AS446" s="29"/>
      <c r="AT446" s="29"/>
      <c r="AU446" s="29"/>
      <c r="AV446" s="29"/>
      <c r="AW446" s="29"/>
      <c r="AX446" s="29"/>
    </row>
    <row r="447">
      <c r="A447" s="20"/>
      <c r="B447" s="20"/>
      <c r="C447" s="20"/>
      <c r="D447" s="46"/>
      <c r="E447" s="20"/>
      <c r="F447" s="20"/>
      <c r="G447" s="20"/>
      <c r="H447" s="20"/>
      <c r="I447" s="20"/>
      <c r="J447" s="45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9"/>
      <c r="AQ447" s="29"/>
      <c r="AR447" s="29"/>
      <c r="AS447" s="29"/>
      <c r="AT447" s="29"/>
      <c r="AU447" s="29"/>
      <c r="AV447" s="29"/>
      <c r="AW447" s="29"/>
      <c r="AX447" s="29"/>
    </row>
    <row r="448">
      <c r="A448" s="20"/>
      <c r="B448" s="20"/>
      <c r="C448" s="20"/>
      <c r="D448" s="46"/>
      <c r="E448" s="20"/>
      <c r="F448" s="20"/>
      <c r="G448" s="20"/>
      <c r="H448" s="20"/>
      <c r="I448" s="20"/>
      <c r="J448" s="45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9"/>
      <c r="AQ448" s="29"/>
      <c r="AR448" s="29"/>
      <c r="AS448" s="29"/>
      <c r="AT448" s="29"/>
      <c r="AU448" s="29"/>
      <c r="AV448" s="29"/>
      <c r="AW448" s="29"/>
      <c r="AX448" s="29"/>
    </row>
    <row r="449">
      <c r="A449" s="20"/>
      <c r="B449" s="20"/>
      <c r="C449" s="20"/>
      <c r="D449" s="46"/>
      <c r="E449" s="20"/>
      <c r="F449" s="20"/>
      <c r="G449" s="20"/>
      <c r="H449" s="20"/>
      <c r="I449" s="20"/>
      <c r="J449" s="45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9"/>
      <c r="AQ449" s="29"/>
      <c r="AR449" s="29"/>
      <c r="AS449" s="29"/>
      <c r="AT449" s="29"/>
      <c r="AU449" s="29"/>
      <c r="AV449" s="29"/>
      <c r="AW449" s="29"/>
      <c r="AX449" s="29"/>
    </row>
    <row r="450">
      <c r="A450" s="20"/>
      <c r="B450" s="20"/>
      <c r="C450" s="20"/>
      <c r="D450" s="46"/>
      <c r="E450" s="20"/>
      <c r="F450" s="20"/>
      <c r="G450" s="20"/>
      <c r="H450" s="20"/>
      <c r="I450" s="20"/>
      <c r="J450" s="45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9"/>
      <c r="AQ450" s="29"/>
      <c r="AR450" s="29"/>
      <c r="AS450" s="29"/>
      <c r="AT450" s="29"/>
      <c r="AU450" s="29"/>
      <c r="AV450" s="29"/>
      <c r="AW450" s="29"/>
      <c r="AX450" s="29"/>
    </row>
    <row r="451">
      <c r="A451" s="20"/>
      <c r="B451" s="20"/>
      <c r="C451" s="20"/>
      <c r="D451" s="46"/>
      <c r="E451" s="20"/>
      <c r="F451" s="20"/>
      <c r="G451" s="20"/>
      <c r="H451" s="20"/>
      <c r="I451" s="20"/>
      <c r="J451" s="45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9"/>
      <c r="AQ451" s="29"/>
      <c r="AR451" s="29"/>
      <c r="AS451" s="29"/>
      <c r="AT451" s="29"/>
      <c r="AU451" s="29"/>
      <c r="AV451" s="29"/>
      <c r="AW451" s="29"/>
      <c r="AX451" s="29"/>
    </row>
    <row r="452">
      <c r="A452" s="20"/>
      <c r="B452" s="20"/>
      <c r="C452" s="20"/>
      <c r="D452" s="46"/>
      <c r="E452" s="20"/>
      <c r="F452" s="20"/>
      <c r="G452" s="20"/>
      <c r="H452" s="20"/>
      <c r="I452" s="20"/>
      <c r="J452" s="45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9"/>
      <c r="AQ452" s="29"/>
      <c r="AR452" s="29"/>
      <c r="AS452" s="29"/>
      <c r="AT452" s="29"/>
      <c r="AU452" s="29"/>
      <c r="AV452" s="29"/>
      <c r="AW452" s="29"/>
      <c r="AX452" s="29"/>
    </row>
    <row r="453">
      <c r="A453" s="20"/>
      <c r="B453" s="20"/>
      <c r="C453" s="20"/>
      <c r="D453" s="46"/>
      <c r="E453" s="20"/>
      <c r="F453" s="20"/>
      <c r="G453" s="20"/>
      <c r="H453" s="20"/>
      <c r="I453" s="20"/>
      <c r="J453" s="45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9"/>
      <c r="AQ453" s="29"/>
      <c r="AR453" s="29"/>
      <c r="AS453" s="29"/>
      <c r="AT453" s="29"/>
      <c r="AU453" s="29"/>
      <c r="AV453" s="29"/>
      <c r="AW453" s="29"/>
      <c r="AX453" s="29"/>
    </row>
    <row r="454">
      <c r="A454" s="20"/>
      <c r="B454" s="20"/>
      <c r="C454" s="20"/>
      <c r="D454" s="46"/>
      <c r="E454" s="20"/>
      <c r="F454" s="20"/>
      <c r="G454" s="20"/>
      <c r="H454" s="20"/>
      <c r="I454" s="20"/>
      <c r="J454" s="45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9"/>
      <c r="AQ454" s="29"/>
      <c r="AR454" s="29"/>
      <c r="AS454" s="29"/>
      <c r="AT454" s="29"/>
      <c r="AU454" s="29"/>
      <c r="AV454" s="29"/>
      <c r="AW454" s="29"/>
      <c r="AX454" s="29"/>
    </row>
    <row r="455">
      <c r="A455" s="20"/>
      <c r="B455" s="20"/>
      <c r="C455" s="20"/>
      <c r="D455" s="46"/>
      <c r="E455" s="20"/>
      <c r="F455" s="20"/>
      <c r="G455" s="20"/>
      <c r="H455" s="20"/>
      <c r="I455" s="20"/>
      <c r="J455" s="45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9"/>
      <c r="AQ455" s="29"/>
      <c r="AR455" s="29"/>
      <c r="AS455" s="29"/>
      <c r="AT455" s="29"/>
      <c r="AU455" s="29"/>
      <c r="AV455" s="29"/>
      <c r="AW455" s="29"/>
      <c r="AX455" s="29"/>
    </row>
    <row r="456">
      <c r="A456" s="20"/>
      <c r="B456" s="20"/>
      <c r="C456" s="20"/>
      <c r="D456" s="46"/>
      <c r="E456" s="20"/>
      <c r="F456" s="20"/>
      <c r="G456" s="20"/>
      <c r="H456" s="20"/>
      <c r="I456" s="20"/>
      <c r="J456" s="45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9"/>
      <c r="AQ456" s="29"/>
      <c r="AR456" s="29"/>
      <c r="AS456" s="29"/>
      <c r="AT456" s="29"/>
      <c r="AU456" s="29"/>
      <c r="AV456" s="29"/>
      <c r="AW456" s="29"/>
      <c r="AX456" s="29"/>
    </row>
    <row r="457">
      <c r="A457" s="20"/>
      <c r="B457" s="20"/>
      <c r="C457" s="20"/>
      <c r="D457" s="46"/>
      <c r="E457" s="20"/>
      <c r="F457" s="20"/>
      <c r="G457" s="20"/>
      <c r="H457" s="20"/>
      <c r="I457" s="20"/>
      <c r="J457" s="45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9"/>
      <c r="AQ457" s="29"/>
      <c r="AR457" s="29"/>
      <c r="AS457" s="29"/>
      <c r="AT457" s="29"/>
      <c r="AU457" s="29"/>
      <c r="AV457" s="29"/>
      <c r="AW457" s="29"/>
      <c r="AX457" s="29"/>
    </row>
    <row r="458">
      <c r="A458" s="20"/>
      <c r="B458" s="20"/>
      <c r="C458" s="20"/>
      <c r="D458" s="46"/>
      <c r="E458" s="20"/>
      <c r="F458" s="20"/>
      <c r="G458" s="20"/>
      <c r="H458" s="20"/>
      <c r="I458" s="20"/>
      <c r="J458" s="45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9"/>
      <c r="AQ458" s="29"/>
      <c r="AR458" s="29"/>
      <c r="AS458" s="29"/>
      <c r="AT458" s="29"/>
      <c r="AU458" s="29"/>
      <c r="AV458" s="29"/>
      <c r="AW458" s="29"/>
      <c r="AX458" s="29"/>
    </row>
    <row r="459">
      <c r="A459" s="20"/>
      <c r="B459" s="20"/>
      <c r="C459" s="20"/>
      <c r="D459" s="46"/>
      <c r="E459" s="20"/>
      <c r="F459" s="20"/>
      <c r="G459" s="20"/>
      <c r="H459" s="20"/>
      <c r="I459" s="20"/>
      <c r="J459" s="45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9"/>
      <c r="AQ459" s="29"/>
      <c r="AR459" s="29"/>
      <c r="AS459" s="29"/>
      <c r="AT459" s="29"/>
      <c r="AU459" s="29"/>
      <c r="AV459" s="29"/>
      <c r="AW459" s="29"/>
      <c r="AX459" s="29"/>
    </row>
    <row r="460">
      <c r="A460" s="20"/>
      <c r="B460" s="20"/>
      <c r="C460" s="20"/>
      <c r="D460" s="46"/>
      <c r="E460" s="20"/>
      <c r="F460" s="20"/>
      <c r="G460" s="20"/>
      <c r="H460" s="20"/>
      <c r="I460" s="20"/>
      <c r="J460" s="45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9"/>
      <c r="AQ460" s="29"/>
      <c r="AR460" s="29"/>
      <c r="AS460" s="29"/>
      <c r="AT460" s="29"/>
      <c r="AU460" s="29"/>
      <c r="AV460" s="29"/>
      <c r="AW460" s="29"/>
      <c r="AX460" s="29"/>
    </row>
    <row r="461">
      <c r="A461" s="20"/>
      <c r="B461" s="20"/>
      <c r="C461" s="20"/>
      <c r="D461" s="46"/>
      <c r="E461" s="20"/>
      <c r="F461" s="20"/>
      <c r="G461" s="20"/>
      <c r="H461" s="20"/>
      <c r="I461" s="20"/>
      <c r="J461" s="45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9"/>
      <c r="AQ461" s="29"/>
      <c r="AR461" s="29"/>
      <c r="AS461" s="29"/>
      <c r="AT461" s="29"/>
      <c r="AU461" s="29"/>
      <c r="AV461" s="29"/>
      <c r="AW461" s="29"/>
      <c r="AX461" s="29"/>
    </row>
    <row r="462">
      <c r="A462" s="20"/>
      <c r="B462" s="20"/>
      <c r="C462" s="20"/>
      <c r="D462" s="46"/>
      <c r="E462" s="20"/>
      <c r="F462" s="20"/>
      <c r="G462" s="20"/>
      <c r="H462" s="20"/>
      <c r="I462" s="20"/>
      <c r="J462" s="45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9"/>
      <c r="AQ462" s="29"/>
      <c r="AR462" s="29"/>
      <c r="AS462" s="29"/>
      <c r="AT462" s="29"/>
      <c r="AU462" s="29"/>
      <c r="AV462" s="29"/>
      <c r="AW462" s="29"/>
      <c r="AX462" s="29"/>
    </row>
    <row r="463">
      <c r="A463" s="20"/>
      <c r="B463" s="20"/>
      <c r="C463" s="20"/>
      <c r="D463" s="46"/>
      <c r="E463" s="20"/>
      <c r="F463" s="20"/>
      <c r="G463" s="20"/>
      <c r="H463" s="20"/>
      <c r="I463" s="20"/>
      <c r="J463" s="45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9"/>
      <c r="AQ463" s="29"/>
      <c r="AR463" s="29"/>
      <c r="AS463" s="29"/>
      <c r="AT463" s="29"/>
      <c r="AU463" s="29"/>
      <c r="AV463" s="29"/>
      <c r="AW463" s="29"/>
      <c r="AX463" s="29"/>
    </row>
    <row r="464">
      <c r="A464" s="20"/>
      <c r="B464" s="20"/>
      <c r="C464" s="20"/>
      <c r="D464" s="46"/>
      <c r="E464" s="20"/>
      <c r="F464" s="20"/>
      <c r="G464" s="20"/>
      <c r="H464" s="20"/>
      <c r="I464" s="20"/>
      <c r="J464" s="45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9"/>
      <c r="AQ464" s="29"/>
      <c r="AR464" s="29"/>
      <c r="AS464" s="29"/>
      <c r="AT464" s="29"/>
      <c r="AU464" s="29"/>
      <c r="AV464" s="29"/>
      <c r="AW464" s="29"/>
      <c r="AX464" s="29"/>
    </row>
    <row r="465">
      <c r="A465" s="20"/>
      <c r="B465" s="20"/>
      <c r="C465" s="20"/>
      <c r="D465" s="46"/>
      <c r="E465" s="20"/>
      <c r="F465" s="20"/>
      <c r="G465" s="20"/>
      <c r="H465" s="20"/>
      <c r="I465" s="20"/>
      <c r="J465" s="45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9"/>
      <c r="AQ465" s="29"/>
      <c r="AR465" s="29"/>
      <c r="AS465" s="29"/>
      <c r="AT465" s="29"/>
      <c r="AU465" s="29"/>
      <c r="AV465" s="29"/>
      <c r="AW465" s="29"/>
      <c r="AX465" s="29"/>
    </row>
    <row r="466">
      <c r="A466" s="20"/>
      <c r="B466" s="20"/>
      <c r="C466" s="20"/>
      <c r="D466" s="46"/>
      <c r="E466" s="20"/>
      <c r="F466" s="20"/>
      <c r="G466" s="20"/>
      <c r="H466" s="20"/>
      <c r="I466" s="20"/>
      <c r="J466" s="45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9"/>
      <c r="AQ466" s="29"/>
      <c r="AR466" s="29"/>
      <c r="AS466" s="29"/>
      <c r="AT466" s="29"/>
      <c r="AU466" s="29"/>
      <c r="AV466" s="29"/>
      <c r="AW466" s="29"/>
      <c r="AX466" s="29"/>
    </row>
    <row r="467">
      <c r="A467" s="20"/>
      <c r="B467" s="20"/>
      <c r="C467" s="20"/>
      <c r="D467" s="46"/>
      <c r="E467" s="20"/>
      <c r="F467" s="20"/>
      <c r="G467" s="20"/>
      <c r="H467" s="20"/>
      <c r="I467" s="20"/>
      <c r="J467" s="45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9"/>
      <c r="AQ467" s="29"/>
      <c r="AR467" s="29"/>
      <c r="AS467" s="29"/>
      <c r="AT467" s="29"/>
      <c r="AU467" s="29"/>
      <c r="AV467" s="29"/>
      <c r="AW467" s="29"/>
      <c r="AX467" s="29"/>
    </row>
    <row r="468">
      <c r="A468" s="20"/>
      <c r="B468" s="20"/>
      <c r="C468" s="20"/>
      <c r="D468" s="46"/>
      <c r="E468" s="20"/>
      <c r="F468" s="20"/>
      <c r="G468" s="20"/>
      <c r="H468" s="20"/>
      <c r="I468" s="20"/>
      <c r="J468" s="45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9"/>
      <c r="AQ468" s="29"/>
      <c r="AR468" s="29"/>
      <c r="AS468" s="29"/>
      <c r="AT468" s="29"/>
      <c r="AU468" s="29"/>
      <c r="AV468" s="29"/>
      <c r="AW468" s="29"/>
      <c r="AX468" s="29"/>
    </row>
    <row r="469">
      <c r="A469" s="20"/>
      <c r="B469" s="20"/>
      <c r="C469" s="20"/>
      <c r="D469" s="46"/>
      <c r="E469" s="20"/>
      <c r="F469" s="20"/>
      <c r="G469" s="20"/>
      <c r="H469" s="20"/>
      <c r="I469" s="20"/>
      <c r="J469" s="45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9"/>
      <c r="AQ469" s="29"/>
      <c r="AR469" s="29"/>
      <c r="AS469" s="29"/>
      <c r="AT469" s="29"/>
      <c r="AU469" s="29"/>
      <c r="AV469" s="29"/>
      <c r="AW469" s="29"/>
      <c r="AX469" s="29"/>
    </row>
    <row r="470">
      <c r="A470" s="20"/>
      <c r="B470" s="20"/>
      <c r="C470" s="20"/>
      <c r="D470" s="46"/>
      <c r="E470" s="20"/>
      <c r="F470" s="20"/>
      <c r="G470" s="20"/>
      <c r="H470" s="20"/>
      <c r="I470" s="20"/>
      <c r="J470" s="45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9"/>
      <c r="AQ470" s="29"/>
      <c r="AR470" s="29"/>
      <c r="AS470" s="29"/>
      <c r="AT470" s="29"/>
      <c r="AU470" s="29"/>
      <c r="AV470" s="29"/>
      <c r="AW470" s="29"/>
      <c r="AX470" s="29"/>
    </row>
    <row r="471">
      <c r="A471" s="20"/>
      <c r="B471" s="20"/>
      <c r="C471" s="20"/>
      <c r="D471" s="46"/>
      <c r="E471" s="20"/>
      <c r="F471" s="20"/>
      <c r="G471" s="20"/>
      <c r="H471" s="20"/>
      <c r="I471" s="20"/>
      <c r="J471" s="45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9"/>
      <c r="AQ471" s="29"/>
      <c r="AR471" s="29"/>
      <c r="AS471" s="29"/>
      <c r="AT471" s="29"/>
      <c r="AU471" s="29"/>
      <c r="AV471" s="29"/>
      <c r="AW471" s="29"/>
      <c r="AX471" s="29"/>
    </row>
    <row r="472">
      <c r="A472" s="20"/>
      <c r="B472" s="20"/>
      <c r="C472" s="20"/>
      <c r="D472" s="46"/>
      <c r="E472" s="20"/>
      <c r="F472" s="20"/>
      <c r="G472" s="20"/>
      <c r="H472" s="20"/>
      <c r="I472" s="20"/>
      <c r="J472" s="45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9"/>
      <c r="AQ472" s="29"/>
      <c r="AR472" s="29"/>
      <c r="AS472" s="29"/>
      <c r="AT472" s="29"/>
      <c r="AU472" s="29"/>
      <c r="AV472" s="29"/>
      <c r="AW472" s="29"/>
      <c r="AX472" s="29"/>
    </row>
    <row r="473">
      <c r="A473" s="20"/>
      <c r="B473" s="20"/>
      <c r="C473" s="20"/>
      <c r="D473" s="46"/>
      <c r="E473" s="20"/>
      <c r="F473" s="20"/>
      <c r="G473" s="20"/>
      <c r="H473" s="20"/>
      <c r="I473" s="20"/>
      <c r="J473" s="45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9"/>
      <c r="AQ473" s="29"/>
      <c r="AR473" s="29"/>
      <c r="AS473" s="29"/>
      <c r="AT473" s="29"/>
      <c r="AU473" s="29"/>
      <c r="AV473" s="29"/>
      <c r="AW473" s="29"/>
      <c r="AX473" s="29"/>
    </row>
    <row r="474">
      <c r="A474" s="20"/>
      <c r="B474" s="20"/>
      <c r="C474" s="20"/>
      <c r="D474" s="46"/>
      <c r="E474" s="20"/>
      <c r="F474" s="20"/>
      <c r="G474" s="20"/>
      <c r="H474" s="20"/>
      <c r="I474" s="20"/>
      <c r="J474" s="45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9"/>
      <c r="AQ474" s="29"/>
      <c r="AR474" s="29"/>
      <c r="AS474" s="29"/>
      <c r="AT474" s="29"/>
      <c r="AU474" s="29"/>
      <c r="AV474" s="29"/>
      <c r="AW474" s="29"/>
      <c r="AX474" s="29"/>
    </row>
    <row r="475">
      <c r="A475" s="20"/>
      <c r="B475" s="20"/>
      <c r="C475" s="20"/>
      <c r="D475" s="46"/>
      <c r="E475" s="20"/>
      <c r="F475" s="20"/>
      <c r="G475" s="20"/>
      <c r="H475" s="20"/>
      <c r="I475" s="20"/>
      <c r="J475" s="45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9"/>
      <c r="AQ475" s="29"/>
      <c r="AR475" s="29"/>
      <c r="AS475" s="29"/>
      <c r="AT475" s="29"/>
      <c r="AU475" s="29"/>
      <c r="AV475" s="29"/>
      <c r="AW475" s="29"/>
      <c r="AX475" s="29"/>
    </row>
    <row r="476">
      <c r="A476" s="20"/>
      <c r="B476" s="20"/>
      <c r="C476" s="20"/>
      <c r="D476" s="46"/>
      <c r="E476" s="20"/>
      <c r="F476" s="20"/>
      <c r="G476" s="20"/>
      <c r="H476" s="20"/>
      <c r="I476" s="20"/>
      <c r="J476" s="45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9"/>
      <c r="AQ476" s="29"/>
      <c r="AR476" s="29"/>
      <c r="AS476" s="29"/>
      <c r="AT476" s="29"/>
      <c r="AU476" s="29"/>
      <c r="AV476" s="29"/>
      <c r="AW476" s="29"/>
      <c r="AX476" s="29"/>
    </row>
    <row r="477">
      <c r="A477" s="20"/>
      <c r="B477" s="20"/>
      <c r="C477" s="20"/>
      <c r="D477" s="46"/>
      <c r="E477" s="20"/>
      <c r="F477" s="20"/>
      <c r="G477" s="20"/>
      <c r="H477" s="20"/>
      <c r="I477" s="20"/>
      <c r="J477" s="45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9"/>
      <c r="AQ477" s="29"/>
      <c r="AR477" s="29"/>
      <c r="AS477" s="29"/>
      <c r="AT477" s="29"/>
      <c r="AU477" s="29"/>
      <c r="AV477" s="29"/>
      <c r="AW477" s="29"/>
      <c r="AX477" s="29"/>
    </row>
    <row r="478">
      <c r="A478" s="20"/>
      <c r="B478" s="20"/>
      <c r="C478" s="20"/>
      <c r="D478" s="46"/>
      <c r="E478" s="20"/>
      <c r="F478" s="20"/>
      <c r="G478" s="20"/>
      <c r="H478" s="20"/>
      <c r="I478" s="20"/>
      <c r="J478" s="45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9"/>
      <c r="AQ478" s="29"/>
      <c r="AR478" s="29"/>
      <c r="AS478" s="29"/>
      <c r="AT478" s="29"/>
      <c r="AU478" s="29"/>
      <c r="AV478" s="29"/>
      <c r="AW478" s="29"/>
      <c r="AX478" s="29"/>
    </row>
    <row r="479">
      <c r="A479" s="20"/>
      <c r="B479" s="20"/>
      <c r="C479" s="20"/>
      <c r="D479" s="46"/>
      <c r="E479" s="20"/>
      <c r="F479" s="20"/>
      <c r="G479" s="20"/>
      <c r="H479" s="20"/>
      <c r="I479" s="20"/>
      <c r="J479" s="45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9"/>
      <c r="AQ479" s="29"/>
      <c r="AR479" s="29"/>
      <c r="AS479" s="29"/>
      <c r="AT479" s="29"/>
      <c r="AU479" s="29"/>
      <c r="AV479" s="29"/>
      <c r="AW479" s="29"/>
      <c r="AX479" s="29"/>
    </row>
    <row r="480">
      <c r="A480" s="20"/>
      <c r="B480" s="20"/>
      <c r="C480" s="20"/>
      <c r="D480" s="46"/>
      <c r="E480" s="20"/>
      <c r="F480" s="20"/>
      <c r="G480" s="20"/>
      <c r="H480" s="20"/>
      <c r="I480" s="20"/>
      <c r="J480" s="45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9"/>
      <c r="AQ480" s="29"/>
      <c r="AR480" s="29"/>
      <c r="AS480" s="29"/>
      <c r="AT480" s="29"/>
      <c r="AU480" s="29"/>
      <c r="AV480" s="29"/>
      <c r="AW480" s="29"/>
      <c r="AX480" s="29"/>
    </row>
    <row r="481">
      <c r="A481" s="20"/>
      <c r="B481" s="20"/>
      <c r="C481" s="20"/>
      <c r="D481" s="46"/>
      <c r="E481" s="20"/>
      <c r="F481" s="20"/>
      <c r="G481" s="20"/>
      <c r="H481" s="20"/>
      <c r="I481" s="20"/>
      <c r="J481" s="45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9"/>
      <c r="AQ481" s="29"/>
      <c r="AR481" s="29"/>
      <c r="AS481" s="29"/>
      <c r="AT481" s="29"/>
      <c r="AU481" s="29"/>
      <c r="AV481" s="29"/>
      <c r="AW481" s="29"/>
      <c r="AX481" s="29"/>
    </row>
    <row r="482">
      <c r="A482" s="20"/>
      <c r="B482" s="20"/>
      <c r="C482" s="20"/>
      <c r="D482" s="46"/>
      <c r="E482" s="20"/>
      <c r="F482" s="20"/>
      <c r="G482" s="20"/>
      <c r="H482" s="20"/>
      <c r="I482" s="20"/>
      <c r="J482" s="45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9"/>
      <c r="AQ482" s="29"/>
      <c r="AR482" s="29"/>
      <c r="AS482" s="29"/>
      <c r="AT482" s="29"/>
      <c r="AU482" s="29"/>
      <c r="AV482" s="29"/>
      <c r="AW482" s="29"/>
      <c r="AX482" s="29"/>
    </row>
    <row r="483">
      <c r="A483" s="20"/>
      <c r="B483" s="20"/>
      <c r="C483" s="20"/>
      <c r="D483" s="46"/>
      <c r="E483" s="20"/>
      <c r="F483" s="20"/>
      <c r="G483" s="20"/>
      <c r="H483" s="20"/>
      <c r="I483" s="20"/>
      <c r="J483" s="45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9"/>
      <c r="AQ483" s="29"/>
      <c r="AR483" s="29"/>
      <c r="AS483" s="29"/>
      <c r="AT483" s="29"/>
      <c r="AU483" s="29"/>
      <c r="AV483" s="29"/>
      <c r="AW483" s="29"/>
      <c r="AX483" s="29"/>
    </row>
    <row r="484">
      <c r="A484" s="20"/>
      <c r="B484" s="20"/>
      <c r="C484" s="20"/>
      <c r="D484" s="46"/>
      <c r="E484" s="20"/>
      <c r="F484" s="20"/>
      <c r="G484" s="20"/>
      <c r="H484" s="20"/>
      <c r="I484" s="20"/>
      <c r="J484" s="45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9"/>
      <c r="AQ484" s="29"/>
      <c r="AR484" s="29"/>
      <c r="AS484" s="29"/>
      <c r="AT484" s="29"/>
      <c r="AU484" s="29"/>
      <c r="AV484" s="29"/>
      <c r="AW484" s="29"/>
      <c r="AX484" s="29"/>
    </row>
    <row r="485">
      <c r="A485" s="20"/>
      <c r="B485" s="20"/>
      <c r="C485" s="20"/>
      <c r="D485" s="46"/>
      <c r="E485" s="20"/>
      <c r="F485" s="20"/>
      <c r="G485" s="20"/>
      <c r="H485" s="20"/>
      <c r="I485" s="20"/>
      <c r="J485" s="45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9"/>
      <c r="AQ485" s="29"/>
      <c r="AR485" s="29"/>
      <c r="AS485" s="29"/>
      <c r="AT485" s="29"/>
      <c r="AU485" s="29"/>
      <c r="AV485" s="29"/>
      <c r="AW485" s="29"/>
      <c r="AX485" s="29"/>
    </row>
    <row r="486">
      <c r="A486" s="20"/>
      <c r="B486" s="20"/>
      <c r="C486" s="20"/>
      <c r="D486" s="46"/>
      <c r="E486" s="20"/>
      <c r="F486" s="20"/>
      <c r="G486" s="20"/>
      <c r="H486" s="20"/>
      <c r="I486" s="20"/>
      <c r="J486" s="45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9"/>
      <c r="AQ486" s="29"/>
      <c r="AR486" s="29"/>
      <c r="AS486" s="29"/>
      <c r="AT486" s="29"/>
      <c r="AU486" s="29"/>
      <c r="AV486" s="29"/>
      <c r="AW486" s="29"/>
      <c r="AX486" s="29"/>
    </row>
    <row r="487">
      <c r="A487" s="20"/>
      <c r="B487" s="20"/>
      <c r="C487" s="20"/>
      <c r="D487" s="46"/>
      <c r="E487" s="20"/>
      <c r="F487" s="20"/>
      <c r="G487" s="20"/>
      <c r="H487" s="20"/>
      <c r="I487" s="20"/>
      <c r="J487" s="45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9"/>
      <c r="AQ487" s="29"/>
      <c r="AR487" s="29"/>
      <c r="AS487" s="29"/>
      <c r="AT487" s="29"/>
      <c r="AU487" s="29"/>
      <c r="AV487" s="29"/>
      <c r="AW487" s="29"/>
      <c r="AX487" s="29"/>
    </row>
    <row r="488">
      <c r="A488" s="20"/>
      <c r="B488" s="20"/>
      <c r="C488" s="20"/>
      <c r="D488" s="46"/>
      <c r="E488" s="20"/>
      <c r="F488" s="20"/>
      <c r="G488" s="20"/>
      <c r="H488" s="20"/>
      <c r="I488" s="20"/>
      <c r="J488" s="45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9"/>
      <c r="AQ488" s="29"/>
      <c r="AR488" s="29"/>
      <c r="AS488" s="29"/>
      <c r="AT488" s="29"/>
      <c r="AU488" s="29"/>
      <c r="AV488" s="29"/>
      <c r="AW488" s="29"/>
      <c r="AX488" s="29"/>
    </row>
    <row r="489">
      <c r="A489" s="20"/>
      <c r="B489" s="20"/>
      <c r="C489" s="20"/>
      <c r="D489" s="46"/>
      <c r="E489" s="20"/>
      <c r="F489" s="20"/>
      <c r="G489" s="20"/>
      <c r="H489" s="20"/>
      <c r="I489" s="20"/>
      <c r="J489" s="45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9"/>
      <c r="AQ489" s="29"/>
      <c r="AR489" s="29"/>
      <c r="AS489" s="29"/>
      <c r="AT489" s="29"/>
      <c r="AU489" s="29"/>
      <c r="AV489" s="29"/>
      <c r="AW489" s="29"/>
      <c r="AX489" s="29"/>
    </row>
    <row r="490">
      <c r="A490" s="20"/>
      <c r="B490" s="20"/>
      <c r="C490" s="20"/>
      <c r="D490" s="46"/>
      <c r="E490" s="20"/>
      <c r="F490" s="20"/>
      <c r="G490" s="20"/>
      <c r="H490" s="20"/>
      <c r="I490" s="20"/>
      <c r="J490" s="45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9"/>
      <c r="AQ490" s="29"/>
      <c r="AR490" s="29"/>
      <c r="AS490" s="29"/>
      <c r="AT490" s="29"/>
      <c r="AU490" s="29"/>
      <c r="AV490" s="29"/>
      <c r="AW490" s="29"/>
      <c r="AX490" s="29"/>
    </row>
    <row r="491">
      <c r="A491" s="20"/>
      <c r="B491" s="20"/>
      <c r="C491" s="20"/>
      <c r="D491" s="46"/>
      <c r="E491" s="20"/>
      <c r="F491" s="20"/>
      <c r="G491" s="20"/>
      <c r="H491" s="20"/>
      <c r="I491" s="20"/>
      <c r="J491" s="45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9"/>
      <c r="AQ491" s="29"/>
      <c r="AR491" s="29"/>
      <c r="AS491" s="29"/>
      <c r="AT491" s="29"/>
      <c r="AU491" s="29"/>
      <c r="AV491" s="29"/>
      <c r="AW491" s="29"/>
      <c r="AX491" s="29"/>
    </row>
    <row r="492">
      <c r="A492" s="20"/>
      <c r="B492" s="20"/>
      <c r="C492" s="20"/>
      <c r="D492" s="46"/>
      <c r="E492" s="20"/>
      <c r="F492" s="20"/>
      <c r="G492" s="20"/>
      <c r="H492" s="20"/>
      <c r="I492" s="20"/>
      <c r="J492" s="45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9"/>
      <c r="AQ492" s="29"/>
      <c r="AR492" s="29"/>
      <c r="AS492" s="29"/>
      <c r="AT492" s="29"/>
      <c r="AU492" s="29"/>
      <c r="AV492" s="29"/>
      <c r="AW492" s="29"/>
      <c r="AX492" s="29"/>
    </row>
    <row r="493">
      <c r="A493" s="20"/>
      <c r="B493" s="20"/>
      <c r="C493" s="20"/>
      <c r="D493" s="46"/>
      <c r="E493" s="20"/>
      <c r="F493" s="20"/>
      <c r="G493" s="20"/>
      <c r="H493" s="20"/>
      <c r="I493" s="20"/>
      <c r="J493" s="45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9"/>
      <c r="AQ493" s="29"/>
      <c r="AR493" s="29"/>
      <c r="AS493" s="29"/>
      <c r="AT493" s="29"/>
      <c r="AU493" s="29"/>
      <c r="AV493" s="29"/>
      <c r="AW493" s="29"/>
      <c r="AX493" s="29"/>
    </row>
    <row r="494">
      <c r="A494" s="20"/>
      <c r="B494" s="20"/>
      <c r="C494" s="20"/>
      <c r="D494" s="46"/>
      <c r="E494" s="20"/>
      <c r="F494" s="20"/>
      <c r="G494" s="20"/>
      <c r="H494" s="20"/>
      <c r="I494" s="20"/>
      <c r="J494" s="45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9"/>
      <c r="AQ494" s="29"/>
      <c r="AR494" s="29"/>
      <c r="AS494" s="29"/>
      <c r="AT494" s="29"/>
      <c r="AU494" s="29"/>
      <c r="AV494" s="29"/>
      <c r="AW494" s="29"/>
      <c r="AX494" s="29"/>
    </row>
    <row r="495">
      <c r="A495" s="20"/>
      <c r="B495" s="20"/>
      <c r="C495" s="20"/>
      <c r="D495" s="46"/>
      <c r="E495" s="20"/>
      <c r="F495" s="20"/>
      <c r="G495" s="20"/>
      <c r="H495" s="20"/>
      <c r="I495" s="20"/>
      <c r="J495" s="45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9"/>
      <c r="AQ495" s="29"/>
      <c r="AR495" s="29"/>
      <c r="AS495" s="29"/>
      <c r="AT495" s="29"/>
      <c r="AU495" s="29"/>
      <c r="AV495" s="29"/>
      <c r="AW495" s="29"/>
      <c r="AX495" s="29"/>
    </row>
    <row r="496">
      <c r="A496" s="20"/>
      <c r="B496" s="20"/>
      <c r="C496" s="20"/>
      <c r="D496" s="46"/>
      <c r="E496" s="20"/>
      <c r="F496" s="20"/>
      <c r="G496" s="20"/>
      <c r="H496" s="20"/>
      <c r="I496" s="20"/>
      <c r="J496" s="45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9"/>
      <c r="AQ496" s="29"/>
      <c r="AR496" s="29"/>
      <c r="AS496" s="29"/>
      <c r="AT496" s="29"/>
      <c r="AU496" s="29"/>
      <c r="AV496" s="29"/>
      <c r="AW496" s="29"/>
      <c r="AX496" s="29"/>
    </row>
    <row r="497">
      <c r="A497" s="20"/>
      <c r="B497" s="20"/>
      <c r="C497" s="20"/>
      <c r="D497" s="46"/>
      <c r="E497" s="20"/>
      <c r="F497" s="20"/>
      <c r="G497" s="20"/>
      <c r="H497" s="20"/>
      <c r="I497" s="20"/>
      <c r="J497" s="45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9"/>
      <c r="AQ497" s="29"/>
      <c r="AR497" s="29"/>
      <c r="AS497" s="29"/>
      <c r="AT497" s="29"/>
      <c r="AU497" s="29"/>
      <c r="AV497" s="29"/>
      <c r="AW497" s="29"/>
      <c r="AX497" s="29"/>
    </row>
    <row r="498">
      <c r="A498" s="20"/>
      <c r="B498" s="20"/>
      <c r="C498" s="20"/>
      <c r="D498" s="46"/>
      <c r="E498" s="20"/>
      <c r="F498" s="20"/>
      <c r="G498" s="20"/>
      <c r="H498" s="20"/>
      <c r="I498" s="20"/>
      <c r="J498" s="45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9"/>
      <c r="AQ498" s="29"/>
      <c r="AR498" s="29"/>
      <c r="AS498" s="29"/>
      <c r="AT498" s="29"/>
      <c r="AU498" s="29"/>
      <c r="AV498" s="29"/>
      <c r="AW498" s="29"/>
      <c r="AX498" s="29"/>
    </row>
    <row r="499">
      <c r="A499" s="20"/>
      <c r="B499" s="20"/>
      <c r="C499" s="20"/>
      <c r="D499" s="46"/>
      <c r="E499" s="20"/>
      <c r="F499" s="20"/>
      <c r="G499" s="20"/>
      <c r="H499" s="20"/>
      <c r="I499" s="20"/>
      <c r="J499" s="45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9"/>
      <c r="AQ499" s="29"/>
      <c r="AR499" s="29"/>
      <c r="AS499" s="29"/>
      <c r="AT499" s="29"/>
      <c r="AU499" s="29"/>
      <c r="AV499" s="29"/>
      <c r="AW499" s="29"/>
      <c r="AX499" s="29"/>
    </row>
    <row r="500">
      <c r="A500" s="20"/>
      <c r="B500" s="20"/>
      <c r="C500" s="20"/>
      <c r="D500" s="46"/>
      <c r="E500" s="20"/>
      <c r="F500" s="20"/>
      <c r="G500" s="20"/>
      <c r="H500" s="20"/>
      <c r="I500" s="20"/>
      <c r="J500" s="45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9"/>
      <c r="AQ500" s="29"/>
      <c r="AR500" s="29"/>
      <c r="AS500" s="29"/>
      <c r="AT500" s="29"/>
      <c r="AU500" s="29"/>
      <c r="AV500" s="29"/>
      <c r="AW500" s="29"/>
      <c r="AX500" s="29"/>
    </row>
    <row r="501">
      <c r="A501" s="20"/>
      <c r="B501" s="20"/>
      <c r="C501" s="20"/>
      <c r="D501" s="46"/>
      <c r="E501" s="20"/>
      <c r="F501" s="20"/>
      <c r="G501" s="20"/>
      <c r="H501" s="20"/>
      <c r="I501" s="20"/>
      <c r="J501" s="45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9"/>
      <c r="AQ501" s="29"/>
      <c r="AR501" s="29"/>
      <c r="AS501" s="29"/>
      <c r="AT501" s="29"/>
      <c r="AU501" s="29"/>
      <c r="AV501" s="29"/>
      <c r="AW501" s="29"/>
      <c r="AX501" s="29"/>
    </row>
    <row r="502">
      <c r="A502" s="20"/>
      <c r="B502" s="20"/>
      <c r="C502" s="20"/>
      <c r="D502" s="46"/>
      <c r="E502" s="20"/>
      <c r="F502" s="20"/>
      <c r="G502" s="20"/>
      <c r="H502" s="20"/>
      <c r="I502" s="20"/>
      <c r="J502" s="45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9"/>
      <c r="AQ502" s="29"/>
      <c r="AR502" s="29"/>
      <c r="AS502" s="29"/>
      <c r="AT502" s="29"/>
      <c r="AU502" s="29"/>
      <c r="AV502" s="29"/>
      <c r="AW502" s="29"/>
      <c r="AX502" s="29"/>
    </row>
    <row r="503">
      <c r="A503" s="20"/>
      <c r="B503" s="20"/>
      <c r="C503" s="20"/>
      <c r="D503" s="46"/>
      <c r="E503" s="20"/>
      <c r="F503" s="20"/>
      <c r="G503" s="20"/>
      <c r="H503" s="20"/>
      <c r="I503" s="20"/>
      <c r="J503" s="45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9"/>
      <c r="AQ503" s="29"/>
      <c r="AR503" s="29"/>
      <c r="AS503" s="29"/>
      <c r="AT503" s="29"/>
      <c r="AU503" s="29"/>
      <c r="AV503" s="29"/>
      <c r="AW503" s="29"/>
      <c r="AX503" s="29"/>
    </row>
    <row r="504">
      <c r="A504" s="20"/>
      <c r="B504" s="20"/>
      <c r="C504" s="20"/>
      <c r="D504" s="46"/>
      <c r="E504" s="20"/>
      <c r="F504" s="20"/>
      <c r="G504" s="20"/>
      <c r="H504" s="20"/>
      <c r="I504" s="20"/>
      <c r="J504" s="45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9"/>
      <c r="AQ504" s="29"/>
      <c r="AR504" s="29"/>
      <c r="AS504" s="29"/>
      <c r="AT504" s="29"/>
      <c r="AU504" s="29"/>
      <c r="AV504" s="29"/>
      <c r="AW504" s="29"/>
      <c r="AX504" s="29"/>
    </row>
    <row r="505">
      <c r="A505" s="20"/>
      <c r="B505" s="20"/>
      <c r="C505" s="20"/>
      <c r="D505" s="46"/>
      <c r="E505" s="20"/>
      <c r="F505" s="20"/>
      <c r="G505" s="20"/>
      <c r="H505" s="20"/>
      <c r="I505" s="20"/>
      <c r="J505" s="45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9"/>
      <c r="AQ505" s="29"/>
      <c r="AR505" s="29"/>
      <c r="AS505" s="29"/>
      <c r="AT505" s="29"/>
      <c r="AU505" s="29"/>
      <c r="AV505" s="29"/>
      <c r="AW505" s="29"/>
      <c r="AX505" s="29"/>
    </row>
    <row r="506">
      <c r="A506" s="20"/>
      <c r="B506" s="20"/>
      <c r="C506" s="20"/>
      <c r="D506" s="46"/>
      <c r="E506" s="20"/>
      <c r="F506" s="20"/>
      <c r="G506" s="20"/>
      <c r="H506" s="20"/>
      <c r="I506" s="20"/>
      <c r="J506" s="45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9"/>
      <c r="AQ506" s="29"/>
      <c r="AR506" s="29"/>
      <c r="AS506" s="29"/>
      <c r="AT506" s="29"/>
      <c r="AU506" s="29"/>
      <c r="AV506" s="29"/>
      <c r="AW506" s="29"/>
      <c r="AX506" s="29"/>
    </row>
    <row r="507">
      <c r="A507" s="20"/>
      <c r="B507" s="20"/>
      <c r="C507" s="20"/>
      <c r="D507" s="46"/>
      <c r="E507" s="20"/>
      <c r="F507" s="20"/>
      <c r="G507" s="20"/>
      <c r="H507" s="20"/>
      <c r="I507" s="20"/>
      <c r="J507" s="45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9"/>
      <c r="AQ507" s="29"/>
      <c r="AR507" s="29"/>
      <c r="AS507" s="29"/>
      <c r="AT507" s="29"/>
      <c r="AU507" s="29"/>
      <c r="AV507" s="29"/>
      <c r="AW507" s="29"/>
      <c r="AX507" s="29"/>
    </row>
    <row r="508">
      <c r="A508" s="20"/>
      <c r="B508" s="20"/>
      <c r="C508" s="20"/>
      <c r="D508" s="46"/>
      <c r="E508" s="20"/>
      <c r="F508" s="20"/>
      <c r="G508" s="20"/>
      <c r="H508" s="20"/>
      <c r="I508" s="20"/>
      <c r="J508" s="45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9"/>
      <c r="AQ508" s="29"/>
      <c r="AR508" s="29"/>
      <c r="AS508" s="29"/>
      <c r="AT508" s="29"/>
      <c r="AU508" s="29"/>
      <c r="AV508" s="29"/>
      <c r="AW508" s="29"/>
      <c r="AX508" s="29"/>
    </row>
    <row r="509">
      <c r="A509" s="20"/>
      <c r="B509" s="20"/>
      <c r="C509" s="20"/>
      <c r="D509" s="46"/>
      <c r="E509" s="20"/>
      <c r="F509" s="20"/>
      <c r="G509" s="20"/>
      <c r="H509" s="20"/>
      <c r="I509" s="20"/>
      <c r="J509" s="45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9"/>
      <c r="AQ509" s="29"/>
      <c r="AR509" s="29"/>
      <c r="AS509" s="29"/>
      <c r="AT509" s="29"/>
      <c r="AU509" s="29"/>
      <c r="AV509" s="29"/>
      <c r="AW509" s="29"/>
      <c r="AX509" s="29"/>
    </row>
    <row r="510">
      <c r="A510" s="20"/>
      <c r="B510" s="20"/>
      <c r="C510" s="20"/>
      <c r="D510" s="46"/>
      <c r="E510" s="20"/>
      <c r="F510" s="20"/>
      <c r="G510" s="20"/>
      <c r="H510" s="20"/>
      <c r="I510" s="20"/>
      <c r="J510" s="45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9"/>
      <c r="AQ510" s="29"/>
      <c r="AR510" s="29"/>
      <c r="AS510" s="29"/>
      <c r="AT510" s="29"/>
      <c r="AU510" s="29"/>
      <c r="AV510" s="29"/>
      <c r="AW510" s="29"/>
      <c r="AX510" s="29"/>
    </row>
    <row r="511">
      <c r="A511" s="20"/>
      <c r="B511" s="20"/>
      <c r="C511" s="20"/>
      <c r="D511" s="46"/>
      <c r="E511" s="20"/>
      <c r="F511" s="20"/>
      <c r="G511" s="20"/>
      <c r="H511" s="20"/>
      <c r="I511" s="20"/>
      <c r="J511" s="45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9"/>
      <c r="AQ511" s="29"/>
      <c r="AR511" s="29"/>
      <c r="AS511" s="29"/>
      <c r="AT511" s="29"/>
      <c r="AU511" s="29"/>
      <c r="AV511" s="29"/>
      <c r="AW511" s="29"/>
      <c r="AX511" s="29"/>
    </row>
    <row r="512">
      <c r="A512" s="20"/>
      <c r="B512" s="20"/>
      <c r="C512" s="20"/>
      <c r="D512" s="46"/>
      <c r="E512" s="20"/>
      <c r="F512" s="20"/>
      <c r="G512" s="20"/>
      <c r="H512" s="20"/>
      <c r="I512" s="20"/>
      <c r="J512" s="45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9"/>
      <c r="AQ512" s="29"/>
      <c r="AR512" s="29"/>
      <c r="AS512" s="29"/>
      <c r="AT512" s="29"/>
      <c r="AU512" s="29"/>
      <c r="AV512" s="29"/>
      <c r="AW512" s="29"/>
      <c r="AX512" s="29"/>
    </row>
    <row r="513">
      <c r="A513" s="20"/>
      <c r="B513" s="20"/>
      <c r="C513" s="20"/>
      <c r="D513" s="46"/>
      <c r="E513" s="20"/>
      <c r="F513" s="20"/>
      <c r="G513" s="20"/>
      <c r="H513" s="20"/>
      <c r="I513" s="20"/>
      <c r="J513" s="45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9"/>
      <c r="AQ513" s="29"/>
      <c r="AR513" s="29"/>
      <c r="AS513" s="29"/>
      <c r="AT513" s="29"/>
      <c r="AU513" s="29"/>
      <c r="AV513" s="29"/>
      <c r="AW513" s="29"/>
      <c r="AX513" s="29"/>
    </row>
    <row r="514">
      <c r="A514" s="20"/>
      <c r="B514" s="20"/>
      <c r="C514" s="20"/>
      <c r="D514" s="46"/>
      <c r="E514" s="20"/>
      <c r="F514" s="20"/>
      <c r="G514" s="20"/>
      <c r="H514" s="20"/>
      <c r="I514" s="20"/>
      <c r="J514" s="45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9"/>
      <c r="AQ514" s="29"/>
      <c r="AR514" s="29"/>
      <c r="AS514" s="29"/>
      <c r="AT514" s="29"/>
      <c r="AU514" s="29"/>
      <c r="AV514" s="29"/>
      <c r="AW514" s="29"/>
      <c r="AX514" s="29"/>
    </row>
    <row r="515">
      <c r="A515" s="20"/>
      <c r="B515" s="20"/>
      <c r="C515" s="20"/>
      <c r="D515" s="46"/>
      <c r="E515" s="20"/>
      <c r="F515" s="20"/>
      <c r="G515" s="20"/>
      <c r="H515" s="20"/>
      <c r="I515" s="20"/>
      <c r="J515" s="45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9"/>
      <c r="AQ515" s="29"/>
      <c r="AR515" s="29"/>
      <c r="AS515" s="29"/>
      <c r="AT515" s="29"/>
      <c r="AU515" s="29"/>
      <c r="AV515" s="29"/>
      <c r="AW515" s="29"/>
      <c r="AX515" s="29"/>
    </row>
    <row r="516">
      <c r="A516" s="20"/>
      <c r="B516" s="20"/>
      <c r="C516" s="20"/>
      <c r="D516" s="46"/>
      <c r="E516" s="20"/>
      <c r="F516" s="20"/>
      <c r="G516" s="20"/>
      <c r="H516" s="20"/>
      <c r="I516" s="20"/>
      <c r="J516" s="45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9"/>
      <c r="AQ516" s="29"/>
      <c r="AR516" s="29"/>
      <c r="AS516" s="29"/>
      <c r="AT516" s="29"/>
      <c r="AU516" s="29"/>
      <c r="AV516" s="29"/>
      <c r="AW516" s="29"/>
      <c r="AX516" s="29"/>
    </row>
    <row r="517">
      <c r="A517" s="20"/>
      <c r="B517" s="20"/>
      <c r="C517" s="20"/>
      <c r="D517" s="46"/>
      <c r="E517" s="20"/>
      <c r="F517" s="20"/>
      <c r="G517" s="20"/>
      <c r="H517" s="20"/>
      <c r="I517" s="20"/>
      <c r="J517" s="45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9"/>
      <c r="AQ517" s="29"/>
      <c r="AR517" s="29"/>
      <c r="AS517" s="29"/>
      <c r="AT517" s="29"/>
      <c r="AU517" s="29"/>
      <c r="AV517" s="29"/>
      <c r="AW517" s="29"/>
      <c r="AX517" s="29"/>
    </row>
    <row r="518">
      <c r="A518" s="20"/>
      <c r="B518" s="20"/>
      <c r="C518" s="20"/>
      <c r="D518" s="46"/>
      <c r="E518" s="20"/>
      <c r="F518" s="20"/>
      <c r="G518" s="20"/>
      <c r="H518" s="20"/>
      <c r="I518" s="20"/>
      <c r="J518" s="45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9"/>
      <c r="AQ518" s="29"/>
      <c r="AR518" s="29"/>
      <c r="AS518" s="29"/>
      <c r="AT518" s="29"/>
      <c r="AU518" s="29"/>
      <c r="AV518" s="29"/>
      <c r="AW518" s="29"/>
      <c r="AX518" s="29"/>
    </row>
    <row r="519">
      <c r="A519" s="20"/>
      <c r="B519" s="20"/>
      <c r="C519" s="20"/>
      <c r="D519" s="46"/>
      <c r="E519" s="20"/>
      <c r="F519" s="20"/>
      <c r="G519" s="20"/>
      <c r="H519" s="20"/>
      <c r="I519" s="20"/>
      <c r="J519" s="45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9"/>
      <c r="AQ519" s="29"/>
      <c r="AR519" s="29"/>
      <c r="AS519" s="29"/>
      <c r="AT519" s="29"/>
      <c r="AU519" s="29"/>
      <c r="AV519" s="29"/>
      <c r="AW519" s="29"/>
      <c r="AX519" s="29"/>
    </row>
    <row r="520">
      <c r="A520" s="20"/>
      <c r="B520" s="20"/>
      <c r="C520" s="20"/>
      <c r="D520" s="46"/>
      <c r="E520" s="20"/>
      <c r="F520" s="20"/>
      <c r="G520" s="20"/>
      <c r="H520" s="20"/>
      <c r="I520" s="20"/>
      <c r="J520" s="45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9"/>
      <c r="AQ520" s="29"/>
      <c r="AR520" s="29"/>
      <c r="AS520" s="29"/>
      <c r="AT520" s="29"/>
      <c r="AU520" s="29"/>
      <c r="AV520" s="29"/>
      <c r="AW520" s="29"/>
      <c r="AX520" s="29"/>
    </row>
    <row r="521">
      <c r="A521" s="20"/>
      <c r="B521" s="20"/>
      <c r="C521" s="20"/>
      <c r="D521" s="46"/>
      <c r="E521" s="20"/>
      <c r="F521" s="20"/>
      <c r="G521" s="20"/>
      <c r="H521" s="20"/>
      <c r="I521" s="20"/>
      <c r="J521" s="45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9"/>
      <c r="AQ521" s="29"/>
      <c r="AR521" s="29"/>
      <c r="AS521" s="29"/>
      <c r="AT521" s="29"/>
      <c r="AU521" s="29"/>
      <c r="AV521" s="29"/>
      <c r="AW521" s="29"/>
      <c r="AX521" s="29"/>
    </row>
    <row r="522">
      <c r="A522" s="20"/>
      <c r="B522" s="20"/>
      <c r="C522" s="20"/>
      <c r="D522" s="46"/>
      <c r="E522" s="20"/>
      <c r="F522" s="20"/>
      <c r="G522" s="20"/>
      <c r="H522" s="20"/>
      <c r="I522" s="20"/>
      <c r="J522" s="45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9"/>
      <c r="AQ522" s="29"/>
      <c r="AR522" s="29"/>
      <c r="AS522" s="29"/>
      <c r="AT522" s="29"/>
      <c r="AU522" s="29"/>
      <c r="AV522" s="29"/>
      <c r="AW522" s="29"/>
      <c r="AX522" s="29"/>
    </row>
    <row r="523">
      <c r="A523" s="20"/>
      <c r="B523" s="20"/>
      <c r="C523" s="20"/>
      <c r="D523" s="46"/>
      <c r="E523" s="20"/>
      <c r="F523" s="20"/>
      <c r="G523" s="20"/>
      <c r="H523" s="20"/>
      <c r="I523" s="20"/>
      <c r="J523" s="45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9"/>
      <c r="AQ523" s="29"/>
      <c r="AR523" s="29"/>
      <c r="AS523" s="29"/>
      <c r="AT523" s="29"/>
      <c r="AU523" s="29"/>
      <c r="AV523" s="29"/>
      <c r="AW523" s="29"/>
      <c r="AX523" s="29"/>
    </row>
    <row r="524">
      <c r="A524" s="20"/>
      <c r="B524" s="20"/>
      <c r="C524" s="20"/>
      <c r="D524" s="46"/>
      <c r="E524" s="20"/>
      <c r="F524" s="20"/>
      <c r="G524" s="20"/>
      <c r="H524" s="20"/>
      <c r="I524" s="20"/>
      <c r="J524" s="45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9"/>
      <c r="AQ524" s="29"/>
      <c r="AR524" s="29"/>
      <c r="AS524" s="29"/>
      <c r="AT524" s="29"/>
      <c r="AU524" s="29"/>
      <c r="AV524" s="29"/>
      <c r="AW524" s="29"/>
      <c r="AX524" s="29"/>
    </row>
    <row r="525">
      <c r="A525" s="20"/>
      <c r="B525" s="20"/>
      <c r="C525" s="20"/>
      <c r="D525" s="46"/>
      <c r="E525" s="20"/>
      <c r="F525" s="20"/>
      <c r="G525" s="20"/>
      <c r="H525" s="20"/>
      <c r="I525" s="20"/>
      <c r="J525" s="45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9"/>
      <c r="AQ525" s="29"/>
      <c r="AR525" s="29"/>
      <c r="AS525" s="29"/>
      <c r="AT525" s="29"/>
      <c r="AU525" s="29"/>
      <c r="AV525" s="29"/>
      <c r="AW525" s="29"/>
      <c r="AX525" s="29"/>
    </row>
    <row r="526">
      <c r="A526" s="20"/>
      <c r="B526" s="20"/>
      <c r="C526" s="20"/>
      <c r="D526" s="46"/>
      <c r="E526" s="20"/>
      <c r="F526" s="20"/>
      <c r="G526" s="20"/>
      <c r="H526" s="20"/>
      <c r="I526" s="20"/>
      <c r="J526" s="45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9"/>
      <c r="AQ526" s="29"/>
      <c r="AR526" s="29"/>
      <c r="AS526" s="29"/>
      <c r="AT526" s="29"/>
      <c r="AU526" s="29"/>
      <c r="AV526" s="29"/>
      <c r="AW526" s="29"/>
      <c r="AX526" s="29"/>
    </row>
    <row r="527">
      <c r="A527" s="20"/>
      <c r="B527" s="20"/>
      <c r="C527" s="20"/>
      <c r="D527" s="46"/>
      <c r="E527" s="20"/>
      <c r="F527" s="20"/>
      <c r="G527" s="20"/>
      <c r="H527" s="20"/>
      <c r="I527" s="20"/>
      <c r="J527" s="45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9"/>
      <c r="AQ527" s="29"/>
      <c r="AR527" s="29"/>
      <c r="AS527" s="29"/>
      <c r="AT527" s="29"/>
      <c r="AU527" s="29"/>
      <c r="AV527" s="29"/>
      <c r="AW527" s="29"/>
      <c r="AX527" s="29"/>
    </row>
    <row r="528">
      <c r="A528" s="20"/>
      <c r="B528" s="20"/>
      <c r="C528" s="20"/>
      <c r="D528" s="46"/>
      <c r="E528" s="20"/>
      <c r="F528" s="20"/>
      <c r="G528" s="20"/>
      <c r="H528" s="20"/>
      <c r="I528" s="20"/>
      <c r="J528" s="45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9"/>
      <c r="AQ528" s="29"/>
      <c r="AR528" s="29"/>
      <c r="AS528" s="29"/>
      <c r="AT528" s="29"/>
      <c r="AU528" s="29"/>
      <c r="AV528" s="29"/>
      <c r="AW528" s="29"/>
      <c r="AX528" s="29"/>
    </row>
    <row r="529">
      <c r="A529" s="20"/>
      <c r="B529" s="20"/>
      <c r="C529" s="20"/>
      <c r="D529" s="46"/>
      <c r="E529" s="20"/>
      <c r="F529" s="20"/>
      <c r="G529" s="20"/>
      <c r="H529" s="20"/>
      <c r="I529" s="20"/>
      <c r="J529" s="45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9"/>
      <c r="AQ529" s="29"/>
      <c r="AR529" s="29"/>
      <c r="AS529" s="29"/>
      <c r="AT529" s="29"/>
      <c r="AU529" s="29"/>
      <c r="AV529" s="29"/>
      <c r="AW529" s="29"/>
      <c r="AX529" s="29"/>
    </row>
    <row r="530">
      <c r="A530" s="20"/>
      <c r="B530" s="20"/>
      <c r="C530" s="20"/>
      <c r="D530" s="46"/>
      <c r="E530" s="20"/>
      <c r="F530" s="20"/>
      <c r="G530" s="20"/>
      <c r="H530" s="20"/>
      <c r="I530" s="20"/>
      <c r="J530" s="45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9"/>
      <c r="AQ530" s="29"/>
      <c r="AR530" s="29"/>
      <c r="AS530" s="29"/>
      <c r="AT530" s="29"/>
      <c r="AU530" s="29"/>
      <c r="AV530" s="29"/>
      <c r="AW530" s="29"/>
      <c r="AX530" s="29"/>
    </row>
    <row r="531">
      <c r="A531" s="20"/>
      <c r="B531" s="20"/>
      <c r="C531" s="20"/>
      <c r="D531" s="46"/>
      <c r="E531" s="20"/>
      <c r="F531" s="20"/>
      <c r="G531" s="20"/>
      <c r="H531" s="20"/>
      <c r="I531" s="20"/>
      <c r="J531" s="45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9"/>
      <c r="AQ531" s="29"/>
      <c r="AR531" s="29"/>
      <c r="AS531" s="29"/>
      <c r="AT531" s="29"/>
      <c r="AU531" s="29"/>
      <c r="AV531" s="29"/>
      <c r="AW531" s="29"/>
      <c r="AX531" s="29"/>
    </row>
    <row r="532">
      <c r="A532" s="20"/>
      <c r="B532" s="20"/>
      <c r="C532" s="20"/>
      <c r="D532" s="46"/>
      <c r="E532" s="20"/>
      <c r="F532" s="20"/>
      <c r="G532" s="20"/>
      <c r="H532" s="20"/>
      <c r="I532" s="20"/>
      <c r="J532" s="45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9"/>
      <c r="AQ532" s="29"/>
      <c r="AR532" s="29"/>
      <c r="AS532" s="29"/>
      <c r="AT532" s="29"/>
      <c r="AU532" s="29"/>
      <c r="AV532" s="29"/>
      <c r="AW532" s="29"/>
      <c r="AX532" s="29"/>
    </row>
    <row r="533">
      <c r="A533" s="20"/>
      <c r="B533" s="20"/>
      <c r="C533" s="20"/>
      <c r="D533" s="46"/>
      <c r="E533" s="20"/>
      <c r="F533" s="20"/>
      <c r="G533" s="20"/>
      <c r="H533" s="20"/>
      <c r="I533" s="20"/>
      <c r="J533" s="45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9"/>
      <c r="AQ533" s="29"/>
      <c r="AR533" s="29"/>
      <c r="AS533" s="29"/>
      <c r="AT533" s="29"/>
      <c r="AU533" s="29"/>
      <c r="AV533" s="29"/>
      <c r="AW533" s="29"/>
      <c r="AX533" s="29"/>
    </row>
    <row r="534">
      <c r="A534" s="20"/>
      <c r="B534" s="20"/>
      <c r="C534" s="20"/>
      <c r="D534" s="46"/>
      <c r="E534" s="20"/>
      <c r="F534" s="20"/>
      <c r="G534" s="20"/>
      <c r="H534" s="20"/>
      <c r="I534" s="20"/>
      <c r="J534" s="45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9"/>
      <c r="AQ534" s="29"/>
      <c r="AR534" s="29"/>
      <c r="AS534" s="29"/>
      <c r="AT534" s="29"/>
      <c r="AU534" s="29"/>
      <c r="AV534" s="29"/>
      <c r="AW534" s="29"/>
      <c r="AX534" s="29"/>
    </row>
    <row r="535">
      <c r="A535" s="20"/>
      <c r="B535" s="20"/>
      <c r="C535" s="20"/>
      <c r="D535" s="46"/>
      <c r="E535" s="20"/>
      <c r="F535" s="20"/>
      <c r="G535" s="20"/>
      <c r="H535" s="20"/>
      <c r="I535" s="20"/>
      <c r="J535" s="45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9"/>
      <c r="AQ535" s="29"/>
      <c r="AR535" s="29"/>
      <c r="AS535" s="29"/>
      <c r="AT535" s="29"/>
      <c r="AU535" s="29"/>
      <c r="AV535" s="29"/>
      <c r="AW535" s="29"/>
      <c r="AX535" s="29"/>
    </row>
    <row r="536">
      <c r="A536" s="20"/>
      <c r="B536" s="20"/>
      <c r="C536" s="20"/>
      <c r="D536" s="46"/>
      <c r="E536" s="20"/>
      <c r="F536" s="20"/>
      <c r="G536" s="20"/>
      <c r="H536" s="20"/>
      <c r="I536" s="20"/>
      <c r="J536" s="45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9"/>
      <c r="AQ536" s="29"/>
      <c r="AR536" s="29"/>
      <c r="AS536" s="29"/>
      <c r="AT536" s="29"/>
      <c r="AU536" s="29"/>
      <c r="AV536" s="29"/>
      <c r="AW536" s="29"/>
      <c r="AX536" s="29"/>
    </row>
    <row r="537">
      <c r="A537" s="20"/>
      <c r="B537" s="20"/>
      <c r="C537" s="20"/>
      <c r="D537" s="46"/>
      <c r="E537" s="20"/>
      <c r="F537" s="20"/>
      <c r="G537" s="20"/>
      <c r="H537" s="20"/>
      <c r="I537" s="20"/>
      <c r="J537" s="45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9"/>
      <c r="AQ537" s="29"/>
      <c r="AR537" s="29"/>
      <c r="AS537" s="29"/>
      <c r="AT537" s="29"/>
      <c r="AU537" s="29"/>
      <c r="AV537" s="29"/>
      <c r="AW537" s="29"/>
      <c r="AX537" s="29"/>
    </row>
    <row r="538">
      <c r="A538" s="20"/>
      <c r="B538" s="20"/>
      <c r="C538" s="20"/>
      <c r="D538" s="46"/>
      <c r="E538" s="20"/>
      <c r="F538" s="20"/>
      <c r="G538" s="20"/>
      <c r="H538" s="20"/>
      <c r="I538" s="20"/>
      <c r="J538" s="45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9"/>
      <c r="AQ538" s="29"/>
      <c r="AR538" s="29"/>
      <c r="AS538" s="29"/>
      <c r="AT538" s="29"/>
      <c r="AU538" s="29"/>
      <c r="AV538" s="29"/>
      <c r="AW538" s="29"/>
      <c r="AX538" s="29"/>
    </row>
    <row r="539">
      <c r="A539" s="20"/>
      <c r="B539" s="20"/>
      <c r="C539" s="20"/>
      <c r="D539" s="46"/>
      <c r="E539" s="20"/>
      <c r="F539" s="20"/>
      <c r="G539" s="20"/>
      <c r="H539" s="20"/>
      <c r="I539" s="20"/>
      <c r="J539" s="45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9"/>
      <c r="AQ539" s="29"/>
      <c r="AR539" s="29"/>
      <c r="AS539" s="29"/>
      <c r="AT539" s="29"/>
      <c r="AU539" s="29"/>
      <c r="AV539" s="29"/>
      <c r="AW539" s="29"/>
      <c r="AX539" s="29"/>
    </row>
    <row r="540">
      <c r="A540" s="20"/>
      <c r="B540" s="20"/>
      <c r="C540" s="20"/>
      <c r="D540" s="46"/>
      <c r="E540" s="20"/>
      <c r="F540" s="20"/>
      <c r="G540" s="20"/>
      <c r="H540" s="20"/>
      <c r="I540" s="20"/>
      <c r="J540" s="45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9"/>
      <c r="AQ540" s="29"/>
      <c r="AR540" s="29"/>
      <c r="AS540" s="29"/>
      <c r="AT540" s="29"/>
      <c r="AU540" s="29"/>
      <c r="AV540" s="29"/>
      <c r="AW540" s="29"/>
      <c r="AX540" s="29"/>
    </row>
    <row r="541">
      <c r="A541" s="20"/>
      <c r="B541" s="20"/>
      <c r="C541" s="20"/>
      <c r="D541" s="46"/>
      <c r="E541" s="20"/>
      <c r="F541" s="20"/>
      <c r="G541" s="20"/>
      <c r="H541" s="20"/>
      <c r="I541" s="20"/>
      <c r="J541" s="45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9"/>
      <c r="AQ541" s="29"/>
      <c r="AR541" s="29"/>
      <c r="AS541" s="29"/>
      <c r="AT541" s="29"/>
      <c r="AU541" s="29"/>
      <c r="AV541" s="29"/>
      <c r="AW541" s="29"/>
      <c r="AX541" s="29"/>
    </row>
    <row r="542">
      <c r="A542" s="20"/>
      <c r="B542" s="20"/>
      <c r="C542" s="20"/>
      <c r="D542" s="46"/>
      <c r="E542" s="20"/>
      <c r="F542" s="20"/>
      <c r="G542" s="20"/>
      <c r="H542" s="20"/>
      <c r="I542" s="20"/>
      <c r="J542" s="45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9"/>
      <c r="AQ542" s="29"/>
      <c r="AR542" s="29"/>
      <c r="AS542" s="29"/>
      <c r="AT542" s="29"/>
      <c r="AU542" s="29"/>
      <c r="AV542" s="29"/>
      <c r="AW542" s="29"/>
      <c r="AX542" s="29"/>
    </row>
    <row r="543">
      <c r="A543" s="20"/>
      <c r="B543" s="20"/>
      <c r="C543" s="20"/>
      <c r="D543" s="46"/>
      <c r="E543" s="20"/>
      <c r="F543" s="20"/>
      <c r="G543" s="20"/>
      <c r="H543" s="20"/>
      <c r="I543" s="20"/>
      <c r="J543" s="45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9"/>
      <c r="AQ543" s="29"/>
      <c r="AR543" s="29"/>
      <c r="AS543" s="29"/>
      <c r="AT543" s="29"/>
      <c r="AU543" s="29"/>
      <c r="AV543" s="29"/>
      <c r="AW543" s="29"/>
      <c r="AX543" s="29"/>
    </row>
    <row r="544">
      <c r="A544" s="20"/>
      <c r="B544" s="20"/>
      <c r="C544" s="20"/>
      <c r="D544" s="46"/>
      <c r="E544" s="20"/>
      <c r="F544" s="20"/>
      <c r="G544" s="20"/>
      <c r="H544" s="20"/>
      <c r="I544" s="20"/>
      <c r="J544" s="45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9"/>
      <c r="AQ544" s="29"/>
      <c r="AR544" s="29"/>
      <c r="AS544" s="29"/>
      <c r="AT544" s="29"/>
      <c r="AU544" s="29"/>
      <c r="AV544" s="29"/>
      <c r="AW544" s="29"/>
      <c r="AX544" s="29"/>
    </row>
    <row r="545">
      <c r="A545" s="20"/>
      <c r="B545" s="20"/>
      <c r="C545" s="20"/>
      <c r="D545" s="46"/>
      <c r="E545" s="20"/>
      <c r="F545" s="20"/>
      <c r="G545" s="20"/>
      <c r="H545" s="20"/>
      <c r="I545" s="20"/>
      <c r="J545" s="45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9"/>
      <c r="AQ545" s="29"/>
      <c r="AR545" s="29"/>
      <c r="AS545" s="29"/>
      <c r="AT545" s="29"/>
      <c r="AU545" s="29"/>
      <c r="AV545" s="29"/>
      <c r="AW545" s="29"/>
      <c r="AX545" s="29"/>
    </row>
    <row r="546">
      <c r="A546" s="20"/>
      <c r="B546" s="20"/>
      <c r="C546" s="20"/>
      <c r="D546" s="46"/>
      <c r="E546" s="20"/>
      <c r="F546" s="20"/>
      <c r="G546" s="20"/>
      <c r="H546" s="20"/>
      <c r="I546" s="20"/>
      <c r="J546" s="45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9"/>
      <c r="AQ546" s="29"/>
      <c r="AR546" s="29"/>
      <c r="AS546" s="29"/>
      <c r="AT546" s="29"/>
      <c r="AU546" s="29"/>
      <c r="AV546" s="29"/>
      <c r="AW546" s="29"/>
      <c r="AX546" s="29"/>
    </row>
    <row r="547">
      <c r="A547" s="20"/>
      <c r="B547" s="20"/>
      <c r="C547" s="20"/>
      <c r="D547" s="46"/>
      <c r="E547" s="20"/>
      <c r="F547" s="20"/>
      <c r="G547" s="20"/>
      <c r="H547" s="20"/>
      <c r="I547" s="20"/>
      <c r="J547" s="45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9"/>
      <c r="AQ547" s="29"/>
      <c r="AR547" s="29"/>
      <c r="AS547" s="29"/>
      <c r="AT547" s="29"/>
      <c r="AU547" s="29"/>
      <c r="AV547" s="29"/>
      <c r="AW547" s="29"/>
      <c r="AX547" s="29"/>
    </row>
    <row r="548">
      <c r="A548" s="20"/>
      <c r="B548" s="20"/>
      <c r="C548" s="20"/>
      <c r="D548" s="46"/>
      <c r="E548" s="20"/>
      <c r="F548" s="20"/>
      <c r="G548" s="20"/>
      <c r="H548" s="20"/>
      <c r="I548" s="20"/>
      <c r="J548" s="45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9"/>
      <c r="AQ548" s="29"/>
      <c r="AR548" s="29"/>
      <c r="AS548" s="29"/>
      <c r="AT548" s="29"/>
      <c r="AU548" s="29"/>
      <c r="AV548" s="29"/>
      <c r="AW548" s="29"/>
      <c r="AX548" s="29"/>
    </row>
    <row r="549">
      <c r="A549" s="20"/>
      <c r="B549" s="20"/>
      <c r="C549" s="20"/>
      <c r="D549" s="46"/>
      <c r="E549" s="20"/>
      <c r="F549" s="20"/>
      <c r="G549" s="20"/>
      <c r="H549" s="20"/>
      <c r="I549" s="20"/>
      <c r="J549" s="45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9"/>
      <c r="AQ549" s="29"/>
      <c r="AR549" s="29"/>
      <c r="AS549" s="29"/>
      <c r="AT549" s="29"/>
      <c r="AU549" s="29"/>
      <c r="AV549" s="29"/>
      <c r="AW549" s="29"/>
      <c r="AX549" s="29"/>
    </row>
    <row r="550">
      <c r="A550" s="20"/>
      <c r="B550" s="20"/>
      <c r="C550" s="20"/>
      <c r="D550" s="46"/>
      <c r="E550" s="20"/>
      <c r="F550" s="20"/>
      <c r="G550" s="20"/>
      <c r="H550" s="20"/>
      <c r="I550" s="20"/>
      <c r="J550" s="45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9"/>
      <c r="AQ550" s="29"/>
      <c r="AR550" s="29"/>
      <c r="AS550" s="29"/>
      <c r="AT550" s="29"/>
      <c r="AU550" s="29"/>
      <c r="AV550" s="29"/>
      <c r="AW550" s="29"/>
      <c r="AX550" s="29"/>
    </row>
    <row r="551">
      <c r="A551" s="20"/>
      <c r="B551" s="20"/>
      <c r="C551" s="20"/>
      <c r="D551" s="46"/>
      <c r="E551" s="20"/>
      <c r="F551" s="20"/>
      <c r="G551" s="20"/>
      <c r="H551" s="20"/>
      <c r="I551" s="20"/>
      <c r="J551" s="45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9"/>
      <c r="AQ551" s="29"/>
      <c r="AR551" s="29"/>
      <c r="AS551" s="29"/>
      <c r="AT551" s="29"/>
      <c r="AU551" s="29"/>
      <c r="AV551" s="29"/>
      <c r="AW551" s="29"/>
      <c r="AX551" s="29"/>
    </row>
    <row r="552">
      <c r="A552" s="20"/>
      <c r="B552" s="20"/>
      <c r="C552" s="20"/>
      <c r="D552" s="46"/>
      <c r="E552" s="20"/>
      <c r="F552" s="20"/>
      <c r="G552" s="20"/>
      <c r="H552" s="20"/>
      <c r="I552" s="20"/>
      <c r="J552" s="45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9"/>
      <c r="AQ552" s="29"/>
      <c r="AR552" s="29"/>
      <c r="AS552" s="29"/>
      <c r="AT552" s="29"/>
      <c r="AU552" s="29"/>
      <c r="AV552" s="29"/>
      <c r="AW552" s="29"/>
      <c r="AX552" s="29"/>
    </row>
    <row r="553">
      <c r="A553" s="20"/>
      <c r="B553" s="20"/>
      <c r="C553" s="20"/>
      <c r="D553" s="46"/>
      <c r="E553" s="20"/>
      <c r="F553" s="20"/>
      <c r="G553" s="20"/>
      <c r="H553" s="20"/>
      <c r="I553" s="20"/>
      <c r="J553" s="45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9"/>
      <c r="AQ553" s="29"/>
      <c r="AR553" s="29"/>
      <c r="AS553" s="29"/>
      <c r="AT553" s="29"/>
      <c r="AU553" s="29"/>
      <c r="AV553" s="29"/>
      <c r="AW553" s="29"/>
      <c r="AX553" s="29"/>
    </row>
    <row r="554">
      <c r="A554" s="20"/>
      <c r="B554" s="20"/>
      <c r="C554" s="20"/>
      <c r="D554" s="46"/>
      <c r="E554" s="20"/>
      <c r="F554" s="20"/>
      <c r="G554" s="20"/>
      <c r="H554" s="20"/>
      <c r="I554" s="20"/>
      <c r="J554" s="45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9"/>
      <c r="AQ554" s="29"/>
      <c r="AR554" s="29"/>
      <c r="AS554" s="29"/>
      <c r="AT554" s="29"/>
      <c r="AU554" s="29"/>
      <c r="AV554" s="29"/>
      <c r="AW554" s="29"/>
      <c r="AX554" s="29"/>
    </row>
    <row r="555">
      <c r="A555" s="20"/>
      <c r="B555" s="20"/>
      <c r="C555" s="20"/>
      <c r="D555" s="46"/>
      <c r="E555" s="20"/>
      <c r="F555" s="20"/>
      <c r="G555" s="20"/>
      <c r="H555" s="20"/>
      <c r="I555" s="20"/>
      <c r="J555" s="45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9"/>
      <c r="AQ555" s="29"/>
      <c r="AR555" s="29"/>
      <c r="AS555" s="29"/>
      <c r="AT555" s="29"/>
      <c r="AU555" s="29"/>
      <c r="AV555" s="29"/>
      <c r="AW555" s="29"/>
      <c r="AX555" s="29"/>
    </row>
    <row r="556">
      <c r="A556" s="20"/>
      <c r="B556" s="20"/>
      <c r="C556" s="20"/>
      <c r="D556" s="46"/>
      <c r="E556" s="20"/>
      <c r="F556" s="20"/>
      <c r="G556" s="20"/>
      <c r="H556" s="20"/>
      <c r="I556" s="20"/>
      <c r="J556" s="45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9"/>
      <c r="AQ556" s="29"/>
      <c r="AR556" s="29"/>
      <c r="AS556" s="29"/>
      <c r="AT556" s="29"/>
      <c r="AU556" s="29"/>
      <c r="AV556" s="29"/>
      <c r="AW556" s="29"/>
      <c r="AX556" s="29"/>
    </row>
    <row r="557">
      <c r="A557" s="20"/>
      <c r="B557" s="20"/>
      <c r="C557" s="20"/>
      <c r="D557" s="46"/>
      <c r="E557" s="20"/>
      <c r="F557" s="20"/>
      <c r="G557" s="20"/>
      <c r="H557" s="20"/>
      <c r="I557" s="20"/>
      <c r="J557" s="45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9"/>
      <c r="AQ557" s="29"/>
      <c r="AR557" s="29"/>
      <c r="AS557" s="29"/>
      <c r="AT557" s="29"/>
      <c r="AU557" s="29"/>
      <c r="AV557" s="29"/>
      <c r="AW557" s="29"/>
      <c r="AX557" s="29"/>
    </row>
    <row r="558">
      <c r="A558" s="20"/>
      <c r="B558" s="20"/>
      <c r="C558" s="20"/>
      <c r="D558" s="46"/>
      <c r="E558" s="20"/>
      <c r="F558" s="20"/>
      <c r="G558" s="20"/>
      <c r="H558" s="20"/>
      <c r="I558" s="20"/>
      <c r="J558" s="45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9"/>
      <c r="AQ558" s="29"/>
      <c r="AR558" s="29"/>
      <c r="AS558" s="29"/>
      <c r="AT558" s="29"/>
      <c r="AU558" s="29"/>
      <c r="AV558" s="29"/>
      <c r="AW558" s="29"/>
      <c r="AX558" s="29"/>
    </row>
    <row r="559">
      <c r="A559" s="20"/>
      <c r="B559" s="20"/>
      <c r="C559" s="20"/>
      <c r="D559" s="46"/>
      <c r="E559" s="20"/>
      <c r="F559" s="20"/>
      <c r="G559" s="20"/>
      <c r="H559" s="20"/>
      <c r="I559" s="20"/>
      <c r="J559" s="45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9"/>
      <c r="AQ559" s="29"/>
      <c r="AR559" s="29"/>
      <c r="AS559" s="29"/>
      <c r="AT559" s="29"/>
      <c r="AU559" s="29"/>
      <c r="AV559" s="29"/>
      <c r="AW559" s="29"/>
      <c r="AX559" s="29"/>
    </row>
    <row r="560">
      <c r="A560" s="20"/>
      <c r="B560" s="20"/>
      <c r="C560" s="20"/>
      <c r="D560" s="46"/>
      <c r="E560" s="20"/>
      <c r="F560" s="20"/>
      <c r="G560" s="20"/>
      <c r="H560" s="20"/>
      <c r="I560" s="20"/>
      <c r="J560" s="45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9"/>
      <c r="AQ560" s="29"/>
      <c r="AR560" s="29"/>
      <c r="AS560" s="29"/>
      <c r="AT560" s="29"/>
      <c r="AU560" s="29"/>
      <c r="AV560" s="29"/>
      <c r="AW560" s="29"/>
      <c r="AX560" s="29"/>
    </row>
    <row r="561">
      <c r="A561" s="20"/>
      <c r="B561" s="20"/>
      <c r="C561" s="20"/>
      <c r="D561" s="46"/>
      <c r="E561" s="20"/>
      <c r="F561" s="20"/>
      <c r="G561" s="20"/>
      <c r="H561" s="20"/>
      <c r="I561" s="20"/>
      <c r="J561" s="45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9"/>
      <c r="AQ561" s="29"/>
      <c r="AR561" s="29"/>
      <c r="AS561" s="29"/>
      <c r="AT561" s="29"/>
      <c r="AU561" s="29"/>
      <c r="AV561" s="29"/>
      <c r="AW561" s="29"/>
      <c r="AX561" s="29"/>
    </row>
    <row r="562">
      <c r="A562" s="20"/>
      <c r="B562" s="20"/>
      <c r="C562" s="20"/>
      <c r="D562" s="46"/>
      <c r="E562" s="20"/>
      <c r="F562" s="20"/>
      <c r="G562" s="20"/>
      <c r="H562" s="20"/>
      <c r="I562" s="20"/>
      <c r="J562" s="45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9"/>
      <c r="AQ562" s="29"/>
      <c r="AR562" s="29"/>
      <c r="AS562" s="29"/>
      <c r="AT562" s="29"/>
      <c r="AU562" s="29"/>
      <c r="AV562" s="29"/>
      <c r="AW562" s="29"/>
      <c r="AX562" s="29"/>
    </row>
    <row r="563">
      <c r="A563" s="20"/>
      <c r="B563" s="20"/>
      <c r="C563" s="20"/>
      <c r="D563" s="46"/>
      <c r="E563" s="20"/>
      <c r="F563" s="20"/>
      <c r="G563" s="20"/>
      <c r="H563" s="20"/>
      <c r="I563" s="20"/>
      <c r="J563" s="45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9"/>
      <c r="AQ563" s="29"/>
      <c r="AR563" s="29"/>
      <c r="AS563" s="29"/>
      <c r="AT563" s="29"/>
      <c r="AU563" s="29"/>
      <c r="AV563" s="29"/>
      <c r="AW563" s="29"/>
      <c r="AX563" s="29"/>
    </row>
    <row r="564">
      <c r="A564" s="20"/>
      <c r="B564" s="20"/>
      <c r="C564" s="20"/>
      <c r="D564" s="46"/>
      <c r="E564" s="20"/>
      <c r="F564" s="20"/>
      <c r="G564" s="20"/>
      <c r="H564" s="20"/>
      <c r="I564" s="20"/>
      <c r="J564" s="45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9"/>
      <c r="AQ564" s="29"/>
      <c r="AR564" s="29"/>
      <c r="AS564" s="29"/>
      <c r="AT564" s="29"/>
      <c r="AU564" s="29"/>
      <c r="AV564" s="29"/>
      <c r="AW564" s="29"/>
      <c r="AX564" s="29"/>
    </row>
    <row r="565">
      <c r="A565" s="20"/>
      <c r="B565" s="20"/>
      <c r="C565" s="20"/>
      <c r="D565" s="46"/>
      <c r="E565" s="20"/>
      <c r="F565" s="20"/>
      <c r="G565" s="20"/>
      <c r="H565" s="20"/>
      <c r="I565" s="20"/>
      <c r="J565" s="45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9"/>
      <c r="AQ565" s="29"/>
      <c r="AR565" s="29"/>
      <c r="AS565" s="29"/>
      <c r="AT565" s="29"/>
      <c r="AU565" s="29"/>
      <c r="AV565" s="29"/>
      <c r="AW565" s="29"/>
      <c r="AX565" s="29"/>
    </row>
    <row r="566">
      <c r="A566" s="20"/>
      <c r="B566" s="20"/>
      <c r="C566" s="20"/>
      <c r="D566" s="46"/>
      <c r="E566" s="20"/>
      <c r="F566" s="20"/>
      <c r="G566" s="20"/>
      <c r="H566" s="20"/>
      <c r="I566" s="20"/>
      <c r="J566" s="45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9"/>
      <c r="AQ566" s="29"/>
      <c r="AR566" s="29"/>
      <c r="AS566" s="29"/>
      <c r="AT566" s="29"/>
      <c r="AU566" s="29"/>
      <c r="AV566" s="29"/>
      <c r="AW566" s="29"/>
      <c r="AX566" s="29"/>
    </row>
    <row r="567">
      <c r="A567" s="20"/>
      <c r="B567" s="20"/>
      <c r="C567" s="20"/>
      <c r="D567" s="46"/>
      <c r="E567" s="20"/>
      <c r="F567" s="20"/>
      <c r="G567" s="20"/>
      <c r="H567" s="20"/>
      <c r="I567" s="20"/>
      <c r="J567" s="45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9"/>
      <c r="AQ567" s="29"/>
      <c r="AR567" s="29"/>
      <c r="AS567" s="29"/>
      <c r="AT567" s="29"/>
      <c r="AU567" s="29"/>
      <c r="AV567" s="29"/>
      <c r="AW567" s="29"/>
      <c r="AX567" s="29"/>
    </row>
    <row r="568">
      <c r="A568" s="20"/>
      <c r="B568" s="20"/>
      <c r="C568" s="20"/>
      <c r="D568" s="46"/>
      <c r="E568" s="20"/>
      <c r="F568" s="20"/>
      <c r="G568" s="20"/>
      <c r="H568" s="20"/>
      <c r="I568" s="20"/>
      <c r="J568" s="45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9"/>
      <c r="AQ568" s="29"/>
      <c r="AR568" s="29"/>
      <c r="AS568" s="29"/>
      <c r="AT568" s="29"/>
      <c r="AU568" s="29"/>
      <c r="AV568" s="29"/>
      <c r="AW568" s="29"/>
      <c r="AX568" s="29"/>
    </row>
    <row r="569">
      <c r="A569" s="20"/>
      <c r="B569" s="20"/>
      <c r="C569" s="20"/>
      <c r="D569" s="46"/>
      <c r="E569" s="20"/>
      <c r="F569" s="20"/>
      <c r="G569" s="20"/>
      <c r="H569" s="20"/>
      <c r="I569" s="20"/>
      <c r="J569" s="45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9"/>
      <c r="AQ569" s="29"/>
      <c r="AR569" s="29"/>
      <c r="AS569" s="29"/>
      <c r="AT569" s="29"/>
      <c r="AU569" s="29"/>
      <c r="AV569" s="29"/>
      <c r="AW569" s="29"/>
      <c r="AX569" s="29"/>
    </row>
    <row r="570">
      <c r="A570" s="20"/>
      <c r="B570" s="20"/>
      <c r="C570" s="20"/>
      <c r="D570" s="46"/>
      <c r="E570" s="20"/>
      <c r="F570" s="20"/>
      <c r="G570" s="20"/>
      <c r="H570" s="20"/>
      <c r="I570" s="20"/>
      <c r="J570" s="45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9"/>
      <c r="AQ570" s="29"/>
      <c r="AR570" s="29"/>
      <c r="AS570" s="29"/>
      <c r="AT570" s="29"/>
      <c r="AU570" s="29"/>
      <c r="AV570" s="29"/>
      <c r="AW570" s="29"/>
      <c r="AX570" s="29"/>
    </row>
    <row r="571">
      <c r="A571" s="20"/>
      <c r="B571" s="20"/>
      <c r="C571" s="20"/>
      <c r="D571" s="46"/>
      <c r="E571" s="20"/>
      <c r="F571" s="20"/>
      <c r="G571" s="20"/>
      <c r="H571" s="20"/>
      <c r="I571" s="20"/>
      <c r="J571" s="45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9"/>
      <c r="AQ571" s="29"/>
      <c r="AR571" s="29"/>
      <c r="AS571" s="29"/>
      <c r="AT571" s="29"/>
      <c r="AU571" s="29"/>
      <c r="AV571" s="29"/>
      <c r="AW571" s="29"/>
      <c r="AX571" s="29"/>
    </row>
    <row r="572">
      <c r="A572" s="20"/>
      <c r="B572" s="20"/>
      <c r="C572" s="20"/>
      <c r="D572" s="46"/>
      <c r="E572" s="20"/>
      <c r="F572" s="20"/>
      <c r="G572" s="20"/>
      <c r="H572" s="20"/>
      <c r="I572" s="20"/>
      <c r="J572" s="45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9"/>
      <c r="AQ572" s="29"/>
      <c r="AR572" s="29"/>
      <c r="AS572" s="29"/>
      <c r="AT572" s="29"/>
      <c r="AU572" s="29"/>
      <c r="AV572" s="29"/>
      <c r="AW572" s="29"/>
      <c r="AX572" s="29"/>
    </row>
    <row r="573">
      <c r="A573" s="20"/>
      <c r="B573" s="20"/>
      <c r="C573" s="20"/>
      <c r="D573" s="46"/>
      <c r="E573" s="20"/>
      <c r="F573" s="20"/>
      <c r="G573" s="20"/>
      <c r="H573" s="20"/>
      <c r="I573" s="20"/>
      <c r="J573" s="45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9"/>
      <c r="AQ573" s="29"/>
      <c r="AR573" s="29"/>
      <c r="AS573" s="29"/>
      <c r="AT573" s="29"/>
      <c r="AU573" s="29"/>
      <c r="AV573" s="29"/>
      <c r="AW573" s="29"/>
      <c r="AX573" s="29"/>
    </row>
    <row r="574">
      <c r="A574" s="20"/>
      <c r="B574" s="20"/>
      <c r="C574" s="20"/>
      <c r="D574" s="46"/>
      <c r="E574" s="20"/>
      <c r="F574" s="20"/>
      <c r="G574" s="20"/>
      <c r="H574" s="20"/>
      <c r="I574" s="20"/>
      <c r="J574" s="45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9"/>
      <c r="AQ574" s="29"/>
      <c r="AR574" s="29"/>
      <c r="AS574" s="29"/>
      <c r="AT574" s="29"/>
      <c r="AU574" s="29"/>
      <c r="AV574" s="29"/>
      <c r="AW574" s="29"/>
      <c r="AX574" s="29"/>
    </row>
    <row r="575">
      <c r="A575" s="20"/>
      <c r="B575" s="20"/>
      <c r="C575" s="20"/>
      <c r="D575" s="46"/>
      <c r="E575" s="20"/>
      <c r="F575" s="20"/>
      <c r="G575" s="20"/>
      <c r="H575" s="20"/>
      <c r="I575" s="20"/>
      <c r="J575" s="45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9"/>
      <c r="AQ575" s="29"/>
      <c r="AR575" s="29"/>
      <c r="AS575" s="29"/>
      <c r="AT575" s="29"/>
      <c r="AU575" s="29"/>
      <c r="AV575" s="29"/>
      <c r="AW575" s="29"/>
      <c r="AX575" s="29"/>
    </row>
    <row r="576">
      <c r="A576" s="20"/>
      <c r="B576" s="20"/>
      <c r="C576" s="20"/>
      <c r="D576" s="46"/>
      <c r="E576" s="20"/>
      <c r="F576" s="20"/>
      <c r="G576" s="20"/>
      <c r="H576" s="20"/>
      <c r="I576" s="20"/>
      <c r="J576" s="45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9"/>
      <c r="AQ576" s="29"/>
      <c r="AR576" s="29"/>
      <c r="AS576" s="29"/>
      <c r="AT576" s="29"/>
      <c r="AU576" s="29"/>
      <c r="AV576" s="29"/>
      <c r="AW576" s="29"/>
      <c r="AX576" s="29"/>
    </row>
    <row r="577">
      <c r="A577" s="20"/>
      <c r="B577" s="20"/>
      <c r="C577" s="20"/>
      <c r="D577" s="46"/>
      <c r="E577" s="20"/>
      <c r="F577" s="20"/>
      <c r="G577" s="20"/>
      <c r="H577" s="20"/>
      <c r="I577" s="20"/>
      <c r="J577" s="45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9"/>
      <c r="AQ577" s="29"/>
      <c r="AR577" s="29"/>
      <c r="AS577" s="29"/>
      <c r="AT577" s="29"/>
      <c r="AU577" s="29"/>
      <c r="AV577" s="29"/>
      <c r="AW577" s="29"/>
      <c r="AX577" s="29"/>
    </row>
    <row r="578">
      <c r="A578" s="20"/>
      <c r="B578" s="20"/>
      <c r="C578" s="20"/>
      <c r="D578" s="46"/>
      <c r="E578" s="20"/>
      <c r="F578" s="20"/>
      <c r="G578" s="20"/>
      <c r="H578" s="20"/>
      <c r="I578" s="20"/>
      <c r="J578" s="45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9"/>
      <c r="AQ578" s="29"/>
      <c r="AR578" s="29"/>
      <c r="AS578" s="29"/>
      <c r="AT578" s="29"/>
      <c r="AU578" s="29"/>
      <c r="AV578" s="29"/>
      <c r="AW578" s="29"/>
      <c r="AX578" s="29"/>
    </row>
    <row r="579">
      <c r="A579" s="20"/>
      <c r="B579" s="20"/>
      <c r="C579" s="20"/>
      <c r="D579" s="46"/>
      <c r="E579" s="20"/>
      <c r="F579" s="20"/>
      <c r="G579" s="20"/>
      <c r="H579" s="20"/>
      <c r="I579" s="20"/>
      <c r="J579" s="45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9"/>
      <c r="AQ579" s="29"/>
      <c r="AR579" s="29"/>
      <c r="AS579" s="29"/>
      <c r="AT579" s="29"/>
      <c r="AU579" s="29"/>
      <c r="AV579" s="29"/>
      <c r="AW579" s="29"/>
      <c r="AX579" s="29"/>
    </row>
    <row r="580">
      <c r="A580" s="20"/>
      <c r="B580" s="20"/>
      <c r="C580" s="20"/>
      <c r="D580" s="46"/>
      <c r="E580" s="20"/>
      <c r="F580" s="20"/>
      <c r="G580" s="20"/>
      <c r="H580" s="20"/>
      <c r="I580" s="20"/>
      <c r="J580" s="45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9"/>
      <c r="AQ580" s="29"/>
      <c r="AR580" s="29"/>
      <c r="AS580" s="29"/>
      <c r="AT580" s="29"/>
      <c r="AU580" s="29"/>
      <c r="AV580" s="29"/>
      <c r="AW580" s="29"/>
      <c r="AX580" s="29"/>
    </row>
    <row r="581">
      <c r="A581" s="20"/>
      <c r="B581" s="20"/>
      <c r="C581" s="20"/>
      <c r="D581" s="46"/>
      <c r="E581" s="20"/>
      <c r="F581" s="20"/>
      <c r="G581" s="20"/>
      <c r="H581" s="20"/>
      <c r="I581" s="20"/>
      <c r="J581" s="45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9"/>
      <c r="AQ581" s="29"/>
      <c r="AR581" s="29"/>
      <c r="AS581" s="29"/>
      <c r="AT581" s="29"/>
      <c r="AU581" s="29"/>
      <c r="AV581" s="29"/>
      <c r="AW581" s="29"/>
      <c r="AX581" s="29"/>
    </row>
    <row r="582">
      <c r="A582" s="20"/>
      <c r="B582" s="20"/>
      <c r="C582" s="20"/>
      <c r="D582" s="46"/>
      <c r="E582" s="20"/>
      <c r="F582" s="20"/>
      <c r="G582" s="20"/>
      <c r="H582" s="20"/>
      <c r="I582" s="20"/>
      <c r="J582" s="45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9"/>
      <c r="AQ582" s="29"/>
      <c r="AR582" s="29"/>
      <c r="AS582" s="29"/>
      <c r="AT582" s="29"/>
      <c r="AU582" s="29"/>
      <c r="AV582" s="29"/>
      <c r="AW582" s="29"/>
      <c r="AX582" s="29"/>
    </row>
    <row r="583">
      <c r="A583" s="20"/>
      <c r="B583" s="20"/>
      <c r="C583" s="20"/>
      <c r="D583" s="46"/>
      <c r="E583" s="20"/>
      <c r="F583" s="20"/>
      <c r="G583" s="20"/>
      <c r="H583" s="20"/>
      <c r="I583" s="20"/>
      <c r="J583" s="45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9"/>
      <c r="AQ583" s="29"/>
      <c r="AR583" s="29"/>
      <c r="AS583" s="29"/>
      <c r="AT583" s="29"/>
      <c r="AU583" s="29"/>
      <c r="AV583" s="29"/>
      <c r="AW583" s="29"/>
      <c r="AX583" s="29"/>
    </row>
    <row r="584">
      <c r="A584" s="20"/>
      <c r="B584" s="20"/>
      <c r="C584" s="20"/>
      <c r="D584" s="46"/>
      <c r="E584" s="20"/>
      <c r="F584" s="20"/>
      <c r="G584" s="20"/>
      <c r="H584" s="20"/>
      <c r="I584" s="20"/>
      <c r="J584" s="45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9"/>
      <c r="AQ584" s="29"/>
      <c r="AR584" s="29"/>
      <c r="AS584" s="29"/>
      <c r="AT584" s="29"/>
      <c r="AU584" s="29"/>
      <c r="AV584" s="29"/>
      <c r="AW584" s="29"/>
      <c r="AX584" s="29"/>
    </row>
    <row r="585">
      <c r="A585" s="20"/>
      <c r="B585" s="20"/>
      <c r="C585" s="20"/>
      <c r="D585" s="46"/>
      <c r="E585" s="20"/>
      <c r="F585" s="20"/>
      <c r="G585" s="20"/>
      <c r="H585" s="20"/>
      <c r="I585" s="20"/>
      <c r="J585" s="45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9"/>
      <c r="AQ585" s="29"/>
      <c r="AR585" s="29"/>
      <c r="AS585" s="29"/>
      <c r="AT585" s="29"/>
      <c r="AU585" s="29"/>
      <c r="AV585" s="29"/>
      <c r="AW585" s="29"/>
      <c r="AX585" s="29"/>
    </row>
    <row r="586">
      <c r="A586" s="20"/>
      <c r="B586" s="20"/>
      <c r="C586" s="20"/>
      <c r="D586" s="46"/>
      <c r="E586" s="20"/>
      <c r="F586" s="20"/>
      <c r="G586" s="20"/>
      <c r="H586" s="20"/>
      <c r="I586" s="20"/>
      <c r="J586" s="45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9"/>
      <c r="AQ586" s="29"/>
      <c r="AR586" s="29"/>
      <c r="AS586" s="29"/>
      <c r="AT586" s="29"/>
      <c r="AU586" s="29"/>
      <c r="AV586" s="29"/>
      <c r="AW586" s="29"/>
      <c r="AX586" s="29"/>
    </row>
    <row r="587">
      <c r="A587" s="20"/>
      <c r="B587" s="20"/>
      <c r="C587" s="20"/>
      <c r="D587" s="46"/>
      <c r="E587" s="20"/>
      <c r="F587" s="20"/>
      <c r="G587" s="20"/>
      <c r="H587" s="20"/>
      <c r="I587" s="20"/>
      <c r="J587" s="45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9"/>
      <c r="AQ587" s="29"/>
      <c r="AR587" s="29"/>
      <c r="AS587" s="29"/>
      <c r="AT587" s="29"/>
      <c r="AU587" s="29"/>
      <c r="AV587" s="29"/>
      <c r="AW587" s="29"/>
      <c r="AX587" s="29"/>
    </row>
    <row r="588">
      <c r="A588" s="20"/>
      <c r="B588" s="20"/>
      <c r="C588" s="20"/>
      <c r="D588" s="46"/>
      <c r="E588" s="20"/>
      <c r="F588" s="20"/>
      <c r="G588" s="20"/>
      <c r="H588" s="20"/>
      <c r="I588" s="20"/>
      <c r="J588" s="45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9"/>
      <c r="AQ588" s="29"/>
      <c r="AR588" s="29"/>
      <c r="AS588" s="29"/>
      <c r="AT588" s="29"/>
      <c r="AU588" s="29"/>
      <c r="AV588" s="29"/>
      <c r="AW588" s="29"/>
      <c r="AX588" s="29"/>
    </row>
    <row r="589">
      <c r="A589" s="20"/>
      <c r="B589" s="20"/>
      <c r="C589" s="20"/>
      <c r="D589" s="46"/>
      <c r="E589" s="20"/>
      <c r="F589" s="20"/>
      <c r="G589" s="20"/>
      <c r="H589" s="20"/>
      <c r="I589" s="20"/>
      <c r="J589" s="45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9"/>
      <c r="AQ589" s="29"/>
      <c r="AR589" s="29"/>
      <c r="AS589" s="29"/>
      <c r="AT589" s="29"/>
      <c r="AU589" s="29"/>
      <c r="AV589" s="29"/>
      <c r="AW589" s="29"/>
      <c r="AX589" s="29"/>
    </row>
    <row r="590">
      <c r="A590" s="20"/>
      <c r="B590" s="20"/>
      <c r="C590" s="20"/>
      <c r="D590" s="46"/>
      <c r="E590" s="20"/>
      <c r="F590" s="20"/>
      <c r="G590" s="20"/>
      <c r="H590" s="20"/>
      <c r="I590" s="20"/>
      <c r="J590" s="45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9"/>
      <c r="AQ590" s="29"/>
      <c r="AR590" s="29"/>
      <c r="AS590" s="29"/>
      <c r="AT590" s="29"/>
      <c r="AU590" s="29"/>
      <c r="AV590" s="29"/>
      <c r="AW590" s="29"/>
      <c r="AX590" s="29"/>
    </row>
    <row r="591">
      <c r="A591" s="20"/>
      <c r="B591" s="20"/>
      <c r="C591" s="20"/>
      <c r="D591" s="46"/>
      <c r="E591" s="20"/>
      <c r="F591" s="20"/>
      <c r="G591" s="20"/>
      <c r="H591" s="20"/>
      <c r="I591" s="20"/>
      <c r="J591" s="45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9"/>
      <c r="AQ591" s="29"/>
      <c r="AR591" s="29"/>
      <c r="AS591" s="29"/>
      <c r="AT591" s="29"/>
      <c r="AU591" s="29"/>
      <c r="AV591" s="29"/>
      <c r="AW591" s="29"/>
      <c r="AX591" s="29"/>
    </row>
    <row r="592">
      <c r="A592" s="20"/>
      <c r="B592" s="20"/>
      <c r="C592" s="20"/>
      <c r="D592" s="46"/>
      <c r="E592" s="20"/>
      <c r="F592" s="20"/>
      <c r="G592" s="20"/>
      <c r="H592" s="20"/>
      <c r="I592" s="20"/>
      <c r="J592" s="45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9"/>
      <c r="AQ592" s="29"/>
      <c r="AR592" s="29"/>
      <c r="AS592" s="29"/>
      <c r="AT592" s="29"/>
      <c r="AU592" s="29"/>
      <c r="AV592" s="29"/>
      <c r="AW592" s="29"/>
      <c r="AX592" s="29"/>
    </row>
    <row r="593">
      <c r="A593" s="20"/>
      <c r="B593" s="20"/>
      <c r="C593" s="20"/>
      <c r="D593" s="46"/>
      <c r="E593" s="20"/>
      <c r="F593" s="20"/>
      <c r="G593" s="20"/>
      <c r="H593" s="20"/>
      <c r="I593" s="20"/>
      <c r="J593" s="45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9"/>
      <c r="AQ593" s="29"/>
      <c r="AR593" s="29"/>
      <c r="AS593" s="29"/>
      <c r="AT593" s="29"/>
      <c r="AU593" s="29"/>
      <c r="AV593" s="29"/>
      <c r="AW593" s="29"/>
      <c r="AX593" s="29"/>
    </row>
    <row r="594">
      <c r="A594" s="20"/>
      <c r="B594" s="20"/>
      <c r="C594" s="20"/>
      <c r="D594" s="46"/>
      <c r="E594" s="20"/>
      <c r="F594" s="20"/>
      <c r="G594" s="20"/>
      <c r="H594" s="20"/>
      <c r="I594" s="20"/>
      <c r="J594" s="45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9"/>
      <c r="AQ594" s="29"/>
      <c r="AR594" s="29"/>
      <c r="AS594" s="29"/>
      <c r="AT594" s="29"/>
      <c r="AU594" s="29"/>
      <c r="AV594" s="29"/>
      <c r="AW594" s="29"/>
      <c r="AX594" s="29"/>
    </row>
    <row r="595">
      <c r="A595" s="20"/>
      <c r="B595" s="20"/>
      <c r="C595" s="20"/>
      <c r="D595" s="46"/>
      <c r="E595" s="20"/>
      <c r="F595" s="20"/>
      <c r="G595" s="20"/>
      <c r="H595" s="20"/>
      <c r="I595" s="20"/>
      <c r="J595" s="45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9"/>
      <c r="AQ595" s="29"/>
      <c r="AR595" s="29"/>
      <c r="AS595" s="29"/>
      <c r="AT595" s="29"/>
      <c r="AU595" s="29"/>
      <c r="AV595" s="29"/>
      <c r="AW595" s="29"/>
      <c r="AX595" s="29"/>
    </row>
    <row r="596">
      <c r="A596" s="20"/>
      <c r="B596" s="20"/>
      <c r="C596" s="20"/>
      <c r="D596" s="46"/>
      <c r="E596" s="20"/>
      <c r="F596" s="20"/>
      <c r="G596" s="20"/>
      <c r="H596" s="20"/>
      <c r="I596" s="20"/>
      <c r="J596" s="45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9"/>
      <c r="AQ596" s="29"/>
      <c r="AR596" s="29"/>
      <c r="AS596" s="29"/>
      <c r="AT596" s="29"/>
      <c r="AU596" s="29"/>
      <c r="AV596" s="29"/>
      <c r="AW596" s="29"/>
      <c r="AX596" s="29"/>
    </row>
    <row r="597">
      <c r="A597" s="20"/>
      <c r="B597" s="20"/>
      <c r="C597" s="20"/>
      <c r="D597" s="46"/>
      <c r="E597" s="20"/>
      <c r="F597" s="20"/>
      <c r="G597" s="20"/>
      <c r="H597" s="20"/>
      <c r="I597" s="20"/>
      <c r="J597" s="45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9"/>
      <c r="AQ597" s="29"/>
      <c r="AR597" s="29"/>
      <c r="AS597" s="29"/>
      <c r="AT597" s="29"/>
      <c r="AU597" s="29"/>
      <c r="AV597" s="29"/>
      <c r="AW597" s="29"/>
      <c r="AX597" s="29"/>
    </row>
    <row r="598">
      <c r="A598" s="20"/>
      <c r="B598" s="20"/>
      <c r="C598" s="20"/>
      <c r="D598" s="46"/>
      <c r="E598" s="20"/>
      <c r="F598" s="20"/>
      <c r="G598" s="20"/>
      <c r="H598" s="20"/>
      <c r="I598" s="20"/>
      <c r="J598" s="45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9"/>
      <c r="AQ598" s="29"/>
      <c r="AR598" s="29"/>
      <c r="AS598" s="29"/>
      <c r="AT598" s="29"/>
      <c r="AU598" s="29"/>
      <c r="AV598" s="29"/>
      <c r="AW598" s="29"/>
      <c r="AX598" s="29"/>
    </row>
    <row r="599">
      <c r="A599" s="20"/>
      <c r="B599" s="20"/>
      <c r="C599" s="20"/>
      <c r="D599" s="46"/>
      <c r="E599" s="20"/>
      <c r="F599" s="20"/>
      <c r="G599" s="20"/>
      <c r="H599" s="20"/>
      <c r="I599" s="20"/>
      <c r="J599" s="45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9"/>
      <c r="AQ599" s="29"/>
      <c r="AR599" s="29"/>
      <c r="AS599" s="29"/>
      <c r="AT599" s="29"/>
      <c r="AU599" s="29"/>
      <c r="AV599" s="29"/>
      <c r="AW599" s="29"/>
      <c r="AX599" s="29"/>
    </row>
    <row r="600">
      <c r="A600" s="20"/>
      <c r="B600" s="20"/>
      <c r="C600" s="20"/>
      <c r="D600" s="46"/>
      <c r="E600" s="20"/>
      <c r="F600" s="20"/>
      <c r="G600" s="20"/>
      <c r="H600" s="20"/>
      <c r="I600" s="20"/>
      <c r="J600" s="45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9"/>
      <c r="AQ600" s="29"/>
      <c r="AR600" s="29"/>
      <c r="AS600" s="29"/>
      <c r="AT600" s="29"/>
      <c r="AU600" s="29"/>
      <c r="AV600" s="29"/>
      <c r="AW600" s="29"/>
      <c r="AX600" s="29"/>
    </row>
    <row r="601">
      <c r="A601" s="20"/>
      <c r="B601" s="20"/>
      <c r="C601" s="20"/>
      <c r="D601" s="46"/>
      <c r="E601" s="20"/>
      <c r="F601" s="20"/>
      <c r="G601" s="20"/>
      <c r="H601" s="20"/>
      <c r="I601" s="20"/>
      <c r="J601" s="45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9"/>
      <c r="AQ601" s="29"/>
      <c r="AR601" s="29"/>
      <c r="AS601" s="29"/>
      <c r="AT601" s="29"/>
      <c r="AU601" s="29"/>
      <c r="AV601" s="29"/>
      <c r="AW601" s="29"/>
      <c r="AX601" s="29"/>
    </row>
    <row r="602">
      <c r="A602" s="20"/>
      <c r="B602" s="20"/>
      <c r="C602" s="20"/>
      <c r="D602" s="46"/>
      <c r="E602" s="20"/>
      <c r="F602" s="20"/>
      <c r="G602" s="20"/>
      <c r="H602" s="20"/>
      <c r="I602" s="20"/>
      <c r="J602" s="45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9"/>
      <c r="AQ602" s="29"/>
      <c r="AR602" s="29"/>
      <c r="AS602" s="29"/>
      <c r="AT602" s="29"/>
      <c r="AU602" s="29"/>
      <c r="AV602" s="29"/>
      <c r="AW602" s="29"/>
      <c r="AX602" s="29"/>
    </row>
    <row r="603">
      <c r="A603" s="20"/>
      <c r="B603" s="20"/>
      <c r="C603" s="20"/>
      <c r="D603" s="46"/>
      <c r="E603" s="20"/>
      <c r="F603" s="20"/>
      <c r="G603" s="20"/>
      <c r="H603" s="20"/>
      <c r="I603" s="20"/>
      <c r="J603" s="45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9"/>
      <c r="AQ603" s="29"/>
      <c r="AR603" s="29"/>
      <c r="AS603" s="29"/>
      <c r="AT603" s="29"/>
      <c r="AU603" s="29"/>
      <c r="AV603" s="29"/>
      <c r="AW603" s="29"/>
      <c r="AX603" s="29"/>
    </row>
    <row r="604">
      <c r="A604" s="20"/>
      <c r="B604" s="20"/>
      <c r="C604" s="20"/>
      <c r="D604" s="46"/>
      <c r="E604" s="20"/>
      <c r="F604" s="20"/>
      <c r="G604" s="20"/>
      <c r="H604" s="20"/>
      <c r="I604" s="20"/>
      <c r="J604" s="45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9"/>
      <c r="AQ604" s="29"/>
      <c r="AR604" s="29"/>
      <c r="AS604" s="29"/>
      <c r="AT604" s="29"/>
      <c r="AU604" s="29"/>
      <c r="AV604" s="29"/>
      <c r="AW604" s="29"/>
      <c r="AX604" s="29"/>
    </row>
    <row r="605">
      <c r="A605" s="20"/>
      <c r="B605" s="20"/>
      <c r="C605" s="20"/>
      <c r="D605" s="46"/>
      <c r="E605" s="20"/>
      <c r="F605" s="20"/>
      <c r="G605" s="20"/>
      <c r="H605" s="20"/>
      <c r="I605" s="20"/>
      <c r="J605" s="45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9"/>
      <c r="AQ605" s="29"/>
      <c r="AR605" s="29"/>
      <c r="AS605" s="29"/>
      <c r="AT605" s="29"/>
      <c r="AU605" s="29"/>
      <c r="AV605" s="29"/>
      <c r="AW605" s="29"/>
      <c r="AX605" s="29"/>
    </row>
    <row r="606">
      <c r="A606" s="20"/>
      <c r="B606" s="20"/>
      <c r="C606" s="20"/>
      <c r="D606" s="46"/>
      <c r="E606" s="20"/>
      <c r="F606" s="20"/>
      <c r="G606" s="20"/>
      <c r="H606" s="20"/>
      <c r="I606" s="20"/>
      <c r="J606" s="45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9"/>
      <c r="AQ606" s="29"/>
      <c r="AR606" s="29"/>
      <c r="AS606" s="29"/>
      <c r="AT606" s="29"/>
      <c r="AU606" s="29"/>
      <c r="AV606" s="29"/>
      <c r="AW606" s="29"/>
      <c r="AX606" s="29"/>
    </row>
    <row r="607">
      <c r="A607" s="20"/>
      <c r="B607" s="20"/>
      <c r="C607" s="20"/>
      <c r="D607" s="46"/>
      <c r="E607" s="20"/>
      <c r="F607" s="20"/>
      <c r="G607" s="20"/>
      <c r="H607" s="20"/>
      <c r="I607" s="20"/>
      <c r="J607" s="45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9"/>
      <c r="AQ607" s="29"/>
      <c r="AR607" s="29"/>
      <c r="AS607" s="29"/>
      <c r="AT607" s="29"/>
      <c r="AU607" s="29"/>
      <c r="AV607" s="29"/>
      <c r="AW607" s="29"/>
      <c r="AX607" s="29"/>
    </row>
    <row r="608">
      <c r="A608" s="20"/>
      <c r="B608" s="20"/>
      <c r="C608" s="20"/>
      <c r="D608" s="46"/>
      <c r="E608" s="20"/>
      <c r="F608" s="20"/>
      <c r="G608" s="20"/>
      <c r="H608" s="20"/>
      <c r="I608" s="20"/>
      <c r="J608" s="45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9"/>
      <c r="AQ608" s="29"/>
      <c r="AR608" s="29"/>
      <c r="AS608" s="29"/>
      <c r="AT608" s="29"/>
      <c r="AU608" s="29"/>
      <c r="AV608" s="29"/>
      <c r="AW608" s="29"/>
      <c r="AX608" s="29"/>
    </row>
    <row r="609">
      <c r="A609" s="20"/>
      <c r="B609" s="20"/>
      <c r="C609" s="20"/>
      <c r="D609" s="46"/>
      <c r="E609" s="20"/>
      <c r="F609" s="20"/>
      <c r="G609" s="20"/>
      <c r="H609" s="20"/>
      <c r="I609" s="20"/>
      <c r="J609" s="45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9"/>
      <c r="AQ609" s="29"/>
      <c r="AR609" s="29"/>
      <c r="AS609" s="29"/>
      <c r="AT609" s="29"/>
      <c r="AU609" s="29"/>
      <c r="AV609" s="29"/>
      <c r="AW609" s="29"/>
      <c r="AX609" s="29"/>
    </row>
    <row r="610">
      <c r="A610" s="20"/>
      <c r="B610" s="20"/>
      <c r="C610" s="20"/>
      <c r="D610" s="46"/>
      <c r="E610" s="20"/>
      <c r="F610" s="20"/>
      <c r="G610" s="20"/>
      <c r="H610" s="20"/>
      <c r="I610" s="20"/>
      <c r="J610" s="45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9"/>
      <c r="AQ610" s="29"/>
      <c r="AR610" s="29"/>
      <c r="AS610" s="29"/>
      <c r="AT610" s="29"/>
      <c r="AU610" s="29"/>
      <c r="AV610" s="29"/>
      <c r="AW610" s="29"/>
      <c r="AX610" s="29"/>
    </row>
    <row r="611">
      <c r="A611" s="20"/>
      <c r="B611" s="20"/>
      <c r="C611" s="20"/>
      <c r="D611" s="46"/>
      <c r="E611" s="20"/>
      <c r="F611" s="20"/>
      <c r="G611" s="20"/>
      <c r="H611" s="20"/>
      <c r="I611" s="20"/>
      <c r="J611" s="45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9"/>
      <c r="AQ611" s="29"/>
      <c r="AR611" s="29"/>
      <c r="AS611" s="29"/>
      <c r="AT611" s="29"/>
      <c r="AU611" s="29"/>
      <c r="AV611" s="29"/>
      <c r="AW611" s="29"/>
      <c r="AX611" s="29"/>
    </row>
    <row r="612">
      <c r="A612" s="20"/>
      <c r="B612" s="20"/>
      <c r="C612" s="20"/>
      <c r="D612" s="46"/>
      <c r="E612" s="20"/>
      <c r="F612" s="20"/>
      <c r="G612" s="20"/>
      <c r="H612" s="20"/>
      <c r="I612" s="20"/>
      <c r="J612" s="45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9"/>
      <c r="AQ612" s="29"/>
      <c r="AR612" s="29"/>
      <c r="AS612" s="29"/>
      <c r="AT612" s="29"/>
      <c r="AU612" s="29"/>
      <c r="AV612" s="29"/>
      <c r="AW612" s="29"/>
      <c r="AX612" s="29"/>
    </row>
    <row r="613">
      <c r="A613" s="20"/>
      <c r="B613" s="20"/>
      <c r="C613" s="20"/>
      <c r="D613" s="46"/>
      <c r="E613" s="20"/>
      <c r="F613" s="20"/>
      <c r="G613" s="20"/>
      <c r="H613" s="20"/>
      <c r="I613" s="20"/>
      <c r="J613" s="45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9"/>
      <c r="AQ613" s="29"/>
      <c r="AR613" s="29"/>
      <c r="AS613" s="29"/>
      <c r="AT613" s="29"/>
      <c r="AU613" s="29"/>
      <c r="AV613" s="29"/>
      <c r="AW613" s="29"/>
      <c r="AX613" s="29"/>
    </row>
    <row r="614">
      <c r="A614" s="20"/>
      <c r="B614" s="20"/>
      <c r="C614" s="20"/>
      <c r="D614" s="46"/>
      <c r="E614" s="20"/>
      <c r="F614" s="20"/>
      <c r="G614" s="20"/>
      <c r="H614" s="20"/>
      <c r="I614" s="20"/>
      <c r="J614" s="45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9"/>
      <c r="AQ614" s="29"/>
      <c r="AR614" s="29"/>
      <c r="AS614" s="29"/>
      <c r="AT614" s="29"/>
      <c r="AU614" s="29"/>
      <c r="AV614" s="29"/>
      <c r="AW614" s="29"/>
      <c r="AX614" s="29"/>
    </row>
    <row r="615">
      <c r="A615" s="20"/>
      <c r="B615" s="20"/>
      <c r="C615" s="20"/>
      <c r="D615" s="46"/>
      <c r="E615" s="20"/>
      <c r="F615" s="20"/>
      <c r="G615" s="20"/>
      <c r="H615" s="20"/>
      <c r="I615" s="20"/>
      <c r="J615" s="45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9"/>
      <c r="AQ615" s="29"/>
      <c r="AR615" s="29"/>
      <c r="AS615" s="29"/>
      <c r="AT615" s="29"/>
      <c r="AU615" s="29"/>
      <c r="AV615" s="29"/>
      <c r="AW615" s="29"/>
      <c r="AX615" s="29"/>
    </row>
    <row r="616">
      <c r="A616" s="20"/>
      <c r="B616" s="20"/>
      <c r="C616" s="20"/>
      <c r="D616" s="46"/>
      <c r="E616" s="20"/>
      <c r="F616" s="20"/>
      <c r="G616" s="20"/>
      <c r="H616" s="20"/>
      <c r="I616" s="20"/>
      <c r="J616" s="45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9"/>
      <c r="AQ616" s="29"/>
      <c r="AR616" s="29"/>
      <c r="AS616" s="29"/>
      <c r="AT616" s="29"/>
      <c r="AU616" s="29"/>
      <c r="AV616" s="29"/>
      <c r="AW616" s="29"/>
      <c r="AX616" s="29"/>
    </row>
    <row r="617">
      <c r="A617" s="20"/>
      <c r="B617" s="20"/>
      <c r="C617" s="20"/>
      <c r="D617" s="46"/>
      <c r="E617" s="20"/>
      <c r="F617" s="20"/>
      <c r="G617" s="20"/>
      <c r="H617" s="20"/>
      <c r="I617" s="20"/>
      <c r="J617" s="45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9"/>
      <c r="AQ617" s="29"/>
      <c r="AR617" s="29"/>
      <c r="AS617" s="29"/>
      <c r="AT617" s="29"/>
      <c r="AU617" s="29"/>
      <c r="AV617" s="29"/>
      <c r="AW617" s="29"/>
      <c r="AX617" s="29"/>
    </row>
    <row r="618">
      <c r="A618" s="20"/>
      <c r="B618" s="20"/>
      <c r="C618" s="20"/>
      <c r="D618" s="46"/>
      <c r="E618" s="20"/>
      <c r="F618" s="20"/>
      <c r="G618" s="20"/>
      <c r="H618" s="20"/>
      <c r="I618" s="20"/>
      <c r="J618" s="45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9"/>
      <c r="AQ618" s="29"/>
      <c r="AR618" s="29"/>
      <c r="AS618" s="29"/>
      <c r="AT618" s="29"/>
      <c r="AU618" s="29"/>
      <c r="AV618" s="29"/>
      <c r="AW618" s="29"/>
      <c r="AX618" s="29"/>
    </row>
    <row r="619">
      <c r="A619" s="20"/>
      <c r="B619" s="20"/>
      <c r="C619" s="20"/>
      <c r="D619" s="46"/>
      <c r="E619" s="20"/>
      <c r="F619" s="20"/>
      <c r="G619" s="20"/>
      <c r="H619" s="20"/>
      <c r="I619" s="20"/>
      <c r="J619" s="45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9"/>
      <c r="AQ619" s="29"/>
      <c r="AR619" s="29"/>
      <c r="AS619" s="29"/>
      <c r="AT619" s="29"/>
      <c r="AU619" s="29"/>
      <c r="AV619" s="29"/>
      <c r="AW619" s="29"/>
      <c r="AX619" s="29"/>
    </row>
    <row r="620">
      <c r="A620" s="20"/>
      <c r="B620" s="20"/>
      <c r="C620" s="20"/>
      <c r="D620" s="46"/>
      <c r="E620" s="20"/>
      <c r="F620" s="20"/>
      <c r="G620" s="20"/>
      <c r="H620" s="20"/>
      <c r="I620" s="20"/>
      <c r="J620" s="45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9"/>
      <c r="AQ620" s="29"/>
      <c r="AR620" s="29"/>
      <c r="AS620" s="29"/>
      <c r="AT620" s="29"/>
      <c r="AU620" s="29"/>
      <c r="AV620" s="29"/>
      <c r="AW620" s="29"/>
      <c r="AX620" s="29"/>
    </row>
    <row r="621">
      <c r="A621" s="20"/>
      <c r="B621" s="20"/>
      <c r="C621" s="20"/>
      <c r="D621" s="46"/>
      <c r="E621" s="20"/>
      <c r="F621" s="20"/>
      <c r="G621" s="20"/>
      <c r="H621" s="20"/>
      <c r="I621" s="20"/>
      <c r="J621" s="45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9"/>
      <c r="AQ621" s="29"/>
      <c r="AR621" s="29"/>
      <c r="AS621" s="29"/>
      <c r="AT621" s="29"/>
      <c r="AU621" s="29"/>
      <c r="AV621" s="29"/>
      <c r="AW621" s="29"/>
      <c r="AX621" s="29"/>
    </row>
    <row r="622">
      <c r="A622" s="20"/>
      <c r="B622" s="20"/>
      <c r="C622" s="20"/>
      <c r="D622" s="46"/>
      <c r="E622" s="20"/>
      <c r="F622" s="20"/>
      <c r="G622" s="20"/>
      <c r="H622" s="20"/>
      <c r="I622" s="20"/>
      <c r="J622" s="45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9"/>
      <c r="AQ622" s="29"/>
      <c r="AR622" s="29"/>
      <c r="AS622" s="29"/>
      <c r="AT622" s="29"/>
      <c r="AU622" s="29"/>
      <c r="AV622" s="29"/>
      <c r="AW622" s="29"/>
      <c r="AX622" s="29"/>
    </row>
    <row r="623">
      <c r="A623" s="20"/>
      <c r="B623" s="20"/>
      <c r="C623" s="20"/>
      <c r="D623" s="46"/>
      <c r="E623" s="20"/>
      <c r="F623" s="20"/>
      <c r="G623" s="20"/>
      <c r="H623" s="20"/>
      <c r="I623" s="20"/>
      <c r="J623" s="45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9"/>
      <c r="AQ623" s="29"/>
      <c r="AR623" s="29"/>
      <c r="AS623" s="29"/>
      <c r="AT623" s="29"/>
      <c r="AU623" s="29"/>
      <c r="AV623" s="29"/>
      <c r="AW623" s="29"/>
      <c r="AX623" s="29"/>
    </row>
    <row r="624">
      <c r="A624" s="20"/>
      <c r="B624" s="20"/>
      <c r="C624" s="20"/>
      <c r="D624" s="46"/>
      <c r="E624" s="20"/>
      <c r="F624" s="20"/>
      <c r="G624" s="20"/>
      <c r="H624" s="20"/>
      <c r="I624" s="20"/>
      <c r="J624" s="45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9"/>
      <c r="AQ624" s="29"/>
      <c r="AR624" s="29"/>
      <c r="AS624" s="29"/>
      <c r="AT624" s="29"/>
      <c r="AU624" s="29"/>
      <c r="AV624" s="29"/>
      <c r="AW624" s="29"/>
      <c r="AX624" s="29"/>
    </row>
    <row r="625">
      <c r="A625" s="20"/>
      <c r="B625" s="20"/>
      <c r="C625" s="20"/>
      <c r="D625" s="46"/>
      <c r="E625" s="20"/>
      <c r="F625" s="20"/>
      <c r="G625" s="20"/>
      <c r="H625" s="20"/>
      <c r="I625" s="20"/>
      <c r="J625" s="45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9"/>
      <c r="AQ625" s="29"/>
      <c r="AR625" s="29"/>
      <c r="AS625" s="29"/>
      <c r="AT625" s="29"/>
      <c r="AU625" s="29"/>
      <c r="AV625" s="29"/>
      <c r="AW625" s="29"/>
      <c r="AX625" s="29"/>
    </row>
    <row r="626">
      <c r="A626" s="20"/>
      <c r="B626" s="20"/>
      <c r="C626" s="20"/>
      <c r="D626" s="46"/>
      <c r="E626" s="20"/>
      <c r="F626" s="20"/>
      <c r="G626" s="20"/>
      <c r="H626" s="20"/>
      <c r="I626" s="20"/>
      <c r="J626" s="45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9"/>
      <c r="AQ626" s="29"/>
      <c r="AR626" s="29"/>
      <c r="AS626" s="29"/>
      <c r="AT626" s="29"/>
      <c r="AU626" s="29"/>
      <c r="AV626" s="29"/>
      <c r="AW626" s="29"/>
      <c r="AX626" s="29"/>
    </row>
    <row r="627">
      <c r="A627" s="20"/>
      <c r="B627" s="20"/>
      <c r="C627" s="20"/>
      <c r="D627" s="46"/>
      <c r="E627" s="20"/>
      <c r="F627" s="20"/>
      <c r="G627" s="20"/>
      <c r="H627" s="20"/>
      <c r="I627" s="20"/>
      <c r="J627" s="45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9"/>
      <c r="AQ627" s="29"/>
      <c r="AR627" s="29"/>
      <c r="AS627" s="29"/>
      <c r="AT627" s="29"/>
      <c r="AU627" s="29"/>
      <c r="AV627" s="29"/>
      <c r="AW627" s="29"/>
      <c r="AX627" s="29"/>
    </row>
    <row r="628">
      <c r="A628" s="20"/>
      <c r="B628" s="20"/>
      <c r="C628" s="20"/>
      <c r="D628" s="46"/>
      <c r="E628" s="20"/>
      <c r="F628" s="20"/>
      <c r="G628" s="20"/>
      <c r="H628" s="20"/>
      <c r="I628" s="20"/>
      <c r="J628" s="45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9"/>
      <c r="AQ628" s="29"/>
      <c r="AR628" s="29"/>
      <c r="AS628" s="29"/>
      <c r="AT628" s="29"/>
      <c r="AU628" s="29"/>
      <c r="AV628" s="29"/>
      <c r="AW628" s="29"/>
      <c r="AX628" s="29"/>
    </row>
    <row r="629">
      <c r="A629" s="20"/>
      <c r="B629" s="20"/>
      <c r="C629" s="20"/>
      <c r="D629" s="46"/>
      <c r="E629" s="20"/>
      <c r="F629" s="20"/>
      <c r="G629" s="20"/>
      <c r="H629" s="20"/>
      <c r="I629" s="20"/>
      <c r="J629" s="45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9"/>
      <c r="AQ629" s="29"/>
      <c r="AR629" s="29"/>
      <c r="AS629" s="29"/>
      <c r="AT629" s="29"/>
      <c r="AU629" s="29"/>
      <c r="AV629" s="29"/>
      <c r="AW629" s="29"/>
      <c r="AX629" s="29"/>
    </row>
    <row r="630">
      <c r="A630" s="20"/>
      <c r="B630" s="20"/>
      <c r="C630" s="20"/>
      <c r="D630" s="46"/>
      <c r="E630" s="20"/>
      <c r="F630" s="20"/>
      <c r="G630" s="20"/>
      <c r="H630" s="20"/>
      <c r="I630" s="20"/>
      <c r="J630" s="45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9"/>
      <c r="AQ630" s="29"/>
      <c r="AR630" s="29"/>
      <c r="AS630" s="29"/>
      <c r="AT630" s="29"/>
      <c r="AU630" s="29"/>
      <c r="AV630" s="29"/>
      <c r="AW630" s="29"/>
      <c r="AX630" s="29"/>
    </row>
    <row r="631">
      <c r="A631" s="20"/>
      <c r="B631" s="20"/>
      <c r="C631" s="20"/>
      <c r="D631" s="46"/>
      <c r="E631" s="20"/>
      <c r="F631" s="20"/>
      <c r="G631" s="20"/>
      <c r="H631" s="20"/>
      <c r="I631" s="20"/>
      <c r="J631" s="45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9"/>
      <c r="AQ631" s="29"/>
      <c r="AR631" s="29"/>
      <c r="AS631" s="29"/>
      <c r="AT631" s="29"/>
      <c r="AU631" s="29"/>
      <c r="AV631" s="29"/>
      <c r="AW631" s="29"/>
      <c r="AX631" s="29"/>
    </row>
    <row r="632">
      <c r="A632" s="20"/>
      <c r="B632" s="20"/>
      <c r="C632" s="20"/>
      <c r="D632" s="46"/>
      <c r="E632" s="20"/>
      <c r="F632" s="20"/>
      <c r="G632" s="20"/>
      <c r="H632" s="20"/>
      <c r="I632" s="20"/>
      <c r="J632" s="45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9"/>
      <c r="AQ632" s="29"/>
      <c r="AR632" s="29"/>
      <c r="AS632" s="29"/>
      <c r="AT632" s="29"/>
      <c r="AU632" s="29"/>
      <c r="AV632" s="29"/>
      <c r="AW632" s="29"/>
      <c r="AX632" s="29"/>
    </row>
    <row r="633">
      <c r="A633" s="20"/>
      <c r="B633" s="20"/>
      <c r="C633" s="20"/>
      <c r="D633" s="46"/>
      <c r="E633" s="20"/>
      <c r="F633" s="20"/>
      <c r="G633" s="20"/>
      <c r="H633" s="20"/>
      <c r="I633" s="20"/>
      <c r="J633" s="45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9"/>
      <c r="AQ633" s="29"/>
      <c r="AR633" s="29"/>
      <c r="AS633" s="29"/>
      <c r="AT633" s="29"/>
      <c r="AU633" s="29"/>
      <c r="AV633" s="29"/>
      <c r="AW633" s="29"/>
      <c r="AX633" s="29"/>
    </row>
    <row r="634">
      <c r="A634" s="20"/>
      <c r="B634" s="20"/>
      <c r="C634" s="20"/>
      <c r="D634" s="46"/>
      <c r="E634" s="20"/>
      <c r="F634" s="20"/>
      <c r="G634" s="20"/>
      <c r="H634" s="20"/>
      <c r="I634" s="20"/>
      <c r="J634" s="45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9"/>
      <c r="AQ634" s="29"/>
      <c r="AR634" s="29"/>
      <c r="AS634" s="29"/>
      <c r="AT634" s="29"/>
      <c r="AU634" s="29"/>
      <c r="AV634" s="29"/>
      <c r="AW634" s="29"/>
      <c r="AX634" s="29"/>
    </row>
    <row r="635">
      <c r="A635" s="20"/>
      <c r="B635" s="20"/>
      <c r="C635" s="20"/>
      <c r="D635" s="46"/>
      <c r="E635" s="20"/>
      <c r="F635" s="20"/>
      <c r="G635" s="20"/>
      <c r="H635" s="20"/>
      <c r="I635" s="20"/>
      <c r="J635" s="45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9"/>
      <c r="AQ635" s="29"/>
      <c r="AR635" s="29"/>
      <c r="AS635" s="29"/>
      <c r="AT635" s="29"/>
      <c r="AU635" s="29"/>
      <c r="AV635" s="29"/>
      <c r="AW635" s="29"/>
      <c r="AX635" s="29"/>
    </row>
    <row r="636">
      <c r="A636" s="20"/>
      <c r="B636" s="20"/>
      <c r="C636" s="20"/>
      <c r="D636" s="46"/>
      <c r="E636" s="20"/>
      <c r="F636" s="20"/>
      <c r="G636" s="20"/>
      <c r="H636" s="20"/>
      <c r="I636" s="20"/>
      <c r="J636" s="45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9"/>
      <c r="AQ636" s="29"/>
      <c r="AR636" s="29"/>
      <c r="AS636" s="29"/>
      <c r="AT636" s="29"/>
      <c r="AU636" s="29"/>
      <c r="AV636" s="29"/>
      <c r="AW636" s="29"/>
      <c r="AX636" s="29"/>
    </row>
    <row r="637">
      <c r="A637" s="20"/>
      <c r="B637" s="20"/>
      <c r="C637" s="20"/>
      <c r="D637" s="46"/>
      <c r="E637" s="20"/>
      <c r="F637" s="20"/>
      <c r="G637" s="20"/>
      <c r="H637" s="20"/>
      <c r="I637" s="20"/>
      <c r="J637" s="45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9"/>
      <c r="AQ637" s="29"/>
      <c r="AR637" s="29"/>
      <c r="AS637" s="29"/>
      <c r="AT637" s="29"/>
      <c r="AU637" s="29"/>
      <c r="AV637" s="29"/>
      <c r="AW637" s="29"/>
      <c r="AX637" s="29"/>
    </row>
    <row r="638">
      <c r="A638" s="20"/>
      <c r="B638" s="20"/>
      <c r="C638" s="20"/>
      <c r="D638" s="46"/>
      <c r="E638" s="20"/>
      <c r="F638" s="20"/>
      <c r="G638" s="20"/>
      <c r="H638" s="20"/>
      <c r="I638" s="20"/>
      <c r="J638" s="45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9"/>
      <c r="AQ638" s="29"/>
      <c r="AR638" s="29"/>
      <c r="AS638" s="29"/>
      <c r="AT638" s="29"/>
      <c r="AU638" s="29"/>
      <c r="AV638" s="29"/>
      <c r="AW638" s="29"/>
      <c r="AX638" s="29"/>
    </row>
    <row r="639">
      <c r="A639" s="20"/>
      <c r="B639" s="20"/>
      <c r="C639" s="20"/>
      <c r="D639" s="46"/>
      <c r="E639" s="20"/>
      <c r="F639" s="20"/>
      <c r="G639" s="20"/>
      <c r="H639" s="20"/>
      <c r="I639" s="20"/>
      <c r="J639" s="45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9"/>
      <c r="AQ639" s="29"/>
      <c r="AR639" s="29"/>
      <c r="AS639" s="29"/>
      <c r="AT639" s="29"/>
      <c r="AU639" s="29"/>
      <c r="AV639" s="29"/>
      <c r="AW639" s="29"/>
      <c r="AX639" s="29"/>
    </row>
    <row r="640">
      <c r="A640" s="20"/>
      <c r="B640" s="20"/>
      <c r="C640" s="20"/>
      <c r="D640" s="46"/>
      <c r="E640" s="20"/>
      <c r="F640" s="20"/>
      <c r="G640" s="20"/>
      <c r="H640" s="20"/>
      <c r="I640" s="20"/>
      <c r="J640" s="45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9"/>
      <c r="AQ640" s="29"/>
      <c r="AR640" s="29"/>
      <c r="AS640" s="29"/>
      <c r="AT640" s="29"/>
      <c r="AU640" s="29"/>
      <c r="AV640" s="29"/>
      <c r="AW640" s="29"/>
      <c r="AX640" s="29"/>
    </row>
    <row r="641">
      <c r="A641" s="20"/>
      <c r="B641" s="20"/>
      <c r="C641" s="20"/>
      <c r="D641" s="46"/>
      <c r="E641" s="20"/>
      <c r="F641" s="20"/>
      <c r="G641" s="20"/>
      <c r="H641" s="20"/>
      <c r="I641" s="20"/>
      <c r="J641" s="45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9"/>
      <c r="AQ641" s="29"/>
      <c r="AR641" s="29"/>
      <c r="AS641" s="29"/>
      <c r="AT641" s="29"/>
      <c r="AU641" s="29"/>
      <c r="AV641" s="29"/>
      <c r="AW641" s="29"/>
      <c r="AX641" s="29"/>
    </row>
    <row r="642">
      <c r="A642" s="20"/>
      <c r="B642" s="20"/>
      <c r="C642" s="20"/>
      <c r="D642" s="46"/>
      <c r="E642" s="20"/>
      <c r="F642" s="20"/>
      <c r="G642" s="20"/>
      <c r="H642" s="20"/>
      <c r="I642" s="20"/>
      <c r="J642" s="45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9"/>
      <c r="AQ642" s="29"/>
      <c r="AR642" s="29"/>
      <c r="AS642" s="29"/>
      <c r="AT642" s="29"/>
      <c r="AU642" s="29"/>
      <c r="AV642" s="29"/>
      <c r="AW642" s="29"/>
      <c r="AX642" s="29"/>
    </row>
    <row r="643">
      <c r="A643" s="20"/>
      <c r="B643" s="20"/>
      <c r="C643" s="20"/>
      <c r="D643" s="46"/>
      <c r="E643" s="20"/>
      <c r="F643" s="20"/>
      <c r="G643" s="20"/>
      <c r="H643" s="20"/>
      <c r="I643" s="20"/>
      <c r="J643" s="45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9"/>
      <c r="AQ643" s="29"/>
      <c r="AR643" s="29"/>
      <c r="AS643" s="29"/>
      <c r="AT643" s="29"/>
      <c r="AU643" s="29"/>
      <c r="AV643" s="29"/>
      <c r="AW643" s="29"/>
      <c r="AX643" s="29"/>
    </row>
    <row r="644">
      <c r="A644" s="20"/>
      <c r="B644" s="20"/>
      <c r="C644" s="20"/>
      <c r="D644" s="46"/>
      <c r="E644" s="20"/>
      <c r="F644" s="20"/>
      <c r="G644" s="20"/>
      <c r="H644" s="20"/>
      <c r="I644" s="20"/>
      <c r="J644" s="45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9"/>
      <c r="AQ644" s="29"/>
      <c r="AR644" s="29"/>
      <c r="AS644" s="29"/>
      <c r="AT644" s="29"/>
      <c r="AU644" s="29"/>
      <c r="AV644" s="29"/>
      <c r="AW644" s="29"/>
      <c r="AX644" s="29"/>
    </row>
    <row r="645">
      <c r="A645" s="20"/>
      <c r="B645" s="20"/>
      <c r="C645" s="20"/>
      <c r="D645" s="46"/>
      <c r="E645" s="20"/>
      <c r="F645" s="20"/>
      <c r="G645" s="20"/>
      <c r="H645" s="20"/>
      <c r="I645" s="20"/>
      <c r="J645" s="45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9"/>
      <c r="AQ645" s="29"/>
      <c r="AR645" s="29"/>
      <c r="AS645" s="29"/>
      <c r="AT645" s="29"/>
      <c r="AU645" s="29"/>
      <c r="AV645" s="29"/>
      <c r="AW645" s="29"/>
      <c r="AX645" s="29"/>
    </row>
    <row r="646">
      <c r="A646" s="20"/>
      <c r="B646" s="20"/>
      <c r="C646" s="20"/>
      <c r="D646" s="46"/>
      <c r="E646" s="20"/>
      <c r="F646" s="20"/>
      <c r="G646" s="20"/>
      <c r="H646" s="20"/>
      <c r="I646" s="20"/>
      <c r="J646" s="45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9"/>
      <c r="AQ646" s="29"/>
      <c r="AR646" s="29"/>
      <c r="AS646" s="29"/>
      <c r="AT646" s="29"/>
      <c r="AU646" s="29"/>
      <c r="AV646" s="29"/>
      <c r="AW646" s="29"/>
      <c r="AX646" s="29"/>
    </row>
    <row r="647">
      <c r="A647" s="20"/>
      <c r="B647" s="20"/>
      <c r="C647" s="20"/>
      <c r="D647" s="46"/>
      <c r="E647" s="20"/>
      <c r="F647" s="20"/>
      <c r="G647" s="20"/>
      <c r="H647" s="20"/>
      <c r="I647" s="20"/>
      <c r="J647" s="45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9"/>
      <c r="AQ647" s="29"/>
      <c r="AR647" s="29"/>
      <c r="AS647" s="29"/>
      <c r="AT647" s="29"/>
      <c r="AU647" s="29"/>
      <c r="AV647" s="29"/>
      <c r="AW647" s="29"/>
      <c r="AX647" s="29"/>
    </row>
    <row r="648">
      <c r="A648" s="20"/>
      <c r="B648" s="20"/>
      <c r="C648" s="20"/>
      <c r="D648" s="46"/>
      <c r="E648" s="20"/>
      <c r="F648" s="20"/>
      <c r="G648" s="20"/>
      <c r="H648" s="20"/>
      <c r="I648" s="20"/>
      <c r="J648" s="45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9"/>
      <c r="AQ648" s="29"/>
      <c r="AR648" s="29"/>
      <c r="AS648" s="29"/>
      <c r="AT648" s="29"/>
      <c r="AU648" s="29"/>
      <c r="AV648" s="29"/>
      <c r="AW648" s="29"/>
      <c r="AX648" s="29"/>
    </row>
    <row r="649">
      <c r="A649" s="20"/>
      <c r="B649" s="20"/>
      <c r="C649" s="20"/>
      <c r="D649" s="46"/>
      <c r="E649" s="20"/>
      <c r="F649" s="20"/>
      <c r="G649" s="20"/>
      <c r="H649" s="20"/>
      <c r="I649" s="20"/>
      <c r="J649" s="45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9"/>
      <c r="AQ649" s="29"/>
      <c r="AR649" s="29"/>
      <c r="AS649" s="29"/>
      <c r="AT649" s="29"/>
      <c r="AU649" s="29"/>
      <c r="AV649" s="29"/>
      <c r="AW649" s="29"/>
      <c r="AX649" s="29"/>
    </row>
    <row r="650">
      <c r="A650" s="20"/>
      <c r="B650" s="20"/>
      <c r="C650" s="20"/>
      <c r="D650" s="46"/>
      <c r="E650" s="20"/>
      <c r="F650" s="20"/>
      <c r="G650" s="20"/>
      <c r="H650" s="20"/>
      <c r="I650" s="20"/>
      <c r="J650" s="45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9"/>
      <c r="AQ650" s="29"/>
      <c r="AR650" s="29"/>
      <c r="AS650" s="29"/>
      <c r="AT650" s="29"/>
      <c r="AU650" s="29"/>
      <c r="AV650" s="29"/>
      <c r="AW650" s="29"/>
      <c r="AX650" s="29"/>
    </row>
    <row r="651">
      <c r="A651" s="20"/>
      <c r="B651" s="20"/>
      <c r="C651" s="20"/>
      <c r="D651" s="46"/>
      <c r="E651" s="20"/>
      <c r="F651" s="20"/>
      <c r="G651" s="20"/>
      <c r="H651" s="20"/>
      <c r="I651" s="20"/>
      <c r="J651" s="45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9"/>
      <c r="AQ651" s="29"/>
      <c r="AR651" s="29"/>
      <c r="AS651" s="29"/>
      <c r="AT651" s="29"/>
      <c r="AU651" s="29"/>
      <c r="AV651" s="29"/>
      <c r="AW651" s="29"/>
      <c r="AX651" s="29"/>
    </row>
    <row r="652">
      <c r="A652" s="20"/>
      <c r="B652" s="20"/>
      <c r="C652" s="20"/>
      <c r="D652" s="46"/>
      <c r="E652" s="20"/>
      <c r="F652" s="20"/>
      <c r="G652" s="20"/>
      <c r="H652" s="20"/>
      <c r="I652" s="20"/>
      <c r="J652" s="45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9"/>
      <c r="AQ652" s="29"/>
      <c r="AR652" s="29"/>
      <c r="AS652" s="29"/>
      <c r="AT652" s="29"/>
      <c r="AU652" s="29"/>
      <c r="AV652" s="29"/>
      <c r="AW652" s="29"/>
      <c r="AX652" s="29"/>
    </row>
    <row r="653">
      <c r="A653" s="20"/>
      <c r="B653" s="20"/>
      <c r="C653" s="20"/>
      <c r="D653" s="46"/>
      <c r="E653" s="20"/>
      <c r="F653" s="20"/>
      <c r="G653" s="20"/>
      <c r="H653" s="20"/>
      <c r="I653" s="20"/>
      <c r="J653" s="45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9"/>
      <c r="AQ653" s="29"/>
      <c r="AR653" s="29"/>
      <c r="AS653" s="29"/>
      <c r="AT653" s="29"/>
      <c r="AU653" s="29"/>
      <c r="AV653" s="29"/>
      <c r="AW653" s="29"/>
      <c r="AX653" s="29"/>
    </row>
    <row r="654">
      <c r="A654" s="20"/>
      <c r="B654" s="20"/>
      <c r="C654" s="20"/>
      <c r="D654" s="46"/>
      <c r="E654" s="20"/>
      <c r="F654" s="20"/>
      <c r="G654" s="20"/>
      <c r="H654" s="20"/>
      <c r="I654" s="20"/>
      <c r="J654" s="45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9"/>
      <c r="AQ654" s="29"/>
      <c r="AR654" s="29"/>
      <c r="AS654" s="29"/>
      <c r="AT654" s="29"/>
      <c r="AU654" s="29"/>
      <c r="AV654" s="29"/>
      <c r="AW654" s="29"/>
      <c r="AX654" s="29"/>
    </row>
    <row r="655">
      <c r="A655" s="20"/>
      <c r="B655" s="20"/>
      <c r="C655" s="20"/>
      <c r="D655" s="46"/>
      <c r="E655" s="20"/>
      <c r="F655" s="20"/>
      <c r="G655" s="20"/>
      <c r="H655" s="20"/>
      <c r="I655" s="20"/>
      <c r="J655" s="45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9"/>
      <c r="AQ655" s="29"/>
      <c r="AR655" s="29"/>
      <c r="AS655" s="29"/>
      <c r="AT655" s="29"/>
      <c r="AU655" s="29"/>
      <c r="AV655" s="29"/>
      <c r="AW655" s="29"/>
      <c r="AX655" s="29"/>
    </row>
    <row r="656">
      <c r="A656" s="20"/>
      <c r="B656" s="20"/>
      <c r="C656" s="20"/>
      <c r="D656" s="46"/>
      <c r="E656" s="20"/>
      <c r="F656" s="20"/>
      <c r="G656" s="20"/>
      <c r="H656" s="20"/>
      <c r="I656" s="20"/>
      <c r="J656" s="45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9"/>
      <c r="AQ656" s="29"/>
      <c r="AR656" s="29"/>
      <c r="AS656" s="29"/>
      <c r="AT656" s="29"/>
      <c r="AU656" s="29"/>
      <c r="AV656" s="29"/>
      <c r="AW656" s="29"/>
      <c r="AX656" s="29"/>
    </row>
    <row r="657">
      <c r="A657" s="20"/>
      <c r="B657" s="20"/>
      <c r="C657" s="20"/>
      <c r="D657" s="46"/>
      <c r="E657" s="20"/>
      <c r="F657" s="20"/>
      <c r="G657" s="20"/>
      <c r="H657" s="20"/>
      <c r="I657" s="20"/>
      <c r="J657" s="45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9"/>
      <c r="AQ657" s="29"/>
      <c r="AR657" s="29"/>
      <c r="AS657" s="29"/>
      <c r="AT657" s="29"/>
      <c r="AU657" s="29"/>
      <c r="AV657" s="29"/>
      <c r="AW657" s="29"/>
      <c r="AX657" s="29"/>
    </row>
    <row r="658">
      <c r="A658" s="20"/>
      <c r="B658" s="20"/>
      <c r="C658" s="20"/>
      <c r="D658" s="46"/>
      <c r="E658" s="20"/>
      <c r="F658" s="20"/>
      <c r="G658" s="20"/>
      <c r="H658" s="20"/>
      <c r="I658" s="20"/>
      <c r="J658" s="45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9"/>
      <c r="AQ658" s="29"/>
      <c r="AR658" s="29"/>
      <c r="AS658" s="29"/>
      <c r="AT658" s="29"/>
      <c r="AU658" s="29"/>
      <c r="AV658" s="29"/>
      <c r="AW658" s="29"/>
      <c r="AX658" s="29"/>
    </row>
    <row r="659">
      <c r="A659" s="20"/>
      <c r="B659" s="20"/>
      <c r="C659" s="20"/>
      <c r="D659" s="46"/>
      <c r="E659" s="20"/>
      <c r="F659" s="20"/>
      <c r="G659" s="20"/>
      <c r="H659" s="20"/>
      <c r="I659" s="20"/>
      <c r="J659" s="45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9"/>
      <c r="AQ659" s="29"/>
      <c r="AR659" s="29"/>
      <c r="AS659" s="29"/>
      <c r="AT659" s="29"/>
      <c r="AU659" s="29"/>
      <c r="AV659" s="29"/>
      <c r="AW659" s="29"/>
      <c r="AX659" s="29"/>
    </row>
    <row r="660">
      <c r="A660" s="20"/>
      <c r="B660" s="20"/>
      <c r="C660" s="20"/>
      <c r="D660" s="46"/>
      <c r="E660" s="20"/>
      <c r="F660" s="20"/>
      <c r="G660" s="20"/>
      <c r="H660" s="20"/>
      <c r="I660" s="20"/>
      <c r="J660" s="45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9"/>
      <c r="AQ660" s="29"/>
      <c r="AR660" s="29"/>
      <c r="AS660" s="29"/>
      <c r="AT660" s="29"/>
      <c r="AU660" s="29"/>
      <c r="AV660" s="29"/>
      <c r="AW660" s="29"/>
      <c r="AX660" s="29"/>
    </row>
    <row r="661">
      <c r="A661" s="20"/>
      <c r="B661" s="20"/>
      <c r="C661" s="20"/>
      <c r="D661" s="46"/>
      <c r="E661" s="20"/>
      <c r="F661" s="20"/>
      <c r="G661" s="20"/>
      <c r="H661" s="20"/>
      <c r="I661" s="20"/>
      <c r="J661" s="45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9"/>
      <c r="AQ661" s="29"/>
      <c r="AR661" s="29"/>
      <c r="AS661" s="29"/>
      <c r="AT661" s="29"/>
      <c r="AU661" s="29"/>
      <c r="AV661" s="29"/>
      <c r="AW661" s="29"/>
      <c r="AX661" s="29"/>
    </row>
    <row r="662">
      <c r="A662" s="20"/>
      <c r="B662" s="20"/>
      <c r="C662" s="20"/>
      <c r="D662" s="46"/>
      <c r="E662" s="20"/>
      <c r="F662" s="20"/>
      <c r="G662" s="20"/>
      <c r="H662" s="20"/>
      <c r="I662" s="20"/>
      <c r="J662" s="45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9"/>
      <c r="AQ662" s="29"/>
      <c r="AR662" s="29"/>
      <c r="AS662" s="29"/>
      <c r="AT662" s="29"/>
      <c r="AU662" s="29"/>
      <c r="AV662" s="29"/>
      <c r="AW662" s="29"/>
      <c r="AX662" s="29"/>
    </row>
    <row r="663">
      <c r="A663" s="20"/>
      <c r="B663" s="20"/>
      <c r="C663" s="20"/>
      <c r="D663" s="46"/>
      <c r="E663" s="20"/>
      <c r="F663" s="20"/>
      <c r="G663" s="20"/>
      <c r="H663" s="20"/>
      <c r="I663" s="20"/>
      <c r="J663" s="45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9"/>
      <c r="AQ663" s="29"/>
      <c r="AR663" s="29"/>
      <c r="AS663" s="29"/>
      <c r="AT663" s="29"/>
      <c r="AU663" s="29"/>
      <c r="AV663" s="29"/>
      <c r="AW663" s="29"/>
      <c r="AX663" s="29"/>
    </row>
    <row r="664">
      <c r="A664" s="20"/>
      <c r="B664" s="20"/>
      <c r="C664" s="20"/>
      <c r="D664" s="46"/>
      <c r="E664" s="20"/>
      <c r="F664" s="20"/>
      <c r="G664" s="20"/>
      <c r="H664" s="20"/>
      <c r="I664" s="20"/>
      <c r="J664" s="45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9"/>
      <c r="AQ664" s="29"/>
      <c r="AR664" s="29"/>
      <c r="AS664" s="29"/>
      <c r="AT664" s="29"/>
      <c r="AU664" s="29"/>
      <c r="AV664" s="29"/>
      <c r="AW664" s="29"/>
      <c r="AX664" s="29"/>
    </row>
    <row r="665">
      <c r="A665" s="20"/>
      <c r="B665" s="20"/>
      <c r="C665" s="20"/>
      <c r="D665" s="46"/>
      <c r="E665" s="20"/>
      <c r="F665" s="20"/>
      <c r="G665" s="20"/>
      <c r="H665" s="20"/>
      <c r="I665" s="20"/>
      <c r="J665" s="45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9"/>
      <c r="AQ665" s="29"/>
      <c r="AR665" s="29"/>
      <c r="AS665" s="29"/>
      <c r="AT665" s="29"/>
      <c r="AU665" s="29"/>
      <c r="AV665" s="29"/>
      <c r="AW665" s="29"/>
      <c r="AX665" s="29"/>
    </row>
    <row r="666">
      <c r="A666" s="20"/>
      <c r="B666" s="20"/>
      <c r="C666" s="20"/>
      <c r="D666" s="46"/>
      <c r="E666" s="20"/>
      <c r="F666" s="20"/>
      <c r="G666" s="20"/>
      <c r="H666" s="20"/>
      <c r="I666" s="20"/>
      <c r="J666" s="45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9"/>
      <c r="AQ666" s="29"/>
      <c r="AR666" s="29"/>
      <c r="AS666" s="29"/>
      <c r="AT666" s="29"/>
      <c r="AU666" s="29"/>
      <c r="AV666" s="29"/>
      <c r="AW666" s="29"/>
      <c r="AX666" s="29"/>
    </row>
    <row r="667">
      <c r="A667" s="20"/>
      <c r="B667" s="20"/>
      <c r="C667" s="20"/>
      <c r="D667" s="46"/>
      <c r="E667" s="20"/>
      <c r="F667" s="20"/>
      <c r="G667" s="20"/>
      <c r="H667" s="20"/>
      <c r="I667" s="20"/>
      <c r="J667" s="45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9"/>
      <c r="AQ667" s="29"/>
      <c r="AR667" s="29"/>
      <c r="AS667" s="29"/>
      <c r="AT667" s="29"/>
      <c r="AU667" s="29"/>
      <c r="AV667" s="29"/>
      <c r="AW667" s="29"/>
      <c r="AX667" s="29"/>
    </row>
    <row r="668">
      <c r="A668" s="20"/>
      <c r="B668" s="20"/>
      <c r="C668" s="20"/>
      <c r="D668" s="46"/>
      <c r="E668" s="20"/>
      <c r="F668" s="20"/>
      <c r="G668" s="20"/>
      <c r="H668" s="20"/>
      <c r="I668" s="20"/>
      <c r="J668" s="45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9"/>
      <c r="AQ668" s="29"/>
      <c r="AR668" s="29"/>
      <c r="AS668" s="29"/>
      <c r="AT668" s="29"/>
      <c r="AU668" s="29"/>
      <c r="AV668" s="29"/>
      <c r="AW668" s="29"/>
      <c r="AX668" s="29"/>
    </row>
    <row r="669">
      <c r="A669" s="20"/>
      <c r="B669" s="20"/>
      <c r="C669" s="20"/>
      <c r="D669" s="46"/>
      <c r="E669" s="20"/>
      <c r="F669" s="20"/>
      <c r="G669" s="20"/>
      <c r="H669" s="20"/>
      <c r="I669" s="20"/>
      <c r="J669" s="45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9"/>
      <c r="AQ669" s="29"/>
      <c r="AR669" s="29"/>
      <c r="AS669" s="29"/>
      <c r="AT669" s="29"/>
      <c r="AU669" s="29"/>
      <c r="AV669" s="29"/>
      <c r="AW669" s="29"/>
      <c r="AX669" s="29"/>
    </row>
    <row r="670">
      <c r="A670" s="20"/>
      <c r="B670" s="20"/>
      <c r="C670" s="20"/>
      <c r="D670" s="46"/>
      <c r="E670" s="20"/>
      <c r="F670" s="20"/>
      <c r="G670" s="20"/>
      <c r="H670" s="20"/>
      <c r="I670" s="20"/>
      <c r="J670" s="45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9"/>
      <c r="AQ670" s="29"/>
      <c r="AR670" s="29"/>
      <c r="AS670" s="29"/>
      <c r="AT670" s="29"/>
      <c r="AU670" s="29"/>
      <c r="AV670" s="29"/>
      <c r="AW670" s="29"/>
      <c r="AX670" s="29"/>
    </row>
    <row r="671">
      <c r="A671" s="20"/>
      <c r="B671" s="20"/>
      <c r="C671" s="20"/>
      <c r="D671" s="46"/>
      <c r="E671" s="20"/>
      <c r="F671" s="20"/>
      <c r="G671" s="20"/>
      <c r="H671" s="20"/>
      <c r="I671" s="20"/>
      <c r="J671" s="45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9"/>
      <c r="AQ671" s="29"/>
      <c r="AR671" s="29"/>
      <c r="AS671" s="29"/>
      <c r="AT671" s="29"/>
      <c r="AU671" s="29"/>
      <c r="AV671" s="29"/>
      <c r="AW671" s="29"/>
      <c r="AX671" s="29"/>
    </row>
    <row r="672">
      <c r="A672" s="20"/>
      <c r="B672" s="20"/>
      <c r="C672" s="20"/>
      <c r="D672" s="46"/>
      <c r="E672" s="20"/>
      <c r="F672" s="20"/>
      <c r="G672" s="20"/>
      <c r="H672" s="20"/>
      <c r="I672" s="20"/>
      <c r="J672" s="45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9"/>
      <c r="AQ672" s="29"/>
      <c r="AR672" s="29"/>
      <c r="AS672" s="29"/>
      <c r="AT672" s="29"/>
      <c r="AU672" s="29"/>
      <c r="AV672" s="29"/>
      <c r="AW672" s="29"/>
      <c r="AX672" s="29"/>
    </row>
    <row r="673">
      <c r="A673" s="20"/>
      <c r="B673" s="20"/>
      <c r="C673" s="20"/>
      <c r="D673" s="46"/>
      <c r="E673" s="20"/>
      <c r="F673" s="20"/>
      <c r="G673" s="20"/>
      <c r="H673" s="20"/>
      <c r="I673" s="20"/>
      <c r="J673" s="45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9"/>
      <c r="AQ673" s="29"/>
      <c r="AR673" s="29"/>
      <c r="AS673" s="29"/>
      <c r="AT673" s="29"/>
      <c r="AU673" s="29"/>
      <c r="AV673" s="29"/>
      <c r="AW673" s="29"/>
      <c r="AX673" s="29"/>
    </row>
    <row r="674">
      <c r="A674" s="20"/>
      <c r="B674" s="20"/>
      <c r="C674" s="20"/>
      <c r="D674" s="46"/>
      <c r="E674" s="20"/>
      <c r="F674" s="20"/>
      <c r="G674" s="20"/>
      <c r="H674" s="20"/>
      <c r="I674" s="20"/>
      <c r="J674" s="45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9"/>
      <c r="AQ674" s="29"/>
      <c r="AR674" s="29"/>
      <c r="AS674" s="29"/>
      <c r="AT674" s="29"/>
      <c r="AU674" s="29"/>
      <c r="AV674" s="29"/>
      <c r="AW674" s="29"/>
      <c r="AX674" s="29"/>
    </row>
    <row r="675">
      <c r="A675" s="20"/>
      <c r="B675" s="20"/>
      <c r="C675" s="20"/>
      <c r="D675" s="46"/>
      <c r="E675" s="20"/>
      <c r="F675" s="20"/>
      <c r="G675" s="20"/>
      <c r="H675" s="20"/>
      <c r="I675" s="20"/>
      <c r="J675" s="45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9"/>
      <c r="AQ675" s="29"/>
      <c r="AR675" s="29"/>
      <c r="AS675" s="29"/>
      <c r="AT675" s="29"/>
      <c r="AU675" s="29"/>
      <c r="AV675" s="29"/>
      <c r="AW675" s="29"/>
      <c r="AX675" s="29"/>
    </row>
    <row r="676">
      <c r="A676" s="20"/>
      <c r="B676" s="20"/>
      <c r="C676" s="20"/>
      <c r="D676" s="46"/>
      <c r="E676" s="20"/>
      <c r="F676" s="20"/>
      <c r="G676" s="20"/>
      <c r="H676" s="20"/>
      <c r="I676" s="20"/>
      <c r="J676" s="45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9"/>
      <c r="AQ676" s="29"/>
      <c r="AR676" s="29"/>
      <c r="AS676" s="29"/>
      <c r="AT676" s="29"/>
      <c r="AU676" s="29"/>
      <c r="AV676" s="29"/>
      <c r="AW676" s="29"/>
      <c r="AX676" s="29"/>
    </row>
    <row r="677">
      <c r="A677" s="20"/>
      <c r="B677" s="20"/>
      <c r="C677" s="20"/>
      <c r="D677" s="46"/>
      <c r="E677" s="20"/>
      <c r="F677" s="20"/>
      <c r="G677" s="20"/>
      <c r="H677" s="20"/>
      <c r="I677" s="20"/>
      <c r="J677" s="45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9"/>
      <c r="AQ677" s="29"/>
      <c r="AR677" s="29"/>
      <c r="AS677" s="29"/>
      <c r="AT677" s="29"/>
      <c r="AU677" s="29"/>
      <c r="AV677" s="29"/>
      <c r="AW677" s="29"/>
      <c r="AX677" s="29"/>
    </row>
    <row r="678">
      <c r="A678" s="20"/>
      <c r="B678" s="20"/>
      <c r="C678" s="20"/>
      <c r="D678" s="46"/>
      <c r="E678" s="20"/>
      <c r="F678" s="20"/>
      <c r="G678" s="20"/>
      <c r="H678" s="20"/>
      <c r="I678" s="20"/>
      <c r="J678" s="45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9"/>
      <c r="AQ678" s="29"/>
      <c r="AR678" s="29"/>
      <c r="AS678" s="29"/>
      <c r="AT678" s="29"/>
      <c r="AU678" s="29"/>
      <c r="AV678" s="29"/>
      <c r="AW678" s="29"/>
      <c r="AX678" s="29"/>
    </row>
    <row r="679">
      <c r="A679" s="20"/>
      <c r="B679" s="20"/>
      <c r="C679" s="20"/>
      <c r="D679" s="46"/>
      <c r="E679" s="20"/>
      <c r="F679" s="20"/>
      <c r="G679" s="20"/>
      <c r="H679" s="20"/>
      <c r="I679" s="20"/>
      <c r="J679" s="45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9"/>
      <c r="AQ679" s="29"/>
      <c r="AR679" s="29"/>
      <c r="AS679" s="29"/>
      <c r="AT679" s="29"/>
      <c r="AU679" s="29"/>
      <c r="AV679" s="29"/>
      <c r="AW679" s="29"/>
      <c r="AX679" s="29"/>
    </row>
    <row r="680">
      <c r="A680" s="20"/>
      <c r="B680" s="20"/>
      <c r="C680" s="20"/>
      <c r="D680" s="46"/>
      <c r="E680" s="20"/>
      <c r="F680" s="20"/>
      <c r="G680" s="20"/>
      <c r="H680" s="20"/>
      <c r="I680" s="20"/>
      <c r="J680" s="45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9"/>
      <c r="AQ680" s="29"/>
      <c r="AR680" s="29"/>
      <c r="AS680" s="29"/>
      <c r="AT680" s="29"/>
      <c r="AU680" s="29"/>
      <c r="AV680" s="29"/>
      <c r="AW680" s="29"/>
      <c r="AX680" s="29"/>
    </row>
    <row r="681">
      <c r="A681" s="20"/>
      <c r="B681" s="20"/>
      <c r="C681" s="20"/>
      <c r="D681" s="46"/>
      <c r="E681" s="20"/>
      <c r="F681" s="20"/>
      <c r="G681" s="20"/>
      <c r="H681" s="20"/>
      <c r="I681" s="20"/>
      <c r="J681" s="45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9"/>
      <c r="AQ681" s="29"/>
      <c r="AR681" s="29"/>
      <c r="AS681" s="29"/>
      <c r="AT681" s="29"/>
      <c r="AU681" s="29"/>
      <c r="AV681" s="29"/>
      <c r="AW681" s="29"/>
      <c r="AX681" s="29"/>
    </row>
    <row r="682">
      <c r="A682" s="20"/>
      <c r="B682" s="20"/>
      <c r="C682" s="20"/>
      <c r="D682" s="46"/>
      <c r="E682" s="20"/>
      <c r="F682" s="20"/>
      <c r="G682" s="20"/>
      <c r="H682" s="20"/>
      <c r="I682" s="20"/>
      <c r="J682" s="45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9"/>
      <c r="AQ682" s="29"/>
      <c r="AR682" s="29"/>
      <c r="AS682" s="29"/>
      <c r="AT682" s="29"/>
      <c r="AU682" s="29"/>
      <c r="AV682" s="29"/>
      <c r="AW682" s="29"/>
      <c r="AX682" s="29"/>
    </row>
    <row r="683">
      <c r="A683" s="20"/>
      <c r="B683" s="20"/>
      <c r="C683" s="20"/>
      <c r="D683" s="46"/>
      <c r="E683" s="20"/>
      <c r="F683" s="20"/>
      <c r="G683" s="20"/>
      <c r="H683" s="20"/>
      <c r="I683" s="20"/>
      <c r="J683" s="45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9"/>
      <c r="AQ683" s="29"/>
      <c r="AR683" s="29"/>
      <c r="AS683" s="29"/>
      <c r="AT683" s="29"/>
      <c r="AU683" s="29"/>
      <c r="AV683" s="29"/>
      <c r="AW683" s="29"/>
      <c r="AX683" s="29"/>
    </row>
    <row r="684">
      <c r="A684" s="20"/>
      <c r="B684" s="20"/>
      <c r="C684" s="20"/>
      <c r="D684" s="46"/>
      <c r="E684" s="20"/>
      <c r="F684" s="20"/>
      <c r="G684" s="20"/>
      <c r="H684" s="20"/>
      <c r="I684" s="20"/>
      <c r="J684" s="45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9"/>
      <c r="AQ684" s="29"/>
      <c r="AR684" s="29"/>
      <c r="AS684" s="29"/>
      <c r="AT684" s="29"/>
      <c r="AU684" s="29"/>
      <c r="AV684" s="29"/>
      <c r="AW684" s="29"/>
      <c r="AX684" s="29"/>
    </row>
    <row r="685">
      <c r="A685" s="20"/>
      <c r="B685" s="20"/>
      <c r="C685" s="20"/>
      <c r="D685" s="46"/>
      <c r="E685" s="20"/>
      <c r="F685" s="20"/>
      <c r="G685" s="20"/>
      <c r="H685" s="20"/>
      <c r="I685" s="20"/>
      <c r="J685" s="45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9"/>
      <c r="AQ685" s="29"/>
      <c r="AR685" s="29"/>
      <c r="AS685" s="29"/>
      <c r="AT685" s="29"/>
      <c r="AU685" s="29"/>
      <c r="AV685" s="29"/>
      <c r="AW685" s="29"/>
      <c r="AX685" s="29"/>
    </row>
    <row r="686">
      <c r="A686" s="20"/>
      <c r="B686" s="20"/>
      <c r="C686" s="20"/>
      <c r="D686" s="46"/>
      <c r="E686" s="20"/>
      <c r="F686" s="20"/>
      <c r="G686" s="20"/>
      <c r="H686" s="20"/>
      <c r="I686" s="20"/>
      <c r="J686" s="45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9"/>
      <c r="AQ686" s="29"/>
      <c r="AR686" s="29"/>
      <c r="AS686" s="29"/>
      <c r="AT686" s="29"/>
      <c r="AU686" s="29"/>
      <c r="AV686" s="29"/>
      <c r="AW686" s="29"/>
      <c r="AX686" s="29"/>
    </row>
    <row r="687">
      <c r="A687" s="20"/>
      <c r="B687" s="20"/>
      <c r="C687" s="20"/>
      <c r="D687" s="46"/>
      <c r="E687" s="20"/>
      <c r="F687" s="20"/>
      <c r="G687" s="20"/>
      <c r="H687" s="20"/>
      <c r="I687" s="20"/>
      <c r="J687" s="45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9"/>
      <c r="AQ687" s="29"/>
      <c r="AR687" s="29"/>
      <c r="AS687" s="29"/>
      <c r="AT687" s="29"/>
      <c r="AU687" s="29"/>
      <c r="AV687" s="29"/>
      <c r="AW687" s="29"/>
      <c r="AX687" s="29"/>
    </row>
    <row r="688">
      <c r="A688" s="20"/>
      <c r="B688" s="20"/>
      <c r="C688" s="20"/>
      <c r="D688" s="46"/>
      <c r="E688" s="20"/>
      <c r="F688" s="20"/>
      <c r="G688" s="20"/>
      <c r="H688" s="20"/>
      <c r="I688" s="20"/>
      <c r="J688" s="45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9"/>
      <c r="AQ688" s="29"/>
      <c r="AR688" s="29"/>
      <c r="AS688" s="29"/>
      <c r="AT688" s="29"/>
      <c r="AU688" s="29"/>
      <c r="AV688" s="29"/>
      <c r="AW688" s="29"/>
      <c r="AX688" s="29"/>
    </row>
    <row r="689">
      <c r="A689" s="20"/>
      <c r="B689" s="20"/>
      <c r="C689" s="20"/>
      <c r="D689" s="46"/>
      <c r="E689" s="20"/>
      <c r="F689" s="20"/>
      <c r="G689" s="20"/>
      <c r="H689" s="20"/>
      <c r="I689" s="20"/>
      <c r="J689" s="45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9"/>
      <c r="AQ689" s="29"/>
      <c r="AR689" s="29"/>
      <c r="AS689" s="29"/>
      <c r="AT689" s="29"/>
      <c r="AU689" s="29"/>
      <c r="AV689" s="29"/>
      <c r="AW689" s="29"/>
      <c r="AX689" s="29"/>
    </row>
    <row r="690">
      <c r="A690" s="20"/>
      <c r="B690" s="20"/>
      <c r="C690" s="20"/>
      <c r="D690" s="46"/>
      <c r="E690" s="20"/>
      <c r="F690" s="20"/>
      <c r="G690" s="20"/>
      <c r="H690" s="20"/>
      <c r="I690" s="20"/>
      <c r="J690" s="45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9"/>
      <c r="AQ690" s="29"/>
      <c r="AR690" s="29"/>
      <c r="AS690" s="29"/>
      <c r="AT690" s="29"/>
      <c r="AU690" s="29"/>
      <c r="AV690" s="29"/>
      <c r="AW690" s="29"/>
      <c r="AX690" s="29"/>
    </row>
    <row r="691">
      <c r="A691" s="20"/>
      <c r="B691" s="20"/>
      <c r="C691" s="20"/>
      <c r="D691" s="46"/>
      <c r="E691" s="20"/>
      <c r="F691" s="20"/>
      <c r="G691" s="20"/>
      <c r="H691" s="20"/>
      <c r="I691" s="20"/>
      <c r="J691" s="45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9"/>
      <c r="AQ691" s="29"/>
      <c r="AR691" s="29"/>
      <c r="AS691" s="29"/>
      <c r="AT691" s="29"/>
      <c r="AU691" s="29"/>
      <c r="AV691" s="29"/>
      <c r="AW691" s="29"/>
      <c r="AX691" s="29"/>
    </row>
    <row r="692">
      <c r="A692" s="20"/>
      <c r="B692" s="20"/>
      <c r="C692" s="20"/>
      <c r="D692" s="46"/>
      <c r="E692" s="20"/>
      <c r="F692" s="20"/>
      <c r="G692" s="20"/>
      <c r="H692" s="20"/>
      <c r="I692" s="20"/>
      <c r="J692" s="45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9"/>
      <c r="AQ692" s="29"/>
      <c r="AR692" s="29"/>
      <c r="AS692" s="29"/>
      <c r="AT692" s="29"/>
      <c r="AU692" s="29"/>
      <c r="AV692" s="29"/>
      <c r="AW692" s="29"/>
      <c r="AX692" s="29"/>
    </row>
    <row r="693">
      <c r="A693" s="20"/>
      <c r="B693" s="20"/>
      <c r="C693" s="20"/>
      <c r="D693" s="46"/>
      <c r="E693" s="20"/>
      <c r="F693" s="20"/>
      <c r="G693" s="20"/>
      <c r="H693" s="20"/>
      <c r="I693" s="20"/>
      <c r="J693" s="45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9"/>
      <c r="AQ693" s="29"/>
      <c r="AR693" s="29"/>
      <c r="AS693" s="29"/>
      <c r="AT693" s="29"/>
      <c r="AU693" s="29"/>
      <c r="AV693" s="29"/>
      <c r="AW693" s="29"/>
      <c r="AX693" s="29"/>
    </row>
    <row r="694">
      <c r="A694" s="20"/>
      <c r="B694" s="20"/>
      <c r="C694" s="20"/>
      <c r="D694" s="46"/>
      <c r="E694" s="20"/>
      <c r="F694" s="20"/>
      <c r="G694" s="20"/>
      <c r="H694" s="20"/>
      <c r="I694" s="20"/>
      <c r="J694" s="45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9"/>
      <c r="AQ694" s="29"/>
      <c r="AR694" s="29"/>
      <c r="AS694" s="29"/>
      <c r="AT694" s="29"/>
      <c r="AU694" s="29"/>
      <c r="AV694" s="29"/>
      <c r="AW694" s="29"/>
      <c r="AX694" s="29"/>
    </row>
    <row r="695">
      <c r="A695" s="20"/>
      <c r="B695" s="20"/>
      <c r="C695" s="20"/>
      <c r="D695" s="46"/>
      <c r="E695" s="20"/>
      <c r="F695" s="20"/>
      <c r="G695" s="20"/>
      <c r="H695" s="20"/>
      <c r="I695" s="20"/>
      <c r="J695" s="45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9"/>
      <c r="AQ695" s="29"/>
      <c r="AR695" s="29"/>
      <c r="AS695" s="29"/>
      <c r="AT695" s="29"/>
      <c r="AU695" s="29"/>
      <c r="AV695" s="29"/>
      <c r="AW695" s="29"/>
      <c r="AX695" s="29"/>
    </row>
    <row r="696">
      <c r="A696" s="20"/>
      <c r="B696" s="20"/>
      <c r="C696" s="20"/>
      <c r="D696" s="46"/>
      <c r="E696" s="20"/>
      <c r="F696" s="20"/>
      <c r="G696" s="20"/>
      <c r="H696" s="20"/>
      <c r="I696" s="20"/>
      <c r="J696" s="45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9"/>
      <c r="AQ696" s="29"/>
      <c r="AR696" s="29"/>
      <c r="AS696" s="29"/>
      <c r="AT696" s="29"/>
      <c r="AU696" s="29"/>
      <c r="AV696" s="29"/>
      <c r="AW696" s="29"/>
      <c r="AX696" s="29"/>
    </row>
    <row r="697">
      <c r="A697" s="20"/>
      <c r="B697" s="20"/>
      <c r="C697" s="20"/>
      <c r="D697" s="46"/>
      <c r="E697" s="20"/>
      <c r="F697" s="20"/>
      <c r="G697" s="20"/>
      <c r="H697" s="20"/>
      <c r="I697" s="20"/>
      <c r="J697" s="45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9"/>
      <c r="AQ697" s="29"/>
      <c r="AR697" s="29"/>
      <c r="AS697" s="29"/>
      <c r="AT697" s="29"/>
      <c r="AU697" s="29"/>
      <c r="AV697" s="29"/>
      <c r="AW697" s="29"/>
      <c r="AX697" s="29"/>
    </row>
    <row r="698">
      <c r="A698" s="20"/>
      <c r="B698" s="20"/>
      <c r="C698" s="20"/>
      <c r="D698" s="46"/>
      <c r="E698" s="20"/>
      <c r="F698" s="20"/>
      <c r="G698" s="20"/>
      <c r="H698" s="20"/>
      <c r="I698" s="20"/>
      <c r="J698" s="45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9"/>
      <c r="AQ698" s="29"/>
      <c r="AR698" s="29"/>
      <c r="AS698" s="29"/>
      <c r="AT698" s="29"/>
      <c r="AU698" s="29"/>
      <c r="AV698" s="29"/>
      <c r="AW698" s="29"/>
      <c r="AX698" s="29"/>
    </row>
    <row r="699">
      <c r="A699" s="20"/>
      <c r="B699" s="20"/>
      <c r="C699" s="20"/>
      <c r="D699" s="46"/>
      <c r="E699" s="20"/>
      <c r="F699" s="20"/>
      <c r="G699" s="20"/>
      <c r="H699" s="20"/>
      <c r="I699" s="20"/>
      <c r="J699" s="45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9"/>
      <c r="AQ699" s="29"/>
      <c r="AR699" s="29"/>
      <c r="AS699" s="29"/>
      <c r="AT699" s="29"/>
      <c r="AU699" s="29"/>
      <c r="AV699" s="29"/>
      <c r="AW699" s="29"/>
      <c r="AX699" s="29"/>
    </row>
    <row r="700">
      <c r="A700" s="20"/>
      <c r="B700" s="20"/>
      <c r="C700" s="20"/>
      <c r="D700" s="46"/>
      <c r="E700" s="20"/>
      <c r="F700" s="20"/>
      <c r="G700" s="20"/>
      <c r="H700" s="20"/>
      <c r="I700" s="20"/>
      <c r="J700" s="45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9"/>
      <c r="AQ700" s="29"/>
      <c r="AR700" s="29"/>
      <c r="AS700" s="29"/>
      <c r="AT700" s="29"/>
      <c r="AU700" s="29"/>
      <c r="AV700" s="29"/>
      <c r="AW700" s="29"/>
      <c r="AX700" s="29"/>
    </row>
    <row r="701">
      <c r="A701" s="20"/>
      <c r="B701" s="20"/>
      <c r="C701" s="20"/>
      <c r="D701" s="46"/>
      <c r="E701" s="20"/>
      <c r="F701" s="20"/>
      <c r="G701" s="20"/>
      <c r="H701" s="20"/>
      <c r="I701" s="20"/>
      <c r="J701" s="45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9"/>
      <c r="AQ701" s="29"/>
      <c r="AR701" s="29"/>
      <c r="AS701" s="29"/>
      <c r="AT701" s="29"/>
      <c r="AU701" s="29"/>
      <c r="AV701" s="29"/>
      <c r="AW701" s="29"/>
      <c r="AX701" s="29"/>
    </row>
    <row r="702">
      <c r="A702" s="20"/>
      <c r="B702" s="20"/>
      <c r="C702" s="20"/>
      <c r="D702" s="46"/>
      <c r="E702" s="20"/>
      <c r="F702" s="20"/>
      <c r="G702" s="20"/>
      <c r="H702" s="20"/>
      <c r="I702" s="20"/>
      <c r="J702" s="45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9"/>
      <c r="AQ702" s="29"/>
      <c r="AR702" s="29"/>
      <c r="AS702" s="29"/>
      <c r="AT702" s="29"/>
      <c r="AU702" s="29"/>
      <c r="AV702" s="29"/>
      <c r="AW702" s="29"/>
      <c r="AX702" s="29"/>
    </row>
    <row r="703">
      <c r="A703" s="20"/>
      <c r="B703" s="20"/>
      <c r="C703" s="20"/>
      <c r="D703" s="46"/>
      <c r="E703" s="20"/>
      <c r="F703" s="20"/>
      <c r="G703" s="20"/>
      <c r="H703" s="20"/>
      <c r="I703" s="20"/>
      <c r="J703" s="45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9"/>
      <c r="AQ703" s="29"/>
      <c r="AR703" s="29"/>
      <c r="AS703" s="29"/>
      <c r="AT703" s="29"/>
      <c r="AU703" s="29"/>
      <c r="AV703" s="29"/>
      <c r="AW703" s="29"/>
      <c r="AX703" s="29"/>
    </row>
    <row r="704">
      <c r="A704" s="20"/>
      <c r="B704" s="20"/>
      <c r="C704" s="20"/>
      <c r="D704" s="46"/>
      <c r="E704" s="20"/>
      <c r="F704" s="20"/>
      <c r="G704" s="20"/>
      <c r="H704" s="20"/>
      <c r="I704" s="20"/>
      <c r="J704" s="45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9"/>
      <c r="AQ704" s="29"/>
      <c r="AR704" s="29"/>
      <c r="AS704" s="29"/>
      <c r="AT704" s="29"/>
      <c r="AU704" s="29"/>
      <c r="AV704" s="29"/>
      <c r="AW704" s="29"/>
      <c r="AX704" s="29"/>
    </row>
    <row r="705">
      <c r="A705" s="20"/>
      <c r="B705" s="20"/>
      <c r="C705" s="20"/>
      <c r="D705" s="46"/>
      <c r="E705" s="20"/>
      <c r="F705" s="20"/>
      <c r="G705" s="20"/>
      <c r="H705" s="20"/>
      <c r="I705" s="20"/>
      <c r="J705" s="45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9"/>
      <c r="AQ705" s="29"/>
      <c r="AR705" s="29"/>
      <c r="AS705" s="29"/>
      <c r="AT705" s="29"/>
      <c r="AU705" s="29"/>
      <c r="AV705" s="29"/>
      <c r="AW705" s="29"/>
      <c r="AX705" s="29"/>
    </row>
    <row r="706">
      <c r="A706" s="20"/>
      <c r="B706" s="20"/>
      <c r="C706" s="20"/>
      <c r="D706" s="46"/>
      <c r="E706" s="20"/>
      <c r="F706" s="20"/>
      <c r="G706" s="20"/>
      <c r="H706" s="20"/>
      <c r="I706" s="20"/>
      <c r="J706" s="45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9"/>
      <c r="AQ706" s="29"/>
      <c r="AR706" s="29"/>
      <c r="AS706" s="29"/>
      <c r="AT706" s="29"/>
      <c r="AU706" s="29"/>
      <c r="AV706" s="29"/>
      <c r="AW706" s="29"/>
      <c r="AX706" s="29"/>
    </row>
    <row r="707">
      <c r="A707" s="20"/>
      <c r="B707" s="20"/>
      <c r="C707" s="20"/>
      <c r="D707" s="46"/>
      <c r="E707" s="20"/>
      <c r="F707" s="20"/>
      <c r="G707" s="20"/>
      <c r="H707" s="20"/>
      <c r="I707" s="20"/>
      <c r="J707" s="45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9"/>
      <c r="AQ707" s="29"/>
      <c r="AR707" s="29"/>
      <c r="AS707" s="29"/>
      <c r="AT707" s="29"/>
      <c r="AU707" s="29"/>
      <c r="AV707" s="29"/>
      <c r="AW707" s="29"/>
      <c r="AX707" s="29"/>
    </row>
    <row r="708">
      <c r="A708" s="20"/>
      <c r="B708" s="20"/>
      <c r="C708" s="20"/>
      <c r="D708" s="46"/>
      <c r="E708" s="20"/>
      <c r="F708" s="20"/>
      <c r="G708" s="20"/>
      <c r="H708" s="20"/>
      <c r="I708" s="20"/>
      <c r="J708" s="45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9"/>
      <c r="AQ708" s="29"/>
      <c r="AR708" s="29"/>
      <c r="AS708" s="29"/>
      <c r="AT708" s="29"/>
      <c r="AU708" s="29"/>
      <c r="AV708" s="29"/>
      <c r="AW708" s="29"/>
      <c r="AX708" s="29"/>
    </row>
    <row r="709">
      <c r="A709" s="20"/>
      <c r="B709" s="20"/>
      <c r="C709" s="20"/>
      <c r="D709" s="46"/>
      <c r="E709" s="20"/>
      <c r="F709" s="20"/>
      <c r="G709" s="20"/>
      <c r="H709" s="20"/>
      <c r="I709" s="20"/>
      <c r="J709" s="45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9"/>
      <c r="AQ709" s="29"/>
      <c r="AR709" s="29"/>
      <c r="AS709" s="29"/>
      <c r="AT709" s="29"/>
      <c r="AU709" s="29"/>
      <c r="AV709" s="29"/>
      <c r="AW709" s="29"/>
      <c r="AX709" s="29"/>
    </row>
    <row r="710">
      <c r="A710" s="20"/>
      <c r="B710" s="20"/>
      <c r="C710" s="20"/>
      <c r="D710" s="46"/>
      <c r="E710" s="20"/>
      <c r="F710" s="20"/>
      <c r="G710" s="20"/>
      <c r="H710" s="20"/>
      <c r="I710" s="20"/>
      <c r="J710" s="45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9"/>
      <c r="AQ710" s="29"/>
      <c r="AR710" s="29"/>
      <c r="AS710" s="29"/>
      <c r="AT710" s="29"/>
      <c r="AU710" s="29"/>
      <c r="AV710" s="29"/>
      <c r="AW710" s="29"/>
      <c r="AX710" s="29"/>
    </row>
    <row r="711">
      <c r="A711" s="20"/>
      <c r="B711" s="20"/>
      <c r="C711" s="20"/>
      <c r="D711" s="46"/>
      <c r="E711" s="20"/>
      <c r="F711" s="20"/>
      <c r="G711" s="20"/>
      <c r="H711" s="20"/>
      <c r="I711" s="20"/>
      <c r="J711" s="45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9"/>
      <c r="AQ711" s="29"/>
      <c r="AR711" s="29"/>
      <c r="AS711" s="29"/>
      <c r="AT711" s="29"/>
      <c r="AU711" s="29"/>
      <c r="AV711" s="29"/>
      <c r="AW711" s="29"/>
      <c r="AX711" s="29"/>
    </row>
    <row r="712">
      <c r="A712" s="20"/>
      <c r="B712" s="20"/>
      <c r="C712" s="20"/>
      <c r="D712" s="46"/>
      <c r="E712" s="20"/>
      <c r="F712" s="20"/>
      <c r="G712" s="20"/>
      <c r="H712" s="20"/>
      <c r="I712" s="20"/>
      <c r="J712" s="45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9"/>
      <c r="AQ712" s="29"/>
      <c r="AR712" s="29"/>
      <c r="AS712" s="29"/>
      <c r="AT712" s="29"/>
      <c r="AU712" s="29"/>
      <c r="AV712" s="29"/>
      <c r="AW712" s="29"/>
      <c r="AX712" s="29"/>
    </row>
    <row r="713">
      <c r="A713" s="20"/>
      <c r="B713" s="20"/>
      <c r="C713" s="20"/>
      <c r="D713" s="46"/>
      <c r="E713" s="20"/>
      <c r="F713" s="20"/>
      <c r="G713" s="20"/>
      <c r="H713" s="20"/>
      <c r="I713" s="20"/>
      <c r="J713" s="45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9"/>
      <c r="AQ713" s="29"/>
      <c r="AR713" s="29"/>
      <c r="AS713" s="29"/>
      <c r="AT713" s="29"/>
      <c r="AU713" s="29"/>
      <c r="AV713" s="29"/>
      <c r="AW713" s="29"/>
      <c r="AX713" s="29"/>
    </row>
    <row r="714">
      <c r="A714" s="20"/>
      <c r="B714" s="20"/>
      <c r="C714" s="20"/>
      <c r="D714" s="46"/>
      <c r="E714" s="20"/>
      <c r="F714" s="20"/>
      <c r="G714" s="20"/>
      <c r="H714" s="20"/>
      <c r="I714" s="20"/>
      <c r="J714" s="45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9"/>
      <c r="AQ714" s="29"/>
      <c r="AR714" s="29"/>
      <c r="AS714" s="29"/>
      <c r="AT714" s="29"/>
      <c r="AU714" s="29"/>
      <c r="AV714" s="29"/>
      <c r="AW714" s="29"/>
      <c r="AX714" s="29"/>
    </row>
    <row r="715">
      <c r="A715" s="20"/>
      <c r="B715" s="20"/>
      <c r="C715" s="20"/>
      <c r="D715" s="46"/>
      <c r="E715" s="20"/>
      <c r="F715" s="20"/>
      <c r="G715" s="20"/>
      <c r="H715" s="20"/>
      <c r="I715" s="20"/>
      <c r="J715" s="45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9"/>
      <c r="AQ715" s="29"/>
      <c r="AR715" s="29"/>
      <c r="AS715" s="29"/>
      <c r="AT715" s="29"/>
      <c r="AU715" s="29"/>
      <c r="AV715" s="29"/>
      <c r="AW715" s="29"/>
      <c r="AX715" s="29"/>
    </row>
    <row r="716">
      <c r="A716" s="20"/>
      <c r="B716" s="20"/>
      <c r="C716" s="20"/>
      <c r="D716" s="46"/>
      <c r="E716" s="20"/>
      <c r="F716" s="20"/>
      <c r="G716" s="20"/>
      <c r="H716" s="20"/>
      <c r="I716" s="20"/>
      <c r="J716" s="45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9"/>
      <c r="AQ716" s="29"/>
      <c r="AR716" s="29"/>
      <c r="AS716" s="29"/>
      <c r="AT716" s="29"/>
      <c r="AU716" s="29"/>
      <c r="AV716" s="29"/>
      <c r="AW716" s="29"/>
      <c r="AX716" s="29"/>
    </row>
    <row r="717">
      <c r="A717" s="20"/>
      <c r="B717" s="20"/>
      <c r="C717" s="20"/>
      <c r="D717" s="46"/>
      <c r="E717" s="20"/>
      <c r="F717" s="20"/>
      <c r="G717" s="20"/>
      <c r="H717" s="20"/>
      <c r="I717" s="20"/>
      <c r="J717" s="45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9"/>
      <c r="AQ717" s="29"/>
      <c r="AR717" s="29"/>
      <c r="AS717" s="29"/>
      <c r="AT717" s="29"/>
      <c r="AU717" s="29"/>
      <c r="AV717" s="29"/>
      <c r="AW717" s="29"/>
      <c r="AX717" s="29"/>
    </row>
    <row r="718">
      <c r="A718" s="20"/>
      <c r="B718" s="20"/>
      <c r="C718" s="20"/>
      <c r="D718" s="46"/>
      <c r="E718" s="20"/>
      <c r="F718" s="20"/>
      <c r="G718" s="20"/>
      <c r="H718" s="20"/>
      <c r="I718" s="20"/>
      <c r="J718" s="45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9"/>
      <c r="AQ718" s="29"/>
      <c r="AR718" s="29"/>
      <c r="AS718" s="29"/>
      <c r="AT718" s="29"/>
      <c r="AU718" s="29"/>
      <c r="AV718" s="29"/>
      <c r="AW718" s="29"/>
      <c r="AX718" s="29"/>
    </row>
    <row r="719">
      <c r="A719" s="20"/>
      <c r="B719" s="20"/>
      <c r="C719" s="20"/>
      <c r="D719" s="46"/>
      <c r="E719" s="20"/>
      <c r="F719" s="20"/>
      <c r="G719" s="20"/>
      <c r="H719" s="20"/>
      <c r="I719" s="20"/>
      <c r="J719" s="45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9"/>
      <c r="AQ719" s="29"/>
      <c r="AR719" s="29"/>
      <c r="AS719" s="29"/>
      <c r="AT719" s="29"/>
      <c r="AU719" s="29"/>
      <c r="AV719" s="29"/>
      <c r="AW719" s="29"/>
      <c r="AX719" s="29"/>
    </row>
    <row r="720">
      <c r="A720" s="20"/>
      <c r="B720" s="20"/>
      <c r="C720" s="20"/>
      <c r="D720" s="46"/>
      <c r="E720" s="20"/>
      <c r="F720" s="20"/>
      <c r="G720" s="20"/>
      <c r="H720" s="20"/>
      <c r="I720" s="20"/>
      <c r="J720" s="45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9"/>
      <c r="AQ720" s="29"/>
      <c r="AR720" s="29"/>
      <c r="AS720" s="29"/>
      <c r="AT720" s="29"/>
      <c r="AU720" s="29"/>
      <c r="AV720" s="29"/>
      <c r="AW720" s="29"/>
      <c r="AX720" s="29"/>
    </row>
    <row r="721">
      <c r="A721" s="20"/>
      <c r="B721" s="20"/>
      <c r="C721" s="20"/>
      <c r="D721" s="46"/>
      <c r="E721" s="20"/>
      <c r="F721" s="20"/>
      <c r="G721" s="20"/>
      <c r="H721" s="20"/>
      <c r="I721" s="20"/>
      <c r="J721" s="45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9"/>
      <c r="AQ721" s="29"/>
      <c r="AR721" s="29"/>
      <c r="AS721" s="29"/>
      <c r="AT721" s="29"/>
      <c r="AU721" s="29"/>
      <c r="AV721" s="29"/>
      <c r="AW721" s="29"/>
      <c r="AX721" s="29"/>
    </row>
    <row r="722">
      <c r="A722" s="20"/>
      <c r="B722" s="20"/>
      <c r="C722" s="20"/>
      <c r="D722" s="46"/>
      <c r="E722" s="20"/>
      <c r="F722" s="20"/>
      <c r="G722" s="20"/>
      <c r="H722" s="20"/>
      <c r="I722" s="20"/>
      <c r="J722" s="45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9"/>
      <c r="AQ722" s="29"/>
      <c r="AR722" s="29"/>
      <c r="AS722" s="29"/>
      <c r="AT722" s="29"/>
      <c r="AU722" s="29"/>
      <c r="AV722" s="29"/>
      <c r="AW722" s="29"/>
      <c r="AX722" s="29"/>
    </row>
    <row r="723">
      <c r="A723" s="20"/>
      <c r="B723" s="20"/>
      <c r="C723" s="20"/>
      <c r="D723" s="46"/>
      <c r="E723" s="20"/>
      <c r="F723" s="20"/>
      <c r="G723" s="20"/>
      <c r="H723" s="20"/>
      <c r="I723" s="20"/>
      <c r="J723" s="45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9"/>
      <c r="AQ723" s="29"/>
      <c r="AR723" s="29"/>
      <c r="AS723" s="29"/>
      <c r="AT723" s="29"/>
      <c r="AU723" s="29"/>
      <c r="AV723" s="29"/>
      <c r="AW723" s="29"/>
      <c r="AX723" s="29"/>
    </row>
    <row r="724">
      <c r="A724" s="20"/>
      <c r="B724" s="20"/>
      <c r="C724" s="20"/>
      <c r="D724" s="46"/>
      <c r="E724" s="20"/>
      <c r="F724" s="20"/>
      <c r="G724" s="20"/>
      <c r="H724" s="20"/>
      <c r="I724" s="20"/>
      <c r="J724" s="45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9"/>
      <c r="AQ724" s="29"/>
      <c r="AR724" s="29"/>
      <c r="AS724" s="29"/>
      <c r="AT724" s="29"/>
      <c r="AU724" s="29"/>
      <c r="AV724" s="29"/>
      <c r="AW724" s="29"/>
      <c r="AX724" s="29"/>
    </row>
    <row r="725">
      <c r="A725" s="20"/>
      <c r="B725" s="20"/>
      <c r="C725" s="20"/>
      <c r="D725" s="46"/>
      <c r="E725" s="20"/>
      <c r="F725" s="20"/>
      <c r="G725" s="20"/>
      <c r="H725" s="20"/>
      <c r="I725" s="20"/>
      <c r="J725" s="45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9"/>
      <c r="AQ725" s="29"/>
      <c r="AR725" s="29"/>
      <c r="AS725" s="29"/>
      <c r="AT725" s="29"/>
      <c r="AU725" s="29"/>
      <c r="AV725" s="29"/>
      <c r="AW725" s="29"/>
      <c r="AX725" s="29"/>
    </row>
    <row r="726">
      <c r="A726" s="20"/>
      <c r="B726" s="20"/>
      <c r="C726" s="20"/>
      <c r="D726" s="46"/>
      <c r="E726" s="20"/>
      <c r="F726" s="20"/>
      <c r="G726" s="20"/>
      <c r="H726" s="20"/>
      <c r="I726" s="20"/>
      <c r="J726" s="45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9"/>
      <c r="AQ726" s="29"/>
      <c r="AR726" s="29"/>
      <c r="AS726" s="29"/>
      <c r="AT726" s="29"/>
      <c r="AU726" s="29"/>
      <c r="AV726" s="29"/>
      <c r="AW726" s="29"/>
      <c r="AX726" s="29"/>
    </row>
    <row r="727">
      <c r="A727" s="20"/>
      <c r="B727" s="20"/>
      <c r="C727" s="20"/>
      <c r="D727" s="46"/>
      <c r="E727" s="20"/>
      <c r="F727" s="20"/>
      <c r="G727" s="20"/>
      <c r="H727" s="20"/>
      <c r="I727" s="20"/>
      <c r="J727" s="45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9"/>
      <c r="AQ727" s="29"/>
      <c r="AR727" s="29"/>
      <c r="AS727" s="29"/>
      <c r="AT727" s="29"/>
      <c r="AU727" s="29"/>
      <c r="AV727" s="29"/>
      <c r="AW727" s="29"/>
      <c r="AX727" s="29"/>
    </row>
    <row r="728">
      <c r="A728" s="20"/>
      <c r="B728" s="20"/>
      <c r="C728" s="20"/>
      <c r="D728" s="46"/>
      <c r="E728" s="20"/>
      <c r="F728" s="20"/>
      <c r="G728" s="20"/>
      <c r="H728" s="20"/>
      <c r="I728" s="20"/>
      <c r="J728" s="45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9"/>
      <c r="AQ728" s="29"/>
      <c r="AR728" s="29"/>
      <c r="AS728" s="29"/>
      <c r="AT728" s="29"/>
      <c r="AU728" s="29"/>
      <c r="AV728" s="29"/>
      <c r="AW728" s="29"/>
      <c r="AX728" s="29"/>
    </row>
    <row r="729">
      <c r="A729" s="20"/>
      <c r="B729" s="20"/>
      <c r="C729" s="20"/>
      <c r="D729" s="46"/>
      <c r="E729" s="20"/>
      <c r="F729" s="20"/>
      <c r="G729" s="20"/>
      <c r="H729" s="20"/>
      <c r="I729" s="20"/>
      <c r="J729" s="45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9"/>
      <c r="AQ729" s="29"/>
      <c r="AR729" s="29"/>
      <c r="AS729" s="29"/>
      <c r="AT729" s="29"/>
      <c r="AU729" s="29"/>
      <c r="AV729" s="29"/>
      <c r="AW729" s="29"/>
      <c r="AX729" s="29"/>
    </row>
    <row r="730">
      <c r="A730" s="20"/>
      <c r="B730" s="20"/>
      <c r="C730" s="20"/>
      <c r="D730" s="46"/>
      <c r="E730" s="20"/>
      <c r="F730" s="20"/>
      <c r="G730" s="20"/>
      <c r="H730" s="20"/>
      <c r="I730" s="20"/>
      <c r="J730" s="45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9"/>
      <c r="AQ730" s="29"/>
      <c r="AR730" s="29"/>
      <c r="AS730" s="29"/>
      <c r="AT730" s="29"/>
      <c r="AU730" s="29"/>
      <c r="AV730" s="29"/>
      <c r="AW730" s="29"/>
      <c r="AX730" s="29"/>
    </row>
    <row r="731">
      <c r="A731" s="20"/>
      <c r="B731" s="20"/>
      <c r="C731" s="20"/>
      <c r="D731" s="46"/>
      <c r="E731" s="20"/>
      <c r="F731" s="20"/>
      <c r="G731" s="20"/>
      <c r="H731" s="20"/>
      <c r="I731" s="20"/>
      <c r="J731" s="45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9"/>
      <c r="AQ731" s="29"/>
      <c r="AR731" s="29"/>
      <c r="AS731" s="29"/>
      <c r="AT731" s="29"/>
      <c r="AU731" s="29"/>
      <c r="AV731" s="29"/>
      <c r="AW731" s="29"/>
      <c r="AX731" s="29"/>
    </row>
    <row r="732">
      <c r="A732" s="20"/>
      <c r="B732" s="20"/>
      <c r="C732" s="20"/>
      <c r="D732" s="46"/>
      <c r="E732" s="20"/>
      <c r="F732" s="20"/>
      <c r="G732" s="20"/>
      <c r="H732" s="20"/>
      <c r="I732" s="20"/>
      <c r="J732" s="45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9"/>
      <c r="AQ732" s="29"/>
      <c r="AR732" s="29"/>
      <c r="AS732" s="29"/>
      <c r="AT732" s="29"/>
      <c r="AU732" s="29"/>
      <c r="AV732" s="29"/>
      <c r="AW732" s="29"/>
      <c r="AX732" s="29"/>
    </row>
    <row r="733">
      <c r="A733" s="20"/>
      <c r="B733" s="20"/>
      <c r="C733" s="20"/>
      <c r="D733" s="46"/>
      <c r="E733" s="20"/>
      <c r="F733" s="20"/>
      <c r="G733" s="20"/>
      <c r="H733" s="20"/>
      <c r="I733" s="20"/>
      <c r="J733" s="45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9"/>
      <c r="AQ733" s="29"/>
      <c r="AR733" s="29"/>
      <c r="AS733" s="29"/>
      <c r="AT733" s="29"/>
      <c r="AU733" s="29"/>
      <c r="AV733" s="29"/>
      <c r="AW733" s="29"/>
      <c r="AX733" s="29"/>
    </row>
    <row r="734">
      <c r="A734" s="20"/>
      <c r="B734" s="20"/>
      <c r="C734" s="20"/>
      <c r="D734" s="46"/>
      <c r="E734" s="20"/>
      <c r="F734" s="20"/>
      <c r="G734" s="20"/>
      <c r="H734" s="20"/>
      <c r="I734" s="20"/>
      <c r="J734" s="45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9"/>
      <c r="AQ734" s="29"/>
      <c r="AR734" s="29"/>
      <c r="AS734" s="29"/>
      <c r="AT734" s="29"/>
      <c r="AU734" s="29"/>
      <c r="AV734" s="29"/>
      <c r="AW734" s="29"/>
      <c r="AX734" s="29"/>
    </row>
    <row r="735">
      <c r="A735" s="20"/>
      <c r="B735" s="20"/>
      <c r="C735" s="20"/>
      <c r="D735" s="46"/>
      <c r="E735" s="20"/>
      <c r="F735" s="20"/>
      <c r="G735" s="20"/>
      <c r="H735" s="20"/>
      <c r="I735" s="20"/>
      <c r="J735" s="45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9"/>
      <c r="AQ735" s="29"/>
      <c r="AR735" s="29"/>
      <c r="AS735" s="29"/>
      <c r="AT735" s="29"/>
      <c r="AU735" s="29"/>
      <c r="AV735" s="29"/>
      <c r="AW735" s="29"/>
      <c r="AX735" s="29"/>
    </row>
    <row r="736">
      <c r="A736" s="20"/>
      <c r="B736" s="20"/>
      <c r="C736" s="20"/>
      <c r="D736" s="46"/>
      <c r="E736" s="20"/>
      <c r="F736" s="20"/>
      <c r="G736" s="20"/>
      <c r="H736" s="20"/>
      <c r="I736" s="20"/>
      <c r="J736" s="45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9"/>
      <c r="AQ736" s="29"/>
      <c r="AR736" s="29"/>
      <c r="AS736" s="29"/>
      <c r="AT736" s="29"/>
      <c r="AU736" s="29"/>
      <c r="AV736" s="29"/>
      <c r="AW736" s="29"/>
      <c r="AX736" s="29"/>
    </row>
    <row r="737">
      <c r="A737" s="20"/>
      <c r="B737" s="20"/>
      <c r="C737" s="20"/>
      <c r="D737" s="46"/>
      <c r="E737" s="20"/>
      <c r="F737" s="20"/>
      <c r="G737" s="20"/>
      <c r="H737" s="20"/>
      <c r="I737" s="20"/>
      <c r="J737" s="45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9"/>
      <c r="AQ737" s="29"/>
      <c r="AR737" s="29"/>
      <c r="AS737" s="29"/>
      <c r="AT737" s="29"/>
      <c r="AU737" s="29"/>
      <c r="AV737" s="29"/>
      <c r="AW737" s="29"/>
      <c r="AX737" s="29"/>
    </row>
    <row r="738">
      <c r="A738" s="20"/>
      <c r="B738" s="20"/>
      <c r="C738" s="20"/>
      <c r="D738" s="46"/>
      <c r="E738" s="20"/>
      <c r="F738" s="20"/>
      <c r="G738" s="20"/>
      <c r="H738" s="20"/>
      <c r="I738" s="20"/>
      <c r="J738" s="45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9"/>
      <c r="AQ738" s="29"/>
      <c r="AR738" s="29"/>
      <c r="AS738" s="29"/>
      <c r="AT738" s="29"/>
      <c r="AU738" s="29"/>
      <c r="AV738" s="29"/>
      <c r="AW738" s="29"/>
      <c r="AX738" s="29"/>
    </row>
    <row r="739">
      <c r="A739" s="20"/>
      <c r="B739" s="20"/>
      <c r="C739" s="20"/>
      <c r="D739" s="46"/>
      <c r="E739" s="20"/>
      <c r="F739" s="20"/>
      <c r="G739" s="20"/>
      <c r="H739" s="20"/>
      <c r="I739" s="20"/>
      <c r="J739" s="45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9"/>
      <c r="AQ739" s="29"/>
      <c r="AR739" s="29"/>
      <c r="AS739" s="29"/>
      <c r="AT739" s="29"/>
      <c r="AU739" s="29"/>
      <c r="AV739" s="29"/>
      <c r="AW739" s="29"/>
      <c r="AX739" s="29"/>
    </row>
    <row r="740">
      <c r="A740" s="20"/>
      <c r="B740" s="20"/>
      <c r="C740" s="20"/>
      <c r="D740" s="46"/>
      <c r="E740" s="20"/>
      <c r="F740" s="20"/>
      <c r="G740" s="20"/>
      <c r="H740" s="20"/>
      <c r="I740" s="20"/>
      <c r="J740" s="45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9"/>
      <c r="AQ740" s="29"/>
      <c r="AR740" s="29"/>
      <c r="AS740" s="29"/>
      <c r="AT740" s="29"/>
      <c r="AU740" s="29"/>
      <c r="AV740" s="29"/>
      <c r="AW740" s="29"/>
      <c r="AX740" s="29"/>
    </row>
    <row r="741">
      <c r="A741" s="20"/>
      <c r="B741" s="20"/>
      <c r="C741" s="20"/>
      <c r="D741" s="46"/>
      <c r="E741" s="20"/>
      <c r="F741" s="20"/>
      <c r="G741" s="20"/>
      <c r="H741" s="20"/>
      <c r="I741" s="20"/>
      <c r="J741" s="45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9"/>
      <c r="AQ741" s="29"/>
      <c r="AR741" s="29"/>
      <c r="AS741" s="29"/>
      <c r="AT741" s="29"/>
      <c r="AU741" s="29"/>
      <c r="AV741" s="29"/>
      <c r="AW741" s="29"/>
      <c r="AX741" s="29"/>
    </row>
    <row r="742">
      <c r="A742" s="20"/>
      <c r="B742" s="20"/>
      <c r="C742" s="20"/>
      <c r="D742" s="46"/>
      <c r="E742" s="20"/>
      <c r="F742" s="20"/>
      <c r="G742" s="20"/>
      <c r="H742" s="20"/>
      <c r="I742" s="20"/>
      <c r="J742" s="45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9"/>
      <c r="AQ742" s="29"/>
      <c r="AR742" s="29"/>
      <c r="AS742" s="29"/>
      <c r="AT742" s="29"/>
      <c r="AU742" s="29"/>
      <c r="AV742" s="29"/>
      <c r="AW742" s="29"/>
      <c r="AX742" s="29"/>
    </row>
    <row r="743">
      <c r="A743" s="20"/>
      <c r="B743" s="20"/>
      <c r="C743" s="20"/>
      <c r="D743" s="46"/>
      <c r="E743" s="20"/>
      <c r="F743" s="20"/>
      <c r="G743" s="20"/>
      <c r="H743" s="20"/>
      <c r="I743" s="20"/>
      <c r="J743" s="45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9"/>
      <c r="AQ743" s="29"/>
      <c r="AR743" s="29"/>
      <c r="AS743" s="29"/>
      <c r="AT743" s="29"/>
      <c r="AU743" s="29"/>
      <c r="AV743" s="29"/>
      <c r="AW743" s="29"/>
      <c r="AX743" s="29"/>
    </row>
    <row r="744">
      <c r="A744" s="20"/>
      <c r="B744" s="20"/>
      <c r="C744" s="20"/>
      <c r="D744" s="46"/>
      <c r="E744" s="20"/>
      <c r="F744" s="20"/>
      <c r="G744" s="20"/>
      <c r="H744" s="20"/>
      <c r="I744" s="20"/>
      <c r="J744" s="45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9"/>
      <c r="AQ744" s="29"/>
      <c r="AR744" s="29"/>
      <c r="AS744" s="29"/>
      <c r="AT744" s="29"/>
      <c r="AU744" s="29"/>
      <c r="AV744" s="29"/>
      <c r="AW744" s="29"/>
      <c r="AX744" s="29"/>
    </row>
    <row r="745">
      <c r="A745" s="20"/>
      <c r="B745" s="20"/>
      <c r="C745" s="20"/>
      <c r="D745" s="46"/>
      <c r="E745" s="20"/>
      <c r="F745" s="20"/>
      <c r="G745" s="20"/>
      <c r="H745" s="20"/>
      <c r="I745" s="20"/>
      <c r="J745" s="45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9"/>
      <c r="AQ745" s="29"/>
      <c r="AR745" s="29"/>
      <c r="AS745" s="29"/>
      <c r="AT745" s="29"/>
      <c r="AU745" s="29"/>
      <c r="AV745" s="29"/>
      <c r="AW745" s="29"/>
      <c r="AX745" s="29"/>
    </row>
    <row r="746">
      <c r="A746" s="20"/>
      <c r="B746" s="20"/>
      <c r="C746" s="20"/>
      <c r="D746" s="46"/>
      <c r="E746" s="20"/>
      <c r="F746" s="20"/>
      <c r="G746" s="20"/>
      <c r="H746" s="20"/>
      <c r="I746" s="20"/>
      <c r="J746" s="45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9"/>
      <c r="AQ746" s="29"/>
      <c r="AR746" s="29"/>
      <c r="AS746" s="29"/>
      <c r="AT746" s="29"/>
      <c r="AU746" s="29"/>
      <c r="AV746" s="29"/>
      <c r="AW746" s="29"/>
      <c r="AX746" s="29"/>
    </row>
    <row r="747">
      <c r="A747" s="20"/>
      <c r="B747" s="20"/>
      <c r="C747" s="20"/>
      <c r="D747" s="46"/>
      <c r="E747" s="20"/>
      <c r="F747" s="20"/>
      <c r="G747" s="20"/>
      <c r="H747" s="20"/>
      <c r="I747" s="20"/>
      <c r="J747" s="45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9"/>
      <c r="AQ747" s="29"/>
      <c r="AR747" s="29"/>
      <c r="AS747" s="29"/>
      <c r="AT747" s="29"/>
      <c r="AU747" s="29"/>
      <c r="AV747" s="29"/>
      <c r="AW747" s="29"/>
      <c r="AX747" s="29"/>
    </row>
    <row r="748">
      <c r="A748" s="20"/>
      <c r="B748" s="20"/>
      <c r="C748" s="20"/>
      <c r="D748" s="46"/>
      <c r="E748" s="20"/>
      <c r="F748" s="20"/>
      <c r="G748" s="20"/>
      <c r="H748" s="20"/>
      <c r="I748" s="20"/>
      <c r="J748" s="45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9"/>
      <c r="AQ748" s="29"/>
      <c r="AR748" s="29"/>
      <c r="AS748" s="29"/>
      <c r="AT748" s="29"/>
      <c r="AU748" s="29"/>
      <c r="AV748" s="29"/>
      <c r="AW748" s="29"/>
      <c r="AX748" s="29"/>
    </row>
    <row r="749">
      <c r="A749" s="20"/>
      <c r="B749" s="20"/>
      <c r="C749" s="20"/>
      <c r="D749" s="46"/>
      <c r="E749" s="20"/>
      <c r="F749" s="20"/>
      <c r="G749" s="20"/>
      <c r="H749" s="20"/>
      <c r="I749" s="20"/>
      <c r="J749" s="45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9"/>
      <c r="AQ749" s="29"/>
      <c r="AR749" s="29"/>
      <c r="AS749" s="29"/>
      <c r="AT749" s="29"/>
      <c r="AU749" s="29"/>
      <c r="AV749" s="29"/>
      <c r="AW749" s="29"/>
      <c r="AX749" s="29"/>
    </row>
    <row r="750">
      <c r="A750" s="20"/>
      <c r="B750" s="20"/>
      <c r="C750" s="20"/>
      <c r="D750" s="46"/>
      <c r="E750" s="20"/>
      <c r="F750" s="20"/>
      <c r="G750" s="20"/>
      <c r="H750" s="20"/>
      <c r="I750" s="20"/>
      <c r="J750" s="45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9"/>
      <c r="AQ750" s="29"/>
      <c r="AR750" s="29"/>
      <c r="AS750" s="29"/>
      <c r="AT750" s="29"/>
      <c r="AU750" s="29"/>
      <c r="AV750" s="29"/>
      <c r="AW750" s="29"/>
      <c r="AX750" s="29"/>
    </row>
    <row r="751">
      <c r="A751" s="20"/>
      <c r="B751" s="20"/>
      <c r="C751" s="20"/>
      <c r="D751" s="46"/>
      <c r="E751" s="20"/>
      <c r="F751" s="20"/>
      <c r="G751" s="20"/>
      <c r="H751" s="20"/>
      <c r="I751" s="20"/>
      <c r="J751" s="45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9"/>
      <c r="AQ751" s="29"/>
      <c r="AR751" s="29"/>
      <c r="AS751" s="29"/>
      <c r="AT751" s="29"/>
      <c r="AU751" s="29"/>
      <c r="AV751" s="29"/>
      <c r="AW751" s="29"/>
      <c r="AX751" s="29"/>
    </row>
    <row r="752">
      <c r="A752" s="20"/>
      <c r="B752" s="20"/>
      <c r="C752" s="20"/>
      <c r="D752" s="46"/>
      <c r="E752" s="20"/>
      <c r="F752" s="20"/>
      <c r="G752" s="20"/>
      <c r="H752" s="20"/>
      <c r="I752" s="20"/>
      <c r="J752" s="45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9"/>
      <c r="AQ752" s="29"/>
      <c r="AR752" s="29"/>
      <c r="AS752" s="29"/>
      <c r="AT752" s="29"/>
      <c r="AU752" s="29"/>
      <c r="AV752" s="29"/>
      <c r="AW752" s="29"/>
      <c r="AX752" s="29"/>
    </row>
    <row r="753">
      <c r="A753" s="20"/>
      <c r="B753" s="20"/>
      <c r="C753" s="20"/>
      <c r="D753" s="46"/>
      <c r="E753" s="20"/>
      <c r="F753" s="20"/>
      <c r="G753" s="20"/>
      <c r="H753" s="20"/>
      <c r="I753" s="20"/>
      <c r="J753" s="45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9"/>
      <c r="AQ753" s="29"/>
      <c r="AR753" s="29"/>
      <c r="AS753" s="29"/>
      <c r="AT753" s="29"/>
      <c r="AU753" s="29"/>
      <c r="AV753" s="29"/>
      <c r="AW753" s="29"/>
      <c r="AX753" s="29"/>
    </row>
    <row r="754">
      <c r="A754" s="20"/>
      <c r="B754" s="20"/>
      <c r="C754" s="20"/>
      <c r="D754" s="46"/>
      <c r="E754" s="20"/>
      <c r="F754" s="20"/>
      <c r="G754" s="20"/>
      <c r="H754" s="20"/>
      <c r="I754" s="20"/>
      <c r="J754" s="45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9"/>
      <c r="AQ754" s="29"/>
      <c r="AR754" s="29"/>
      <c r="AS754" s="29"/>
      <c r="AT754" s="29"/>
      <c r="AU754" s="29"/>
      <c r="AV754" s="29"/>
      <c r="AW754" s="29"/>
      <c r="AX754" s="29"/>
    </row>
    <row r="755">
      <c r="A755" s="20"/>
      <c r="B755" s="20"/>
      <c r="C755" s="20"/>
      <c r="D755" s="46"/>
      <c r="E755" s="20"/>
      <c r="F755" s="20"/>
      <c r="G755" s="20"/>
      <c r="H755" s="20"/>
      <c r="I755" s="20"/>
      <c r="J755" s="45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9"/>
      <c r="AQ755" s="29"/>
      <c r="AR755" s="29"/>
      <c r="AS755" s="29"/>
      <c r="AT755" s="29"/>
      <c r="AU755" s="29"/>
      <c r="AV755" s="29"/>
      <c r="AW755" s="29"/>
      <c r="AX755" s="29"/>
    </row>
    <row r="756">
      <c r="A756" s="20"/>
      <c r="B756" s="20"/>
      <c r="C756" s="20"/>
      <c r="D756" s="46"/>
      <c r="E756" s="20"/>
      <c r="F756" s="20"/>
      <c r="G756" s="20"/>
      <c r="H756" s="20"/>
      <c r="I756" s="20"/>
      <c r="J756" s="45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9"/>
      <c r="AQ756" s="29"/>
      <c r="AR756" s="29"/>
      <c r="AS756" s="29"/>
      <c r="AT756" s="29"/>
      <c r="AU756" s="29"/>
      <c r="AV756" s="29"/>
      <c r="AW756" s="29"/>
      <c r="AX756" s="29"/>
    </row>
    <row r="757">
      <c r="A757" s="20"/>
      <c r="B757" s="20"/>
      <c r="C757" s="20"/>
      <c r="D757" s="46"/>
      <c r="E757" s="20"/>
      <c r="F757" s="20"/>
      <c r="G757" s="20"/>
      <c r="H757" s="20"/>
      <c r="I757" s="20"/>
      <c r="J757" s="45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9"/>
      <c r="AQ757" s="29"/>
      <c r="AR757" s="29"/>
      <c r="AS757" s="29"/>
      <c r="AT757" s="29"/>
      <c r="AU757" s="29"/>
      <c r="AV757" s="29"/>
      <c r="AW757" s="29"/>
      <c r="AX757" s="29"/>
    </row>
    <row r="758">
      <c r="A758" s="20"/>
      <c r="B758" s="20"/>
      <c r="C758" s="20"/>
      <c r="D758" s="46"/>
      <c r="E758" s="20"/>
      <c r="F758" s="20"/>
      <c r="G758" s="20"/>
      <c r="H758" s="20"/>
      <c r="I758" s="20"/>
      <c r="J758" s="45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9"/>
      <c r="AQ758" s="29"/>
      <c r="AR758" s="29"/>
      <c r="AS758" s="29"/>
      <c r="AT758" s="29"/>
      <c r="AU758" s="29"/>
      <c r="AV758" s="29"/>
      <c r="AW758" s="29"/>
      <c r="AX758" s="29"/>
    </row>
    <row r="759">
      <c r="A759" s="20"/>
      <c r="B759" s="20"/>
      <c r="C759" s="20"/>
      <c r="D759" s="46"/>
      <c r="E759" s="20"/>
      <c r="F759" s="20"/>
      <c r="G759" s="20"/>
      <c r="H759" s="20"/>
      <c r="I759" s="20"/>
      <c r="J759" s="45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9"/>
      <c r="AQ759" s="29"/>
      <c r="AR759" s="29"/>
      <c r="AS759" s="29"/>
      <c r="AT759" s="29"/>
      <c r="AU759" s="29"/>
      <c r="AV759" s="29"/>
      <c r="AW759" s="29"/>
      <c r="AX759" s="29"/>
    </row>
    <row r="760">
      <c r="A760" s="20"/>
      <c r="B760" s="20"/>
      <c r="C760" s="20"/>
      <c r="D760" s="46"/>
      <c r="E760" s="20"/>
      <c r="F760" s="20"/>
      <c r="G760" s="20"/>
      <c r="H760" s="20"/>
      <c r="I760" s="20"/>
      <c r="J760" s="45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9"/>
      <c r="AQ760" s="29"/>
      <c r="AR760" s="29"/>
      <c r="AS760" s="29"/>
      <c r="AT760" s="29"/>
      <c r="AU760" s="29"/>
      <c r="AV760" s="29"/>
      <c r="AW760" s="29"/>
      <c r="AX760" s="29"/>
    </row>
    <row r="761">
      <c r="A761" s="20"/>
      <c r="B761" s="20"/>
      <c r="C761" s="20"/>
      <c r="D761" s="46"/>
      <c r="E761" s="20"/>
      <c r="F761" s="20"/>
      <c r="G761" s="20"/>
      <c r="H761" s="20"/>
      <c r="I761" s="20"/>
      <c r="J761" s="45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9"/>
      <c r="AQ761" s="29"/>
      <c r="AR761" s="29"/>
      <c r="AS761" s="29"/>
      <c r="AT761" s="29"/>
      <c r="AU761" s="29"/>
      <c r="AV761" s="29"/>
      <c r="AW761" s="29"/>
      <c r="AX761" s="29"/>
    </row>
    <row r="762">
      <c r="A762" s="20"/>
      <c r="B762" s="20"/>
      <c r="C762" s="20"/>
      <c r="D762" s="46"/>
      <c r="E762" s="20"/>
      <c r="F762" s="20"/>
      <c r="G762" s="20"/>
      <c r="H762" s="20"/>
      <c r="I762" s="20"/>
      <c r="J762" s="45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9"/>
      <c r="AQ762" s="29"/>
      <c r="AR762" s="29"/>
      <c r="AS762" s="29"/>
      <c r="AT762" s="29"/>
      <c r="AU762" s="29"/>
      <c r="AV762" s="29"/>
      <c r="AW762" s="29"/>
      <c r="AX762" s="29"/>
    </row>
    <row r="763">
      <c r="A763" s="20"/>
      <c r="B763" s="20"/>
      <c r="C763" s="20"/>
      <c r="D763" s="46"/>
      <c r="E763" s="20"/>
      <c r="F763" s="20"/>
      <c r="G763" s="20"/>
      <c r="H763" s="20"/>
      <c r="I763" s="20"/>
      <c r="J763" s="45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9"/>
      <c r="AQ763" s="29"/>
      <c r="AR763" s="29"/>
      <c r="AS763" s="29"/>
      <c r="AT763" s="29"/>
      <c r="AU763" s="29"/>
      <c r="AV763" s="29"/>
      <c r="AW763" s="29"/>
      <c r="AX763" s="29"/>
    </row>
    <row r="764">
      <c r="A764" s="20"/>
      <c r="B764" s="20"/>
      <c r="C764" s="20"/>
      <c r="D764" s="46"/>
      <c r="E764" s="20"/>
      <c r="F764" s="20"/>
      <c r="G764" s="20"/>
      <c r="H764" s="20"/>
      <c r="I764" s="20"/>
      <c r="J764" s="45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9"/>
      <c r="AQ764" s="29"/>
      <c r="AR764" s="29"/>
      <c r="AS764" s="29"/>
      <c r="AT764" s="29"/>
      <c r="AU764" s="29"/>
      <c r="AV764" s="29"/>
      <c r="AW764" s="29"/>
      <c r="AX764" s="29"/>
    </row>
    <row r="765">
      <c r="A765" s="20"/>
      <c r="B765" s="20"/>
      <c r="C765" s="20"/>
      <c r="D765" s="46"/>
      <c r="E765" s="20"/>
      <c r="F765" s="20"/>
      <c r="G765" s="20"/>
      <c r="H765" s="20"/>
      <c r="I765" s="20"/>
      <c r="J765" s="45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9"/>
      <c r="AQ765" s="29"/>
      <c r="AR765" s="29"/>
      <c r="AS765" s="29"/>
      <c r="AT765" s="29"/>
      <c r="AU765" s="29"/>
      <c r="AV765" s="29"/>
      <c r="AW765" s="29"/>
      <c r="AX765" s="29"/>
    </row>
    <row r="766">
      <c r="A766" s="20"/>
      <c r="B766" s="20"/>
      <c r="C766" s="20"/>
      <c r="D766" s="46"/>
      <c r="E766" s="20"/>
      <c r="F766" s="20"/>
      <c r="G766" s="20"/>
      <c r="H766" s="20"/>
      <c r="I766" s="20"/>
      <c r="J766" s="45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9"/>
      <c r="AQ766" s="29"/>
      <c r="AR766" s="29"/>
      <c r="AS766" s="29"/>
      <c r="AT766" s="29"/>
      <c r="AU766" s="29"/>
      <c r="AV766" s="29"/>
      <c r="AW766" s="29"/>
      <c r="AX766" s="29"/>
    </row>
    <row r="767">
      <c r="A767" s="20"/>
      <c r="B767" s="20"/>
      <c r="C767" s="20"/>
      <c r="D767" s="46"/>
      <c r="E767" s="20"/>
      <c r="F767" s="20"/>
      <c r="G767" s="20"/>
      <c r="H767" s="20"/>
      <c r="I767" s="20"/>
      <c r="J767" s="45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9"/>
      <c r="AQ767" s="29"/>
      <c r="AR767" s="29"/>
      <c r="AS767" s="29"/>
      <c r="AT767" s="29"/>
      <c r="AU767" s="29"/>
      <c r="AV767" s="29"/>
      <c r="AW767" s="29"/>
      <c r="AX767" s="29"/>
    </row>
    <row r="768">
      <c r="A768" s="20"/>
      <c r="B768" s="20"/>
      <c r="C768" s="20"/>
      <c r="D768" s="46"/>
      <c r="E768" s="20"/>
      <c r="F768" s="20"/>
      <c r="G768" s="20"/>
      <c r="H768" s="20"/>
      <c r="I768" s="20"/>
      <c r="J768" s="45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9"/>
      <c r="AQ768" s="29"/>
      <c r="AR768" s="29"/>
      <c r="AS768" s="29"/>
      <c r="AT768" s="29"/>
      <c r="AU768" s="29"/>
      <c r="AV768" s="29"/>
      <c r="AW768" s="29"/>
      <c r="AX768" s="29"/>
    </row>
    <row r="769">
      <c r="A769" s="20"/>
      <c r="B769" s="20"/>
      <c r="C769" s="20"/>
      <c r="D769" s="46"/>
      <c r="E769" s="20"/>
      <c r="F769" s="20"/>
      <c r="G769" s="20"/>
      <c r="H769" s="20"/>
      <c r="I769" s="20"/>
      <c r="J769" s="45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9"/>
      <c r="AQ769" s="29"/>
      <c r="AR769" s="29"/>
      <c r="AS769" s="29"/>
      <c r="AT769" s="29"/>
      <c r="AU769" s="29"/>
      <c r="AV769" s="29"/>
      <c r="AW769" s="29"/>
      <c r="AX769" s="29"/>
    </row>
    <row r="770">
      <c r="A770" s="20"/>
      <c r="B770" s="20"/>
      <c r="C770" s="20"/>
      <c r="D770" s="46"/>
      <c r="E770" s="20"/>
      <c r="F770" s="20"/>
      <c r="G770" s="20"/>
      <c r="H770" s="20"/>
      <c r="I770" s="20"/>
      <c r="J770" s="45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9"/>
      <c r="AQ770" s="29"/>
      <c r="AR770" s="29"/>
      <c r="AS770" s="29"/>
      <c r="AT770" s="29"/>
      <c r="AU770" s="29"/>
      <c r="AV770" s="29"/>
      <c r="AW770" s="29"/>
      <c r="AX770" s="29"/>
    </row>
    <row r="771">
      <c r="A771" s="20"/>
      <c r="B771" s="20"/>
      <c r="C771" s="20"/>
      <c r="D771" s="46"/>
      <c r="E771" s="20"/>
      <c r="F771" s="20"/>
      <c r="G771" s="20"/>
      <c r="H771" s="20"/>
      <c r="I771" s="20"/>
      <c r="J771" s="45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9"/>
      <c r="AQ771" s="29"/>
      <c r="AR771" s="29"/>
      <c r="AS771" s="29"/>
      <c r="AT771" s="29"/>
      <c r="AU771" s="29"/>
      <c r="AV771" s="29"/>
      <c r="AW771" s="29"/>
      <c r="AX771" s="29"/>
    </row>
    <row r="772">
      <c r="A772" s="20"/>
      <c r="B772" s="20"/>
      <c r="C772" s="20"/>
      <c r="D772" s="46"/>
      <c r="E772" s="20"/>
      <c r="F772" s="20"/>
      <c r="G772" s="20"/>
      <c r="H772" s="20"/>
      <c r="I772" s="20"/>
      <c r="J772" s="45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9"/>
      <c r="AQ772" s="29"/>
      <c r="AR772" s="29"/>
      <c r="AS772" s="29"/>
      <c r="AT772" s="29"/>
      <c r="AU772" s="29"/>
      <c r="AV772" s="29"/>
      <c r="AW772" s="29"/>
      <c r="AX772" s="29"/>
    </row>
    <row r="773">
      <c r="A773" s="20"/>
      <c r="B773" s="20"/>
      <c r="C773" s="20"/>
      <c r="D773" s="46"/>
      <c r="E773" s="20"/>
      <c r="F773" s="20"/>
      <c r="G773" s="20"/>
      <c r="H773" s="20"/>
      <c r="I773" s="20"/>
      <c r="J773" s="45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9"/>
      <c r="AQ773" s="29"/>
      <c r="AR773" s="29"/>
      <c r="AS773" s="29"/>
      <c r="AT773" s="29"/>
      <c r="AU773" s="29"/>
      <c r="AV773" s="29"/>
      <c r="AW773" s="29"/>
      <c r="AX773" s="29"/>
    </row>
    <row r="774">
      <c r="A774" s="20"/>
      <c r="B774" s="20"/>
      <c r="C774" s="20"/>
      <c r="D774" s="46"/>
      <c r="E774" s="20"/>
      <c r="F774" s="20"/>
      <c r="G774" s="20"/>
      <c r="H774" s="20"/>
      <c r="I774" s="20"/>
      <c r="J774" s="45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9"/>
      <c r="AQ774" s="29"/>
      <c r="AR774" s="29"/>
      <c r="AS774" s="29"/>
      <c r="AT774" s="29"/>
      <c r="AU774" s="29"/>
      <c r="AV774" s="29"/>
      <c r="AW774" s="29"/>
      <c r="AX774" s="29"/>
    </row>
    <row r="775">
      <c r="A775" s="20"/>
      <c r="B775" s="20"/>
      <c r="C775" s="20"/>
      <c r="D775" s="46"/>
      <c r="E775" s="20"/>
      <c r="F775" s="20"/>
      <c r="G775" s="20"/>
      <c r="H775" s="20"/>
      <c r="I775" s="20"/>
      <c r="J775" s="45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9"/>
      <c r="AQ775" s="29"/>
      <c r="AR775" s="29"/>
      <c r="AS775" s="29"/>
      <c r="AT775" s="29"/>
      <c r="AU775" s="29"/>
      <c r="AV775" s="29"/>
      <c r="AW775" s="29"/>
      <c r="AX775" s="29"/>
    </row>
    <row r="776">
      <c r="A776" s="20"/>
      <c r="B776" s="20"/>
      <c r="C776" s="20"/>
      <c r="D776" s="46"/>
      <c r="E776" s="20"/>
      <c r="F776" s="20"/>
      <c r="G776" s="20"/>
      <c r="H776" s="20"/>
      <c r="I776" s="20"/>
      <c r="J776" s="45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9"/>
      <c r="AQ776" s="29"/>
      <c r="AR776" s="29"/>
      <c r="AS776" s="29"/>
      <c r="AT776" s="29"/>
      <c r="AU776" s="29"/>
      <c r="AV776" s="29"/>
      <c r="AW776" s="29"/>
      <c r="AX776" s="29"/>
    </row>
    <row r="777">
      <c r="A777" s="20"/>
      <c r="B777" s="20"/>
      <c r="C777" s="20"/>
      <c r="D777" s="46"/>
      <c r="E777" s="20"/>
      <c r="F777" s="20"/>
      <c r="G777" s="20"/>
      <c r="H777" s="20"/>
      <c r="I777" s="20"/>
      <c r="J777" s="45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9"/>
      <c r="AQ777" s="29"/>
      <c r="AR777" s="29"/>
      <c r="AS777" s="29"/>
      <c r="AT777" s="29"/>
      <c r="AU777" s="29"/>
      <c r="AV777" s="29"/>
      <c r="AW777" s="29"/>
      <c r="AX777" s="29"/>
    </row>
    <row r="778">
      <c r="A778" s="20"/>
      <c r="B778" s="20"/>
      <c r="C778" s="20"/>
      <c r="D778" s="46"/>
      <c r="E778" s="20"/>
      <c r="F778" s="20"/>
      <c r="G778" s="20"/>
      <c r="H778" s="20"/>
      <c r="I778" s="20"/>
      <c r="J778" s="45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9"/>
      <c r="AQ778" s="29"/>
      <c r="AR778" s="29"/>
      <c r="AS778" s="29"/>
      <c r="AT778" s="29"/>
      <c r="AU778" s="29"/>
      <c r="AV778" s="29"/>
      <c r="AW778" s="29"/>
      <c r="AX778" s="29"/>
    </row>
    <row r="779">
      <c r="A779" s="20"/>
      <c r="B779" s="20"/>
      <c r="C779" s="20"/>
      <c r="D779" s="46"/>
      <c r="E779" s="20"/>
      <c r="F779" s="20"/>
      <c r="G779" s="20"/>
      <c r="H779" s="20"/>
      <c r="I779" s="20"/>
      <c r="J779" s="45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9"/>
      <c r="AQ779" s="29"/>
      <c r="AR779" s="29"/>
      <c r="AS779" s="29"/>
      <c r="AT779" s="29"/>
      <c r="AU779" s="29"/>
      <c r="AV779" s="29"/>
      <c r="AW779" s="29"/>
      <c r="AX779" s="29"/>
    </row>
    <row r="780">
      <c r="A780" s="20"/>
      <c r="B780" s="20"/>
      <c r="C780" s="20"/>
      <c r="D780" s="46"/>
      <c r="E780" s="20"/>
      <c r="F780" s="20"/>
      <c r="G780" s="20"/>
      <c r="H780" s="20"/>
      <c r="I780" s="20"/>
      <c r="J780" s="45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9"/>
      <c r="AQ780" s="29"/>
      <c r="AR780" s="29"/>
      <c r="AS780" s="29"/>
      <c r="AT780" s="29"/>
      <c r="AU780" s="29"/>
      <c r="AV780" s="29"/>
      <c r="AW780" s="29"/>
      <c r="AX780" s="29"/>
    </row>
    <row r="781">
      <c r="A781" s="20"/>
      <c r="B781" s="20"/>
      <c r="C781" s="20"/>
      <c r="D781" s="46"/>
      <c r="E781" s="20"/>
      <c r="F781" s="20"/>
      <c r="G781" s="20"/>
      <c r="H781" s="20"/>
      <c r="I781" s="20"/>
      <c r="J781" s="45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9"/>
      <c r="AQ781" s="29"/>
      <c r="AR781" s="29"/>
      <c r="AS781" s="29"/>
      <c r="AT781" s="29"/>
      <c r="AU781" s="29"/>
      <c r="AV781" s="29"/>
      <c r="AW781" s="29"/>
      <c r="AX781" s="29"/>
    </row>
    <row r="782">
      <c r="A782" s="20"/>
      <c r="B782" s="20"/>
      <c r="C782" s="20"/>
      <c r="D782" s="46"/>
      <c r="E782" s="20"/>
      <c r="F782" s="20"/>
      <c r="G782" s="20"/>
      <c r="H782" s="20"/>
      <c r="I782" s="20"/>
      <c r="J782" s="45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9"/>
      <c r="AQ782" s="29"/>
      <c r="AR782" s="29"/>
      <c r="AS782" s="29"/>
      <c r="AT782" s="29"/>
      <c r="AU782" s="29"/>
      <c r="AV782" s="29"/>
      <c r="AW782" s="29"/>
      <c r="AX782" s="29"/>
    </row>
    <row r="783">
      <c r="A783" s="20"/>
      <c r="B783" s="20"/>
      <c r="C783" s="20"/>
      <c r="D783" s="46"/>
      <c r="E783" s="20"/>
      <c r="F783" s="20"/>
      <c r="G783" s="20"/>
      <c r="H783" s="20"/>
      <c r="I783" s="20"/>
      <c r="J783" s="45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9"/>
      <c r="AQ783" s="29"/>
      <c r="AR783" s="29"/>
      <c r="AS783" s="29"/>
      <c r="AT783" s="29"/>
      <c r="AU783" s="29"/>
      <c r="AV783" s="29"/>
      <c r="AW783" s="29"/>
      <c r="AX783" s="29"/>
    </row>
    <row r="784">
      <c r="A784" s="20"/>
      <c r="B784" s="20"/>
      <c r="C784" s="20"/>
      <c r="D784" s="46"/>
      <c r="E784" s="20"/>
      <c r="F784" s="20"/>
      <c r="G784" s="20"/>
      <c r="H784" s="20"/>
      <c r="I784" s="20"/>
      <c r="J784" s="45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9"/>
      <c r="AQ784" s="29"/>
      <c r="AR784" s="29"/>
      <c r="AS784" s="29"/>
      <c r="AT784" s="29"/>
      <c r="AU784" s="29"/>
      <c r="AV784" s="29"/>
      <c r="AW784" s="29"/>
      <c r="AX784" s="29"/>
    </row>
    <row r="785">
      <c r="A785" s="20"/>
      <c r="B785" s="20"/>
      <c r="C785" s="20"/>
      <c r="D785" s="46"/>
      <c r="E785" s="20"/>
      <c r="F785" s="20"/>
      <c r="G785" s="20"/>
      <c r="H785" s="20"/>
      <c r="I785" s="20"/>
      <c r="J785" s="45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9"/>
      <c r="AQ785" s="29"/>
      <c r="AR785" s="29"/>
      <c r="AS785" s="29"/>
      <c r="AT785" s="29"/>
      <c r="AU785" s="29"/>
      <c r="AV785" s="29"/>
      <c r="AW785" s="29"/>
      <c r="AX785" s="29"/>
    </row>
    <row r="786">
      <c r="A786" s="20"/>
      <c r="B786" s="20"/>
      <c r="C786" s="20"/>
      <c r="D786" s="46"/>
      <c r="E786" s="20"/>
      <c r="F786" s="20"/>
      <c r="G786" s="20"/>
      <c r="H786" s="20"/>
      <c r="I786" s="20"/>
      <c r="J786" s="45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9"/>
      <c r="AQ786" s="29"/>
      <c r="AR786" s="29"/>
      <c r="AS786" s="29"/>
      <c r="AT786" s="29"/>
      <c r="AU786" s="29"/>
      <c r="AV786" s="29"/>
      <c r="AW786" s="29"/>
      <c r="AX786" s="29"/>
    </row>
    <row r="787">
      <c r="A787" s="20"/>
      <c r="B787" s="20"/>
      <c r="C787" s="20"/>
      <c r="D787" s="46"/>
      <c r="E787" s="20"/>
      <c r="F787" s="20"/>
      <c r="G787" s="20"/>
      <c r="H787" s="20"/>
      <c r="I787" s="20"/>
      <c r="J787" s="45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9"/>
      <c r="AQ787" s="29"/>
      <c r="AR787" s="29"/>
      <c r="AS787" s="29"/>
      <c r="AT787" s="29"/>
      <c r="AU787" s="29"/>
      <c r="AV787" s="29"/>
      <c r="AW787" s="29"/>
      <c r="AX787" s="29"/>
    </row>
    <row r="788">
      <c r="A788" s="20"/>
      <c r="B788" s="20"/>
      <c r="C788" s="20"/>
      <c r="D788" s="46"/>
      <c r="E788" s="20"/>
      <c r="F788" s="20"/>
      <c r="G788" s="20"/>
      <c r="H788" s="20"/>
      <c r="I788" s="20"/>
      <c r="J788" s="45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9"/>
      <c r="AQ788" s="29"/>
      <c r="AR788" s="29"/>
      <c r="AS788" s="29"/>
      <c r="AT788" s="29"/>
      <c r="AU788" s="29"/>
      <c r="AV788" s="29"/>
      <c r="AW788" s="29"/>
      <c r="AX788" s="29"/>
    </row>
    <row r="789">
      <c r="A789" s="20"/>
      <c r="B789" s="20"/>
      <c r="C789" s="20"/>
      <c r="D789" s="46"/>
      <c r="E789" s="20"/>
      <c r="F789" s="20"/>
      <c r="G789" s="20"/>
      <c r="H789" s="20"/>
      <c r="I789" s="20"/>
      <c r="J789" s="45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9"/>
      <c r="AQ789" s="29"/>
      <c r="AR789" s="29"/>
      <c r="AS789" s="29"/>
      <c r="AT789" s="29"/>
      <c r="AU789" s="29"/>
      <c r="AV789" s="29"/>
      <c r="AW789" s="29"/>
      <c r="AX789" s="29"/>
    </row>
    <row r="790">
      <c r="A790" s="20"/>
      <c r="B790" s="20"/>
      <c r="C790" s="20"/>
      <c r="D790" s="46"/>
      <c r="E790" s="20"/>
      <c r="F790" s="20"/>
      <c r="G790" s="20"/>
      <c r="H790" s="20"/>
      <c r="I790" s="20"/>
      <c r="J790" s="45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9"/>
      <c r="AQ790" s="29"/>
      <c r="AR790" s="29"/>
      <c r="AS790" s="29"/>
      <c r="AT790" s="29"/>
      <c r="AU790" s="29"/>
      <c r="AV790" s="29"/>
      <c r="AW790" s="29"/>
      <c r="AX790" s="29"/>
    </row>
    <row r="791">
      <c r="A791" s="20"/>
      <c r="B791" s="20"/>
      <c r="C791" s="20"/>
      <c r="D791" s="46"/>
      <c r="E791" s="20"/>
      <c r="F791" s="20"/>
      <c r="G791" s="20"/>
      <c r="H791" s="20"/>
      <c r="I791" s="20"/>
      <c r="J791" s="45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9"/>
      <c r="AQ791" s="29"/>
      <c r="AR791" s="29"/>
      <c r="AS791" s="29"/>
      <c r="AT791" s="29"/>
      <c r="AU791" s="29"/>
      <c r="AV791" s="29"/>
      <c r="AW791" s="29"/>
      <c r="AX791" s="29"/>
    </row>
    <row r="792">
      <c r="A792" s="20"/>
      <c r="B792" s="20"/>
      <c r="C792" s="20"/>
      <c r="D792" s="46"/>
      <c r="E792" s="20"/>
      <c r="F792" s="20"/>
      <c r="G792" s="20"/>
      <c r="H792" s="20"/>
      <c r="I792" s="20"/>
      <c r="J792" s="45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9"/>
      <c r="AQ792" s="29"/>
      <c r="AR792" s="29"/>
      <c r="AS792" s="29"/>
      <c r="AT792" s="29"/>
      <c r="AU792" s="29"/>
      <c r="AV792" s="29"/>
      <c r="AW792" s="29"/>
      <c r="AX792" s="29"/>
    </row>
    <row r="793">
      <c r="A793" s="20"/>
      <c r="B793" s="20"/>
      <c r="C793" s="20"/>
      <c r="D793" s="46"/>
      <c r="E793" s="20"/>
      <c r="F793" s="20"/>
      <c r="G793" s="20"/>
      <c r="H793" s="20"/>
      <c r="I793" s="20"/>
      <c r="J793" s="45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9"/>
      <c r="AQ793" s="29"/>
      <c r="AR793" s="29"/>
      <c r="AS793" s="29"/>
      <c r="AT793" s="29"/>
      <c r="AU793" s="29"/>
      <c r="AV793" s="29"/>
      <c r="AW793" s="29"/>
      <c r="AX793" s="29"/>
    </row>
    <row r="794">
      <c r="A794" s="20"/>
      <c r="B794" s="20"/>
      <c r="C794" s="20"/>
      <c r="D794" s="46"/>
      <c r="E794" s="20"/>
      <c r="F794" s="20"/>
      <c r="G794" s="20"/>
      <c r="H794" s="20"/>
      <c r="I794" s="20"/>
      <c r="J794" s="45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9"/>
      <c r="AQ794" s="29"/>
      <c r="AR794" s="29"/>
      <c r="AS794" s="29"/>
      <c r="AT794" s="29"/>
      <c r="AU794" s="29"/>
      <c r="AV794" s="29"/>
      <c r="AW794" s="29"/>
      <c r="AX794" s="29"/>
    </row>
    <row r="795">
      <c r="A795" s="20"/>
      <c r="B795" s="20"/>
      <c r="C795" s="20"/>
      <c r="D795" s="46"/>
      <c r="E795" s="20"/>
      <c r="F795" s="20"/>
      <c r="G795" s="20"/>
      <c r="H795" s="20"/>
      <c r="I795" s="20"/>
      <c r="J795" s="45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9"/>
      <c r="AQ795" s="29"/>
      <c r="AR795" s="29"/>
      <c r="AS795" s="29"/>
      <c r="AT795" s="29"/>
      <c r="AU795" s="29"/>
      <c r="AV795" s="29"/>
      <c r="AW795" s="29"/>
      <c r="AX795" s="29"/>
    </row>
    <row r="796">
      <c r="A796" s="20"/>
      <c r="B796" s="20"/>
      <c r="C796" s="20"/>
      <c r="D796" s="46"/>
      <c r="E796" s="20"/>
      <c r="F796" s="20"/>
      <c r="G796" s="20"/>
      <c r="H796" s="20"/>
      <c r="I796" s="20"/>
      <c r="J796" s="45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9"/>
      <c r="AQ796" s="29"/>
      <c r="AR796" s="29"/>
      <c r="AS796" s="29"/>
      <c r="AT796" s="29"/>
      <c r="AU796" s="29"/>
      <c r="AV796" s="29"/>
      <c r="AW796" s="29"/>
      <c r="AX796" s="29"/>
    </row>
    <row r="797">
      <c r="A797" s="20"/>
      <c r="B797" s="20"/>
      <c r="C797" s="20"/>
      <c r="D797" s="46"/>
      <c r="E797" s="20"/>
      <c r="F797" s="20"/>
      <c r="G797" s="20"/>
      <c r="H797" s="20"/>
      <c r="I797" s="20"/>
      <c r="J797" s="45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9"/>
      <c r="AQ797" s="29"/>
      <c r="AR797" s="29"/>
      <c r="AS797" s="29"/>
      <c r="AT797" s="29"/>
      <c r="AU797" s="29"/>
      <c r="AV797" s="29"/>
      <c r="AW797" s="29"/>
      <c r="AX797" s="29"/>
    </row>
    <row r="798">
      <c r="A798" s="20"/>
      <c r="B798" s="20"/>
      <c r="C798" s="20"/>
      <c r="D798" s="46"/>
      <c r="E798" s="20"/>
      <c r="F798" s="20"/>
      <c r="G798" s="20"/>
      <c r="H798" s="20"/>
      <c r="I798" s="20"/>
      <c r="J798" s="45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9"/>
      <c r="AQ798" s="29"/>
      <c r="AR798" s="29"/>
      <c r="AS798" s="29"/>
      <c r="AT798" s="29"/>
      <c r="AU798" s="29"/>
      <c r="AV798" s="29"/>
      <c r="AW798" s="29"/>
      <c r="AX798" s="29"/>
    </row>
    <row r="799">
      <c r="A799" s="20"/>
      <c r="B799" s="20"/>
      <c r="C799" s="20"/>
      <c r="D799" s="46"/>
      <c r="E799" s="20"/>
      <c r="F799" s="20"/>
      <c r="G799" s="20"/>
      <c r="H799" s="20"/>
      <c r="I799" s="20"/>
      <c r="J799" s="45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9"/>
      <c r="AQ799" s="29"/>
      <c r="AR799" s="29"/>
      <c r="AS799" s="29"/>
      <c r="AT799" s="29"/>
      <c r="AU799" s="29"/>
      <c r="AV799" s="29"/>
      <c r="AW799" s="29"/>
      <c r="AX799" s="29"/>
    </row>
    <row r="800">
      <c r="A800" s="20"/>
      <c r="B800" s="20"/>
      <c r="C800" s="20"/>
      <c r="D800" s="46"/>
      <c r="E800" s="20"/>
      <c r="F800" s="20"/>
      <c r="G800" s="20"/>
      <c r="H800" s="20"/>
      <c r="I800" s="20"/>
      <c r="J800" s="45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9"/>
      <c r="AQ800" s="29"/>
      <c r="AR800" s="29"/>
      <c r="AS800" s="29"/>
      <c r="AT800" s="29"/>
      <c r="AU800" s="29"/>
      <c r="AV800" s="29"/>
      <c r="AW800" s="29"/>
      <c r="AX800" s="29"/>
    </row>
    <row r="801">
      <c r="A801" s="20"/>
      <c r="B801" s="20"/>
      <c r="C801" s="20"/>
      <c r="D801" s="46"/>
      <c r="E801" s="20"/>
      <c r="F801" s="20"/>
      <c r="G801" s="20"/>
      <c r="H801" s="20"/>
      <c r="I801" s="20"/>
      <c r="J801" s="45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9"/>
      <c r="AQ801" s="29"/>
      <c r="AR801" s="29"/>
      <c r="AS801" s="29"/>
      <c r="AT801" s="29"/>
      <c r="AU801" s="29"/>
      <c r="AV801" s="29"/>
      <c r="AW801" s="29"/>
      <c r="AX801" s="29"/>
    </row>
    <row r="802">
      <c r="A802" s="20"/>
      <c r="B802" s="20"/>
      <c r="C802" s="20"/>
      <c r="D802" s="46"/>
      <c r="E802" s="20"/>
      <c r="F802" s="20"/>
      <c r="G802" s="20"/>
      <c r="H802" s="20"/>
      <c r="I802" s="20"/>
      <c r="J802" s="45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9"/>
      <c r="AQ802" s="29"/>
      <c r="AR802" s="29"/>
      <c r="AS802" s="29"/>
      <c r="AT802" s="29"/>
      <c r="AU802" s="29"/>
      <c r="AV802" s="29"/>
      <c r="AW802" s="29"/>
      <c r="AX802" s="29"/>
    </row>
    <row r="803">
      <c r="A803" s="20"/>
      <c r="B803" s="20"/>
      <c r="C803" s="20"/>
      <c r="D803" s="46"/>
      <c r="E803" s="20"/>
      <c r="F803" s="20"/>
      <c r="G803" s="20"/>
      <c r="H803" s="20"/>
      <c r="I803" s="20"/>
      <c r="J803" s="45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9"/>
      <c r="AQ803" s="29"/>
      <c r="AR803" s="29"/>
      <c r="AS803" s="29"/>
      <c r="AT803" s="29"/>
      <c r="AU803" s="29"/>
      <c r="AV803" s="29"/>
      <c r="AW803" s="29"/>
      <c r="AX803" s="29"/>
    </row>
    <row r="804">
      <c r="A804" s="20"/>
      <c r="B804" s="20"/>
      <c r="C804" s="20"/>
      <c r="D804" s="46"/>
      <c r="E804" s="20"/>
      <c r="F804" s="20"/>
      <c r="G804" s="20"/>
      <c r="H804" s="20"/>
      <c r="I804" s="20"/>
      <c r="J804" s="45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9"/>
      <c r="AQ804" s="29"/>
      <c r="AR804" s="29"/>
      <c r="AS804" s="29"/>
      <c r="AT804" s="29"/>
      <c r="AU804" s="29"/>
      <c r="AV804" s="29"/>
      <c r="AW804" s="29"/>
      <c r="AX804" s="29"/>
    </row>
    <row r="805">
      <c r="A805" s="20"/>
      <c r="B805" s="20"/>
      <c r="C805" s="20"/>
      <c r="D805" s="46"/>
      <c r="E805" s="20"/>
      <c r="F805" s="20"/>
      <c r="G805" s="20"/>
      <c r="H805" s="20"/>
      <c r="I805" s="20"/>
      <c r="J805" s="45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9"/>
      <c r="AQ805" s="29"/>
      <c r="AR805" s="29"/>
      <c r="AS805" s="29"/>
      <c r="AT805" s="29"/>
      <c r="AU805" s="29"/>
      <c r="AV805" s="29"/>
      <c r="AW805" s="29"/>
      <c r="AX805" s="29"/>
    </row>
    <row r="806">
      <c r="A806" s="20"/>
      <c r="B806" s="20"/>
      <c r="C806" s="20"/>
      <c r="D806" s="46"/>
      <c r="E806" s="20"/>
      <c r="F806" s="20"/>
      <c r="G806" s="20"/>
      <c r="H806" s="20"/>
      <c r="I806" s="20"/>
      <c r="J806" s="45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9"/>
      <c r="AQ806" s="29"/>
      <c r="AR806" s="29"/>
      <c r="AS806" s="29"/>
      <c r="AT806" s="29"/>
      <c r="AU806" s="29"/>
      <c r="AV806" s="29"/>
      <c r="AW806" s="29"/>
      <c r="AX806" s="29"/>
    </row>
    <row r="807">
      <c r="A807" s="20"/>
      <c r="B807" s="20"/>
      <c r="C807" s="20"/>
      <c r="D807" s="46"/>
      <c r="E807" s="20"/>
      <c r="F807" s="20"/>
      <c r="G807" s="20"/>
      <c r="H807" s="20"/>
      <c r="I807" s="20"/>
      <c r="J807" s="45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9"/>
      <c r="AQ807" s="29"/>
      <c r="AR807" s="29"/>
      <c r="AS807" s="29"/>
      <c r="AT807" s="29"/>
      <c r="AU807" s="29"/>
      <c r="AV807" s="29"/>
      <c r="AW807" s="29"/>
      <c r="AX807" s="29"/>
    </row>
    <row r="808">
      <c r="A808" s="20"/>
      <c r="B808" s="20"/>
      <c r="C808" s="20"/>
      <c r="D808" s="46"/>
      <c r="E808" s="20"/>
      <c r="F808" s="20"/>
      <c r="G808" s="20"/>
      <c r="H808" s="20"/>
      <c r="I808" s="20"/>
      <c r="J808" s="45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9"/>
      <c r="AQ808" s="29"/>
      <c r="AR808" s="29"/>
      <c r="AS808" s="29"/>
      <c r="AT808" s="29"/>
      <c r="AU808" s="29"/>
      <c r="AV808" s="29"/>
      <c r="AW808" s="29"/>
      <c r="AX808" s="29"/>
    </row>
    <row r="809">
      <c r="A809" s="20"/>
      <c r="B809" s="20"/>
      <c r="C809" s="20"/>
      <c r="D809" s="46"/>
      <c r="E809" s="20"/>
      <c r="F809" s="20"/>
      <c r="G809" s="20"/>
      <c r="H809" s="20"/>
      <c r="I809" s="20"/>
      <c r="J809" s="45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9"/>
      <c r="AQ809" s="29"/>
      <c r="AR809" s="29"/>
      <c r="AS809" s="29"/>
      <c r="AT809" s="29"/>
      <c r="AU809" s="29"/>
      <c r="AV809" s="29"/>
      <c r="AW809" s="29"/>
      <c r="AX809" s="29"/>
    </row>
    <row r="810">
      <c r="A810" s="20"/>
      <c r="B810" s="20"/>
      <c r="C810" s="20"/>
      <c r="D810" s="46"/>
      <c r="E810" s="20"/>
      <c r="F810" s="20"/>
      <c r="G810" s="20"/>
      <c r="H810" s="20"/>
      <c r="I810" s="20"/>
      <c r="J810" s="45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9"/>
      <c r="AQ810" s="29"/>
      <c r="AR810" s="29"/>
      <c r="AS810" s="29"/>
      <c r="AT810" s="29"/>
      <c r="AU810" s="29"/>
      <c r="AV810" s="29"/>
      <c r="AW810" s="29"/>
      <c r="AX810" s="29"/>
    </row>
    <row r="811">
      <c r="A811" s="20"/>
      <c r="B811" s="20"/>
      <c r="C811" s="20"/>
      <c r="D811" s="46"/>
      <c r="E811" s="20"/>
      <c r="F811" s="20"/>
      <c r="G811" s="20"/>
      <c r="H811" s="20"/>
      <c r="I811" s="20"/>
      <c r="J811" s="45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9"/>
      <c r="AQ811" s="29"/>
      <c r="AR811" s="29"/>
      <c r="AS811" s="29"/>
      <c r="AT811" s="29"/>
      <c r="AU811" s="29"/>
      <c r="AV811" s="29"/>
      <c r="AW811" s="29"/>
      <c r="AX811" s="29"/>
    </row>
    <row r="812">
      <c r="A812" s="20"/>
      <c r="B812" s="20"/>
      <c r="C812" s="20"/>
      <c r="D812" s="46"/>
      <c r="E812" s="20"/>
      <c r="F812" s="20"/>
      <c r="G812" s="20"/>
      <c r="H812" s="20"/>
      <c r="I812" s="20"/>
      <c r="J812" s="45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9"/>
      <c r="AQ812" s="29"/>
      <c r="AR812" s="29"/>
      <c r="AS812" s="29"/>
      <c r="AT812" s="29"/>
      <c r="AU812" s="29"/>
      <c r="AV812" s="29"/>
      <c r="AW812" s="29"/>
      <c r="AX812" s="29"/>
    </row>
    <row r="813">
      <c r="A813" s="20"/>
      <c r="B813" s="20"/>
      <c r="C813" s="20"/>
      <c r="D813" s="46"/>
      <c r="E813" s="20"/>
      <c r="F813" s="20"/>
      <c r="G813" s="20"/>
      <c r="H813" s="20"/>
      <c r="I813" s="20"/>
      <c r="J813" s="45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9"/>
      <c r="AQ813" s="29"/>
      <c r="AR813" s="29"/>
      <c r="AS813" s="29"/>
      <c r="AT813" s="29"/>
      <c r="AU813" s="29"/>
      <c r="AV813" s="29"/>
      <c r="AW813" s="29"/>
      <c r="AX813" s="29"/>
    </row>
    <row r="814">
      <c r="A814" s="20"/>
      <c r="B814" s="20"/>
      <c r="C814" s="20"/>
      <c r="D814" s="46"/>
      <c r="E814" s="20"/>
      <c r="F814" s="20"/>
      <c r="G814" s="20"/>
      <c r="H814" s="20"/>
      <c r="I814" s="20"/>
      <c r="J814" s="45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9"/>
      <c r="AQ814" s="29"/>
      <c r="AR814" s="29"/>
      <c r="AS814" s="29"/>
      <c r="AT814" s="29"/>
      <c r="AU814" s="29"/>
      <c r="AV814" s="29"/>
      <c r="AW814" s="29"/>
      <c r="AX814" s="29"/>
    </row>
    <row r="815">
      <c r="A815" s="20"/>
      <c r="B815" s="20"/>
      <c r="C815" s="20"/>
      <c r="D815" s="46"/>
      <c r="E815" s="20"/>
      <c r="F815" s="20"/>
      <c r="G815" s="20"/>
      <c r="H815" s="20"/>
      <c r="I815" s="20"/>
      <c r="J815" s="45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9"/>
      <c r="AQ815" s="29"/>
      <c r="AR815" s="29"/>
      <c r="AS815" s="29"/>
      <c r="AT815" s="29"/>
      <c r="AU815" s="29"/>
      <c r="AV815" s="29"/>
      <c r="AW815" s="29"/>
      <c r="AX815" s="29"/>
    </row>
    <row r="816">
      <c r="A816" s="20"/>
      <c r="B816" s="20"/>
      <c r="C816" s="20"/>
      <c r="D816" s="46"/>
      <c r="E816" s="20"/>
      <c r="F816" s="20"/>
      <c r="G816" s="20"/>
      <c r="H816" s="20"/>
      <c r="I816" s="20"/>
      <c r="J816" s="45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9"/>
      <c r="AQ816" s="29"/>
      <c r="AR816" s="29"/>
      <c r="AS816" s="29"/>
      <c r="AT816" s="29"/>
      <c r="AU816" s="29"/>
      <c r="AV816" s="29"/>
      <c r="AW816" s="29"/>
      <c r="AX816" s="29"/>
    </row>
    <row r="817">
      <c r="A817" s="20"/>
      <c r="B817" s="20"/>
      <c r="C817" s="20"/>
      <c r="D817" s="46"/>
      <c r="E817" s="20"/>
      <c r="F817" s="20"/>
      <c r="G817" s="20"/>
      <c r="H817" s="20"/>
      <c r="I817" s="20"/>
      <c r="J817" s="45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9"/>
      <c r="AQ817" s="29"/>
      <c r="AR817" s="29"/>
      <c r="AS817" s="29"/>
      <c r="AT817" s="29"/>
      <c r="AU817" s="29"/>
      <c r="AV817" s="29"/>
      <c r="AW817" s="29"/>
      <c r="AX817" s="29"/>
    </row>
    <row r="818">
      <c r="A818" s="20"/>
      <c r="B818" s="20"/>
      <c r="C818" s="20"/>
      <c r="D818" s="46"/>
      <c r="E818" s="20"/>
      <c r="F818" s="20"/>
      <c r="G818" s="20"/>
      <c r="H818" s="20"/>
      <c r="I818" s="20"/>
      <c r="J818" s="45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9"/>
      <c r="AQ818" s="29"/>
      <c r="AR818" s="29"/>
      <c r="AS818" s="29"/>
      <c r="AT818" s="29"/>
      <c r="AU818" s="29"/>
      <c r="AV818" s="29"/>
      <c r="AW818" s="29"/>
      <c r="AX818" s="29"/>
    </row>
    <row r="819">
      <c r="A819" s="20"/>
      <c r="B819" s="20"/>
      <c r="C819" s="20"/>
      <c r="D819" s="46"/>
      <c r="E819" s="20"/>
      <c r="F819" s="20"/>
      <c r="G819" s="20"/>
      <c r="H819" s="20"/>
      <c r="I819" s="20"/>
      <c r="J819" s="45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9"/>
      <c r="AQ819" s="29"/>
      <c r="AR819" s="29"/>
      <c r="AS819" s="29"/>
      <c r="AT819" s="29"/>
      <c r="AU819" s="29"/>
      <c r="AV819" s="29"/>
      <c r="AW819" s="29"/>
      <c r="AX819" s="29"/>
    </row>
    <row r="820">
      <c r="A820" s="20"/>
      <c r="B820" s="20"/>
      <c r="C820" s="20"/>
      <c r="D820" s="46"/>
      <c r="E820" s="20"/>
      <c r="F820" s="20"/>
      <c r="G820" s="20"/>
      <c r="H820" s="20"/>
      <c r="I820" s="20"/>
      <c r="J820" s="45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9"/>
      <c r="AQ820" s="29"/>
      <c r="AR820" s="29"/>
      <c r="AS820" s="29"/>
      <c r="AT820" s="29"/>
      <c r="AU820" s="29"/>
      <c r="AV820" s="29"/>
      <c r="AW820" s="29"/>
      <c r="AX820" s="29"/>
    </row>
    <row r="821">
      <c r="A821" s="20"/>
      <c r="B821" s="20"/>
      <c r="C821" s="20"/>
      <c r="D821" s="46"/>
      <c r="E821" s="20"/>
      <c r="F821" s="20"/>
      <c r="G821" s="20"/>
      <c r="H821" s="20"/>
      <c r="I821" s="20"/>
      <c r="J821" s="45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9"/>
      <c r="AQ821" s="29"/>
      <c r="AR821" s="29"/>
      <c r="AS821" s="29"/>
      <c r="AT821" s="29"/>
      <c r="AU821" s="29"/>
      <c r="AV821" s="29"/>
      <c r="AW821" s="29"/>
      <c r="AX821" s="29"/>
    </row>
    <row r="822">
      <c r="A822" s="20"/>
      <c r="B822" s="20"/>
      <c r="C822" s="20"/>
      <c r="D822" s="46"/>
      <c r="E822" s="20"/>
      <c r="F822" s="20"/>
      <c r="G822" s="20"/>
      <c r="H822" s="20"/>
      <c r="I822" s="20"/>
      <c r="J822" s="45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9"/>
      <c r="AQ822" s="29"/>
      <c r="AR822" s="29"/>
      <c r="AS822" s="29"/>
      <c r="AT822" s="29"/>
      <c r="AU822" s="29"/>
      <c r="AV822" s="29"/>
      <c r="AW822" s="29"/>
      <c r="AX822" s="29"/>
    </row>
    <row r="823">
      <c r="A823" s="20"/>
      <c r="B823" s="20"/>
      <c r="C823" s="20"/>
      <c r="D823" s="46"/>
      <c r="E823" s="20"/>
      <c r="F823" s="20"/>
      <c r="G823" s="20"/>
      <c r="H823" s="20"/>
      <c r="I823" s="20"/>
      <c r="J823" s="45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9"/>
      <c r="AQ823" s="29"/>
      <c r="AR823" s="29"/>
      <c r="AS823" s="29"/>
      <c r="AT823" s="29"/>
      <c r="AU823" s="29"/>
      <c r="AV823" s="29"/>
      <c r="AW823" s="29"/>
      <c r="AX823" s="29"/>
    </row>
    <row r="824">
      <c r="A824" s="20"/>
      <c r="B824" s="20"/>
      <c r="C824" s="20"/>
      <c r="D824" s="46"/>
      <c r="E824" s="20"/>
      <c r="F824" s="20"/>
      <c r="G824" s="20"/>
      <c r="H824" s="20"/>
      <c r="I824" s="20"/>
      <c r="J824" s="45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9"/>
      <c r="AQ824" s="29"/>
      <c r="AR824" s="29"/>
      <c r="AS824" s="29"/>
      <c r="AT824" s="29"/>
      <c r="AU824" s="29"/>
      <c r="AV824" s="29"/>
      <c r="AW824" s="29"/>
      <c r="AX824" s="29"/>
    </row>
    <row r="825">
      <c r="A825" s="20"/>
      <c r="B825" s="20"/>
      <c r="C825" s="20"/>
      <c r="D825" s="46"/>
      <c r="E825" s="20"/>
      <c r="F825" s="20"/>
      <c r="G825" s="20"/>
      <c r="H825" s="20"/>
      <c r="I825" s="20"/>
      <c r="J825" s="45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9"/>
      <c r="AQ825" s="29"/>
      <c r="AR825" s="29"/>
      <c r="AS825" s="29"/>
      <c r="AT825" s="29"/>
      <c r="AU825" s="29"/>
      <c r="AV825" s="29"/>
      <c r="AW825" s="29"/>
      <c r="AX825" s="29"/>
    </row>
    <row r="826">
      <c r="A826" s="20"/>
      <c r="B826" s="20"/>
      <c r="C826" s="20"/>
      <c r="D826" s="46"/>
      <c r="E826" s="20"/>
      <c r="F826" s="20"/>
      <c r="G826" s="20"/>
      <c r="H826" s="20"/>
      <c r="I826" s="20"/>
      <c r="J826" s="45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9"/>
      <c r="AQ826" s="29"/>
      <c r="AR826" s="29"/>
      <c r="AS826" s="29"/>
      <c r="AT826" s="29"/>
      <c r="AU826" s="29"/>
      <c r="AV826" s="29"/>
      <c r="AW826" s="29"/>
      <c r="AX826" s="29"/>
    </row>
    <row r="827">
      <c r="A827" s="20"/>
      <c r="B827" s="20"/>
      <c r="C827" s="20"/>
      <c r="D827" s="46"/>
      <c r="E827" s="20"/>
      <c r="F827" s="20"/>
      <c r="G827" s="20"/>
      <c r="H827" s="20"/>
      <c r="I827" s="20"/>
      <c r="J827" s="45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9"/>
      <c r="AQ827" s="29"/>
      <c r="AR827" s="29"/>
      <c r="AS827" s="29"/>
      <c r="AT827" s="29"/>
      <c r="AU827" s="29"/>
      <c r="AV827" s="29"/>
      <c r="AW827" s="29"/>
      <c r="AX827" s="29"/>
    </row>
    <row r="828">
      <c r="A828" s="20"/>
      <c r="B828" s="20"/>
      <c r="C828" s="20"/>
      <c r="D828" s="46"/>
      <c r="E828" s="20"/>
      <c r="F828" s="20"/>
      <c r="G828" s="20"/>
      <c r="H828" s="20"/>
      <c r="I828" s="20"/>
      <c r="J828" s="45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9"/>
      <c r="AQ828" s="29"/>
      <c r="AR828" s="29"/>
      <c r="AS828" s="29"/>
      <c r="AT828" s="29"/>
      <c r="AU828" s="29"/>
      <c r="AV828" s="29"/>
      <c r="AW828" s="29"/>
      <c r="AX828" s="29"/>
    </row>
    <row r="829">
      <c r="A829" s="20"/>
      <c r="B829" s="20"/>
      <c r="C829" s="20"/>
      <c r="D829" s="46"/>
      <c r="E829" s="20"/>
      <c r="F829" s="20"/>
      <c r="G829" s="20"/>
      <c r="H829" s="20"/>
      <c r="I829" s="20"/>
      <c r="J829" s="45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9"/>
      <c r="AQ829" s="29"/>
      <c r="AR829" s="29"/>
      <c r="AS829" s="29"/>
      <c r="AT829" s="29"/>
      <c r="AU829" s="29"/>
      <c r="AV829" s="29"/>
      <c r="AW829" s="29"/>
      <c r="AX829" s="29"/>
    </row>
    <row r="830">
      <c r="A830" s="20"/>
      <c r="B830" s="20"/>
      <c r="C830" s="20"/>
      <c r="D830" s="46"/>
      <c r="E830" s="20"/>
      <c r="F830" s="20"/>
      <c r="G830" s="20"/>
      <c r="H830" s="20"/>
      <c r="I830" s="20"/>
      <c r="J830" s="45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9"/>
      <c r="AQ830" s="29"/>
      <c r="AR830" s="29"/>
      <c r="AS830" s="29"/>
      <c r="AT830" s="29"/>
      <c r="AU830" s="29"/>
      <c r="AV830" s="29"/>
      <c r="AW830" s="29"/>
      <c r="AX830" s="29"/>
    </row>
    <row r="831">
      <c r="A831" s="20"/>
      <c r="B831" s="20"/>
      <c r="C831" s="20"/>
      <c r="D831" s="46"/>
      <c r="E831" s="20"/>
      <c r="F831" s="20"/>
      <c r="G831" s="20"/>
      <c r="H831" s="20"/>
      <c r="I831" s="20"/>
      <c r="J831" s="45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9"/>
      <c r="AQ831" s="29"/>
      <c r="AR831" s="29"/>
      <c r="AS831" s="29"/>
      <c r="AT831" s="29"/>
      <c r="AU831" s="29"/>
      <c r="AV831" s="29"/>
      <c r="AW831" s="29"/>
      <c r="AX831" s="29"/>
    </row>
    <row r="832">
      <c r="A832" s="20"/>
      <c r="B832" s="20"/>
      <c r="C832" s="20"/>
      <c r="D832" s="46"/>
      <c r="E832" s="20"/>
      <c r="F832" s="20"/>
      <c r="G832" s="20"/>
      <c r="H832" s="20"/>
      <c r="I832" s="20"/>
      <c r="J832" s="45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9"/>
      <c r="AQ832" s="29"/>
      <c r="AR832" s="29"/>
      <c r="AS832" s="29"/>
      <c r="AT832" s="29"/>
      <c r="AU832" s="29"/>
      <c r="AV832" s="29"/>
      <c r="AW832" s="29"/>
      <c r="AX832" s="29"/>
    </row>
    <row r="833">
      <c r="A833" s="20"/>
      <c r="B833" s="20"/>
      <c r="C833" s="20"/>
      <c r="D833" s="46"/>
      <c r="E833" s="20"/>
      <c r="F833" s="20"/>
      <c r="G833" s="20"/>
      <c r="H833" s="20"/>
      <c r="I833" s="20"/>
      <c r="J833" s="45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9"/>
      <c r="AQ833" s="29"/>
      <c r="AR833" s="29"/>
      <c r="AS833" s="29"/>
      <c r="AT833" s="29"/>
      <c r="AU833" s="29"/>
      <c r="AV833" s="29"/>
      <c r="AW833" s="29"/>
      <c r="AX833" s="29"/>
    </row>
    <row r="834">
      <c r="A834" s="20"/>
      <c r="B834" s="20"/>
      <c r="C834" s="20"/>
      <c r="D834" s="46"/>
      <c r="E834" s="20"/>
      <c r="F834" s="20"/>
      <c r="G834" s="20"/>
      <c r="H834" s="20"/>
      <c r="I834" s="20"/>
      <c r="J834" s="45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9"/>
      <c r="AQ834" s="29"/>
      <c r="AR834" s="29"/>
      <c r="AS834" s="29"/>
      <c r="AT834" s="29"/>
      <c r="AU834" s="29"/>
      <c r="AV834" s="29"/>
      <c r="AW834" s="29"/>
      <c r="AX834" s="29"/>
    </row>
    <row r="835">
      <c r="A835" s="20"/>
      <c r="B835" s="20"/>
      <c r="C835" s="20"/>
      <c r="D835" s="46"/>
      <c r="E835" s="20"/>
      <c r="F835" s="20"/>
      <c r="G835" s="20"/>
      <c r="H835" s="20"/>
      <c r="I835" s="20"/>
      <c r="J835" s="45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9"/>
      <c r="AQ835" s="29"/>
      <c r="AR835" s="29"/>
      <c r="AS835" s="29"/>
      <c r="AT835" s="29"/>
      <c r="AU835" s="29"/>
      <c r="AV835" s="29"/>
      <c r="AW835" s="29"/>
      <c r="AX835" s="29"/>
    </row>
    <row r="836">
      <c r="A836" s="20"/>
      <c r="B836" s="20"/>
      <c r="C836" s="20"/>
      <c r="D836" s="46"/>
      <c r="E836" s="20"/>
      <c r="F836" s="20"/>
      <c r="G836" s="20"/>
      <c r="H836" s="20"/>
      <c r="I836" s="20"/>
      <c r="J836" s="45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9"/>
      <c r="AQ836" s="29"/>
      <c r="AR836" s="29"/>
      <c r="AS836" s="29"/>
      <c r="AT836" s="29"/>
      <c r="AU836" s="29"/>
      <c r="AV836" s="29"/>
      <c r="AW836" s="29"/>
      <c r="AX836" s="29"/>
    </row>
    <row r="837">
      <c r="A837" s="20"/>
      <c r="B837" s="20"/>
      <c r="C837" s="20"/>
      <c r="D837" s="46"/>
      <c r="E837" s="20"/>
      <c r="F837" s="20"/>
      <c r="G837" s="20"/>
      <c r="H837" s="20"/>
      <c r="I837" s="20"/>
      <c r="J837" s="45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9"/>
      <c r="AQ837" s="29"/>
      <c r="AR837" s="29"/>
      <c r="AS837" s="29"/>
      <c r="AT837" s="29"/>
      <c r="AU837" s="29"/>
      <c r="AV837" s="29"/>
      <c r="AW837" s="29"/>
      <c r="AX837" s="29"/>
    </row>
    <row r="838">
      <c r="A838" s="20"/>
      <c r="B838" s="20"/>
      <c r="C838" s="20"/>
      <c r="D838" s="46"/>
      <c r="E838" s="20"/>
      <c r="F838" s="20"/>
      <c r="G838" s="20"/>
      <c r="H838" s="20"/>
      <c r="I838" s="20"/>
      <c r="J838" s="45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9"/>
      <c r="AQ838" s="29"/>
      <c r="AR838" s="29"/>
      <c r="AS838" s="29"/>
      <c r="AT838" s="29"/>
      <c r="AU838" s="29"/>
      <c r="AV838" s="29"/>
      <c r="AW838" s="29"/>
      <c r="AX838" s="29"/>
    </row>
    <row r="839">
      <c r="A839" s="20"/>
      <c r="B839" s="20"/>
      <c r="C839" s="20"/>
      <c r="D839" s="46"/>
      <c r="E839" s="20"/>
      <c r="F839" s="20"/>
      <c r="G839" s="20"/>
      <c r="H839" s="20"/>
      <c r="I839" s="20"/>
      <c r="J839" s="45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9"/>
      <c r="AQ839" s="29"/>
      <c r="AR839" s="29"/>
      <c r="AS839" s="29"/>
      <c r="AT839" s="29"/>
      <c r="AU839" s="29"/>
      <c r="AV839" s="29"/>
      <c r="AW839" s="29"/>
      <c r="AX839" s="29"/>
    </row>
    <row r="840">
      <c r="A840" s="20"/>
      <c r="B840" s="20"/>
      <c r="C840" s="20"/>
      <c r="D840" s="46"/>
      <c r="E840" s="20"/>
      <c r="F840" s="20"/>
      <c r="G840" s="20"/>
      <c r="H840" s="20"/>
      <c r="I840" s="20"/>
      <c r="J840" s="45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9"/>
      <c r="AQ840" s="29"/>
      <c r="AR840" s="29"/>
      <c r="AS840" s="29"/>
      <c r="AT840" s="29"/>
      <c r="AU840" s="29"/>
      <c r="AV840" s="29"/>
      <c r="AW840" s="29"/>
      <c r="AX840" s="29"/>
    </row>
    <row r="841">
      <c r="A841" s="20"/>
      <c r="B841" s="20"/>
      <c r="C841" s="20"/>
      <c r="D841" s="46"/>
      <c r="E841" s="20"/>
      <c r="F841" s="20"/>
      <c r="G841" s="20"/>
      <c r="H841" s="20"/>
      <c r="I841" s="20"/>
      <c r="J841" s="45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9"/>
      <c r="AQ841" s="29"/>
      <c r="AR841" s="29"/>
      <c r="AS841" s="29"/>
      <c r="AT841" s="29"/>
      <c r="AU841" s="29"/>
      <c r="AV841" s="29"/>
      <c r="AW841" s="29"/>
      <c r="AX841" s="29"/>
    </row>
    <row r="842">
      <c r="A842" s="20"/>
      <c r="B842" s="20"/>
      <c r="C842" s="20"/>
      <c r="D842" s="46"/>
      <c r="E842" s="20"/>
      <c r="F842" s="20"/>
      <c r="G842" s="20"/>
      <c r="H842" s="20"/>
      <c r="I842" s="20"/>
      <c r="J842" s="45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9"/>
      <c r="AQ842" s="29"/>
      <c r="AR842" s="29"/>
      <c r="AS842" s="29"/>
      <c r="AT842" s="29"/>
      <c r="AU842" s="29"/>
      <c r="AV842" s="29"/>
      <c r="AW842" s="29"/>
      <c r="AX842" s="29"/>
    </row>
    <row r="843">
      <c r="A843" s="20"/>
      <c r="B843" s="20"/>
      <c r="C843" s="20"/>
      <c r="D843" s="46"/>
      <c r="E843" s="20"/>
      <c r="F843" s="20"/>
      <c r="G843" s="20"/>
      <c r="H843" s="20"/>
      <c r="I843" s="20"/>
      <c r="J843" s="45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9"/>
      <c r="AQ843" s="29"/>
      <c r="AR843" s="29"/>
      <c r="AS843" s="29"/>
      <c r="AT843" s="29"/>
      <c r="AU843" s="29"/>
      <c r="AV843" s="29"/>
      <c r="AW843" s="29"/>
      <c r="AX843" s="29"/>
    </row>
    <row r="844">
      <c r="A844" s="20"/>
      <c r="B844" s="20"/>
      <c r="C844" s="20"/>
      <c r="D844" s="46"/>
      <c r="E844" s="20"/>
      <c r="F844" s="20"/>
      <c r="G844" s="20"/>
      <c r="H844" s="20"/>
      <c r="I844" s="20"/>
      <c r="J844" s="45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9"/>
      <c r="AQ844" s="29"/>
      <c r="AR844" s="29"/>
      <c r="AS844" s="29"/>
      <c r="AT844" s="29"/>
      <c r="AU844" s="29"/>
      <c r="AV844" s="29"/>
      <c r="AW844" s="29"/>
      <c r="AX844" s="29"/>
    </row>
    <row r="845">
      <c r="A845" s="20"/>
      <c r="B845" s="20"/>
      <c r="C845" s="20"/>
      <c r="D845" s="46"/>
      <c r="E845" s="20"/>
      <c r="F845" s="20"/>
      <c r="G845" s="20"/>
      <c r="H845" s="20"/>
      <c r="I845" s="20"/>
      <c r="J845" s="45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9"/>
      <c r="AQ845" s="29"/>
      <c r="AR845" s="29"/>
      <c r="AS845" s="29"/>
      <c r="AT845" s="29"/>
      <c r="AU845" s="29"/>
      <c r="AV845" s="29"/>
      <c r="AW845" s="29"/>
      <c r="AX845" s="29"/>
    </row>
    <row r="846">
      <c r="A846" s="20"/>
      <c r="B846" s="20"/>
      <c r="C846" s="20"/>
      <c r="D846" s="46"/>
      <c r="E846" s="20"/>
      <c r="F846" s="20"/>
      <c r="G846" s="20"/>
      <c r="H846" s="20"/>
      <c r="I846" s="20"/>
      <c r="J846" s="45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9"/>
      <c r="AQ846" s="29"/>
      <c r="AR846" s="29"/>
      <c r="AS846" s="29"/>
      <c r="AT846" s="29"/>
      <c r="AU846" s="29"/>
      <c r="AV846" s="29"/>
      <c r="AW846" s="29"/>
      <c r="AX846" s="29"/>
    </row>
    <row r="847">
      <c r="A847" s="20"/>
      <c r="B847" s="20"/>
      <c r="C847" s="20"/>
      <c r="D847" s="46"/>
      <c r="E847" s="20"/>
      <c r="F847" s="20"/>
      <c r="G847" s="20"/>
      <c r="H847" s="20"/>
      <c r="I847" s="20"/>
      <c r="J847" s="45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9"/>
      <c r="AQ847" s="29"/>
      <c r="AR847" s="29"/>
      <c r="AS847" s="29"/>
      <c r="AT847" s="29"/>
      <c r="AU847" s="29"/>
      <c r="AV847" s="29"/>
      <c r="AW847" s="29"/>
      <c r="AX847" s="29"/>
    </row>
    <row r="848">
      <c r="A848" s="20"/>
      <c r="B848" s="20"/>
      <c r="C848" s="20"/>
      <c r="D848" s="46"/>
      <c r="E848" s="20"/>
      <c r="F848" s="20"/>
      <c r="G848" s="20"/>
      <c r="H848" s="20"/>
      <c r="I848" s="20"/>
      <c r="J848" s="45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9"/>
      <c r="AQ848" s="29"/>
      <c r="AR848" s="29"/>
      <c r="AS848" s="29"/>
      <c r="AT848" s="29"/>
      <c r="AU848" s="29"/>
      <c r="AV848" s="29"/>
      <c r="AW848" s="29"/>
      <c r="AX848" s="29"/>
    </row>
    <row r="849">
      <c r="A849" s="20"/>
      <c r="B849" s="20"/>
      <c r="C849" s="20"/>
      <c r="D849" s="46"/>
      <c r="E849" s="20"/>
      <c r="F849" s="20"/>
      <c r="G849" s="20"/>
      <c r="H849" s="20"/>
      <c r="I849" s="20"/>
      <c r="J849" s="45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9"/>
      <c r="AQ849" s="29"/>
      <c r="AR849" s="29"/>
      <c r="AS849" s="29"/>
      <c r="AT849" s="29"/>
      <c r="AU849" s="29"/>
      <c r="AV849" s="29"/>
      <c r="AW849" s="29"/>
      <c r="AX849" s="29"/>
    </row>
    <row r="850">
      <c r="A850" s="20"/>
      <c r="B850" s="20"/>
      <c r="C850" s="20"/>
      <c r="D850" s="46"/>
      <c r="E850" s="20"/>
      <c r="F850" s="20"/>
      <c r="G850" s="20"/>
      <c r="H850" s="20"/>
      <c r="I850" s="20"/>
      <c r="J850" s="45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9"/>
      <c r="AQ850" s="29"/>
      <c r="AR850" s="29"/>
      <c r="AS850" s="29"/>
      <c r="AT850" s="29"/>
      <c r="AU850" s="29"/>
      <c r="AV850" s="29"/>
      <c r="AW850" s="29"/>
      <c r="AX850" s="29"/>
    </row>
    <row r="851">
      <c r="A851" s="20"/>
      <c r="B851" s="20"/>
      <c r="C851" s="20"/>
      <c r="D851" s="46"/>
      <c r="E851" s="20"/>
      <c r="F851" s="20"/>
      <c r="G851" s="20"/>
      <c r="H851" s="20"/>
      <c r="I851" s="20"/>
      <c r="J851" s="45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9"/>
      <c r="AQ851" s="29"/>
      <c r="AR851" s="29"/>
      <c r="AS851" s="29"/>
      <c r="AT851" s="29"/>
      <c r="AU851" s="29"/>
      <c r="AV851" s="29"/>
      <c r="AW851" s="29"/>
      <c r="AX851" s="29"/>
    </row>
    <row r="852">
      <c r="A852" s="20"/>
      <c r="B852" s="20"/>
      <c r="C852" s="20"/>
      <c r="D852" s="46"/>
      <c r="E852" s="20"/>
      <c r="F852" s="20"/>
      <c r="G852" s="20"/>
      <c r="H852" s="20"/>
      <c r="I852" s="20"/>
      <c r="J852" s="45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9"/>
      <c r="AQ852" s="29"/>
      <c r="AR852" s="29"/>
      <c r="AS852" s="29"/>
      <c r="AT852" s="29"/>
      <c r="AU852" s="29"/>
      <c r="AV852" s="29"/>
      <c r="AW852" s="29"/>
      <c r="AX852" s="29"/>
    </row>
    <row r="853">
      <c r="A853" s="20"/>
      <c r="B853" s="20"/>
      <c r="C853" s="20"/>
      <c r="D853" s="46"/>
      <c r="E853" s="20"/>
      <c r="F853" s="20"/>
      <c r="G853" s="20"/>
      <c r="H853" s="20"/>
      <c r="I853" s="20"/>
      <c r="J853" s="45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9"/>
      <c r="AQ853" s="29"/>
      <c r="AR853" s="29"/>
      <c r="AS853" s="29"/>
      <c r="AT853" s="29"/>
      <c r="AU853" s="29"/>
      <c r="AV853" s="29"/>
      <c r="AW853" s="29"/>
      <c r="AX853" s="29"/>
    </row>
    <row r="854">
      <c r="A854" s="20"/>
      <c r="B854" s="20"/>
      <c r="C854" s="20"/>
      <c r="D854" s="46"/>
      <c r="E854" s="20"/>
      <c r="F854" s="20"/>
      <c r="G854" s="20"/>
      <c r="H854" s="20"/>
      <c r="I854" s="20"/>
      <c r="J854" s="45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9"/>
      <c r="AQ854" s="29"/>
      <c r="AR854" s="29"/>
      <c r="AS854" s="29"/>
      <c r="AT854" s="29"/>
      <c r="AU854" s="29"/>
      <c r="AV854" s="29"/>
      <c r="AW854" s="29"/>
      <c r="AX854" s="29"/>
    </row>
    <row r="855">
      <c r="A855" s="20"/>
      <c r="B855" s="20"/>
      <c r="C855" s="20"/>
      <c r="D855" s="46"/>
      <c r="E855" s="20"/>
      <c r="F855" s="20"/>
      <c r="G855" s="20"/>
      <c r="H855" s="20"/>
      <c r="I855" s="20"/>
      <c r="J855" s="45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9"/>
      <c r="AQ855" s="29"/>
      <c r="AR855" s="29"/>
      <c r="AS855" s="29"/>
      <c r="AT855" s="29"/>
      <c r="AU855" s="29"/>
      <c r="AV855" s="29"/>
      <c r="AW855" s="29"/>
      <c r="AX855" s="29"/>
    </row>
    <row r="856">
      <c r="A856" s="20"/>
      <c r="B856" s="20"/>
      <c r="C856" s="20"/>
      <c r="D856" s="46"/>
      <c r="E856" s="20"/>
      <c r="F856" s="20"/>
      <c r="G856" s="20"/>
      <c r="H856" s="20"/>
      <c r="I856" s="20"/>
      <c r="J856" s="45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9"/>
      <c r="AQ856" s="29"/>
      <c r="AR856" s="29"/>
      <c r="AS856" s="29"/>
      <c r="AT856" s="29"/>
      <c r="AU856" s="29"/>
      <c r="AV856" s="29"/>
      <c r="AW856" s="29"/>
      <c r="AX856" s="29"/>
    </row>
    <row r="857">
      <c r="A857" s="20"/>
      <c r="B857" s="20"/>
      <c r="C857" s="20"/>
      <c r="D857" s="46"/>
      <c r="E857" s="20"/>
      <c r="F857" s="20"/>
      <c r="G857" s="20"/>
      <c r="H857" s="20"/>
      <c r="I857" s="20"/>
      <c r="J857" s="45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9"/>
      <c r="AQ857" s="29"/>
      <c r="AR857" s="29"/>
      <c r="AS857" s="29"/>
      <c r="AT857" s="29"/>
      <c r="AU857" s="29"/>
      <c r="AV857" s="29"/>
      <c r="AW857" s="29"/>
      <c r="AX857" s="29"/>
    </row>
    <row r="858">
      <c r="A858" s="20"/>
      <c r="B858" s="20"/>
      <c r="C858" s="20"/>
      <c r="D858" s="46"/>
      <c r="E858" s="20"/>
      <c r="F858" s="20"/>
      <c r="G858" s="20"/>
      <c r="H858" s="20"/>
      <c r="I858" s="20"/>
      <c r="J858" s="45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9"/>
      <c r="AQ858" s="29"/>
      <c r="AR858" s="29"/>
      <c r="AS858" s="29"/>
      <c r="AT858" s="29"/>
      <c r="AU858" s="29"/>
      <c r="AV858" s="29"/>
      <c r="AW858" s="29"/>
      <c r="AX858" s="29"/>
    </row>
    <row r="859">
      <c r="A859" s="20"/>
      <c r="B859" s="20"/>
      <c r="C859" s="20"/>
      <c r="D859" s="46"/>
      <c r="E859" s="20"/>
      <c r="F859" s="20"/>
      <c r="G859" s="20"/>
      <c r="H859" s="20"/>
      <c r="I859" s="20"/>
      <c r="J859" s="45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9"/>
      <c r="AQ859" s="29"/>
      <c r="AR859" s="29"/>
      <c r="AS859" s="29"/>
      <c r="AT859" s="29"/>
      <c r="AU859" s="29"/>
      <c r="AV859" s="29"/>
      <c r="AW859" s="29"/>
      <c r="AX859" s="29"/>
    </row>
    <row r="860">
      <c r="A860" s="20"/>
      <c r="B860" s="20"/>
      <c r="C860" s="20"/>
      <c r="D860" s="46"/>
      <c r="E860" s="20"/>
      <c r="F860" s="20"/>
      <c r="G860" s="20"/>
      <c r="H860" s="20"/>
      <c r="I860" s="20"/>
      <c r="J860" s="45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9"/>
      <c r="AQ860" s="29"/>
      <c r="AR860" s="29"/>
      <c r="AS860" s="29"/>
      <c r="AT860" s="29"/>
      <c r="AU860" s="29"/>
      <c r="AV860" s="29"/>
      <c r="AW860" s="29"/>
      <c r="AX860" s="29"/>
    </row>
    <row r="861">
      <c r="A861" s="20"/>
      <c r="B861" s="20"/>
      <c r="C861" s="20"/>
      <c r="D861" s="46"/>
      <c r="E861" s="20"/>
      <c r="F861" s="20"/>
      <c r="G861" s="20"/>
      <c r="H861" s="20"/>
      <c r="I861" s="20"/>
      <c r="J861" s="45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9"/>
      <c r="AQ861" s="29"/>
      <c r="AR861" s="29"/>
      <c r="AS861" s="29"/>
      <c r="AT861" s="29"/>
      <c r="AU861" s="29"/>
      <c r="AV861" s="29"/>
      <c r="AW861" s="29"/>
      <c r="AX861" s="29"/>
    </row>
    <row r="862">
      <c r="A862" s="20"/>
      <c r="B862" s="20"/>
      <c r="C862" s="20"/>
      <c r="D862" s="46"/>
      <c r="E862" s="20"/>
      <c r="F862" s="20"/>
      <c r="G862" s="20"/>
      <c r="H862" s="20"/>
      <c r="I862" s="20"/>
      <c r="J862" s="45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9"/>
      <c r="AQ862" s="29"/>
      <c r="AR862" s="29"/>
      <c r="AS862" s="29"/>
      <c r="AT862" s="29"/>
      <c r="AU862" s="29"/>
      <c r="AV862" s="29"/>
      <c r="AW862" s="29"/>
      <c r="AX862" s="29"/>
    </row>
    <row r="863">
      <c r="A863" s="20"/>
      <c r="B863" s="20"/>
      <c r="C863" s="20"/>
      <c r="D863" s="46"/>
      <c r="E863" s="20"/>
      <c r="F863" s="20"/>
      <c r="G863" s="20"/>
      <c r="H863" s="20"/>
      <c r="I863" s="20"/>
      <c r="J863" s="45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9"/>
      <c r="AQ863" s="29"/>
      <c r="AR863" s="29"/>
      <c r="AS863" s="29"/>
      <c r="AT863" s="29"/>
      <c r="AU863" s="29"/>
      <c r="AV863" s="29"/>
      <c r="AW863" s="29"/>
      <c r="AX863" s="29"/>
    </row>
    <row r="864">
      <c r="A864" s="20"/>
      <c r="B864" s="20"/>
      <c r="C864" s="20"/>
      <c r="D864" s="46"/>
      <c r="E864" s="20"/>
      <c r="F864" s="20"/>
      <c r="G864" s="20"/>
      <c r="H864" s="20"/>
      <c r="I864" s="20"/>
      <c r="J864" s="45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9"/>
      <c r="AQ864" s="29"/>
      <c r="AR864" s="29"/>
      <c r="AS864" s="29"/>
      <c r="AT864" s="29"/>
      <c r="AU864" s="29"/>
      <c r="AV864" s="29"/>
      <c r="AW864" s="29"/>
      <c r="AX864" s="29"/>
    </row>
    <row r="865">
      <c r="A865" s="20"/>
      <c r="B865" s="20"/>
      <c r="C865" s="20"/>
      <c r="D865" s="46"/>
      <c r="E865" s="20"/>
      <c r="F865" s="20"/>
      <c r="G865" s="20"/>
      <c r="H865" s="20"/>
      <c r="I865" s="20"/>
      <c r="J865" s="45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9"/>
      <c r="AQ865" s="29"/>
      <c r="AR865" s="29"/>
      <c r="AS865" s="29"/>
      <c r="AT865" s="29"/>
      <c r="AU865" s="29"/>
      <c r="AV865" s="29"/>
      <c r="AW865" s="29"/>
      <c r="AX865" s="29"/>
    </row>
    <row r="866">
      <c r="A866" s="20"/>
      <c r="B866" s="20"/>
      <c r="C866" s="20"/>
      <c r="D866" s="46"/>
      <c r="E866" s="20"/>
      <c r="F866" s="20"/>
      <c r="G866" s="20"/>
      <c r="H866" s="20"/>
      <c r="I866" s="20"/>
      <c r="J866" s="45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9"/>
      <c r="AQ866" s="29"/>
      <c r="AR866" s="29"/>
      <c r="AS866" s="29"/>
      <c r="AT866" s="29"/>
      <c r="AU866" s="29"/>
      <c r="AV866" s="29"/>
      <c r="AW866" s="29"/>
      <c r="AX866" s="29"/>
    </row>
    <row r="867">
      <c r="A867" s="20"/>
      <c r="B867" s="20"/>
      <c r="C867" s="20"/>
      <c r="D867" s="46"/>
      <c r="E867" s="20"/>
      <c r="F867" s="20"/>
      <c r="G867" s="20"/>
      <c r="H867" s="20"/>
      <c r="I867" s="20"/>
      <c r="J867" s="45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9"/>
      <c r="AQ867" s="29"/>
      <c r="AR867" s="29"/>
      <c r="AS867" s="29"/>
      <c r="AT867" s="29"/>
      <c r="AU867" s="29"/>
      <c r="AV867" s="29"/>
      <c r="AW867" s="29"/>
      <c r="AX867" s="29"/>
    </row>
    <row r="868">
      <c r="A868" s="20"/>
      <c r="B868" s="20"/>
      <c r="C868" s="20"/>
      <c r="D868" s="46"/>
      <c r="E868" s="20"/>
      <c r="F868" s="20"/>
      <c r="G868" s="20"/>
      <c r="H868" s="20"/>
      <c r="I868" s="20"/>
      <c r="J868" s="45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9"/>
      <c r="AQ868" s="29"/>
      <c r="AR868" s="29"/>
      <c r="AS868" s="29"/>
      <c r="AT868" s="29"/>
      <c r="AU868" s="29"/>
      <c r="AV868" s="29"/>
      <c r="AW868" s="29"/>
      <c r="AX868" s="29"/>
    </row>
    <row r="869">
      <c r="A869" s="20"/>
      <c r="B869" s="20"/>
      <c r="C869" s="20"/>
      <c r="D869" s="46"/>
      <c r="E869" s="20"/>
      <c r="F869" s="20"/>
      <c r="G869" s="20"/>
      <c r="H869" s="20"/>
      <c r="I869" s="20"/>
      <c r="J869" s="45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9"/>
      <c r="AQ869" s="29"/>
      <c r="AR869" s="29"/>
      <c r="AS869" s="29"/>
      <c r="AT869" s="29"/>
      <c r="AU869" s="29"/>
      <c r="AV869" s="29"/>
      <c r="AW869" s="29"/>
      <c r="AX869" s="29"/>
    </row>
    <row r="870">
      <c r="A870" s="20"/>
      <c r="B870" s="20"/>
      <c r="C870" s="20"/>
      <c r="D870" s="46"/>
      <c r="E870" s="20"/>
      <c r="F870" s="20"/>
      <c r="G870" s="20"/>
      <c r="H870" s="20"/>
      <c r="I870" s="20"/>
      <c r="J870" s="45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9"/>
      <c r="AQ870" s="29"/>
      <c r="AR870" s="29"/>
      <c r="AS870" s="29"/>
      <c r="AT870" s="29"/>
      <c r="AU870" s="29"/>
      <c r="AV870" s="29"/>
      <c r="AW870" s="29"/>
      <c r="AX870" s="29"/>
    </row>
    <row r="871">
      <c r="A871" s="20"/>
      <c r="B871" s="20"/>
      <c r="C871" s="20"/>
      <c r="D871" s="46"/>
      <c r="E871" s="20"/>
      <c r="F871" s="20"/>
      <c r="G871" s="20"/>
      <c r="H871" s="20"/>
      <c r="I871" s="20"/>
      <c r="J871" s="45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9"/>
      <c r="AQ871" s="29"/>
      <c r="AR871" s="29"/>
      <c r="AS871" s="29"/>
      <c r="AT871" s="29"/>
      <c r="AU871" s="29"/>
      <c r="AV871" s="29"/>
      <c r="AW871" s="29"/>
      <c r="AX871" s="29"/>
    </row>
    <row r="872">
      <c r="A872" s="20"/>
      <c r="B872" s="20"/>
      <c r="C872" s="20"/>
      <c r="D872" s="46"/>
      <c r="E872" s="20"/>
      <c r="F872" s="20"/>
      <c r="G872" s="20"/>
      <c r="H872" s="20"/>
      <c r="I872" s="20"/>
      <c r="J872" s="45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9"/>
      <c r="AQ872" s="29"/>
      <c r="AR872" s="29"/>
      <c r="AS872" s="29"/>
      <c r="AT872" s="29"/>
      <c r="AU872" s="29"/>
      <c r="AV872" s="29"/>
      <c r="AW872" s="29"/>
      <c r="AX872" s="29"/>
    </row>
    <row r="873">
      <c r="A873" s="20"/>
      <c r="B873" s="20"/>
      <c r="C873" s="20"/>
      <c r="D873" s="46"/>
      <c r="E873" s="20"/>
      <c r="F873" s="20"/>
      <c r="G873" s="20"/>
      <c r="H873" s="20"/>
      <c r="I873" s="20"/>
      <c r="J873" s="45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9"/>
      <c r="AQ873" s="29"/>
      <c r="AR873" s="29"/>
      <c r="AS873" s="29"/>
      <c r="AT873" s="29"/>
      <c r="AU873" s="29"/>
      <c r="AV873" s="29"/>
      <c r="AW873" s="29"/>
      <c r="AX873" s="29"/>
    </row>
    <row r="874">
      <c r="A874" s="20"/>
      <c r="B874" s="20"/>
      <c r="C874" s="20"/>
      <c r="D874" s="46"/>
      <c r="E874" s="20"/>
      <c r="F874" s="20"/>
      <c r="G874" s="20"/>
      <c r="H874" s="20"/>
      <c r="I874" s="20"/>
      <c r="J874" s="45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9"/>
      <c r="AQ874" s="29"/>
      <c r="AR874" s="29"/>
      <c r="AS874" s="29"/>
      <c r="AT874" s="29"/>
      <c r="AU874" s="29"/>
      <c r="AV874" s="29"/>
      <c r="AW874" s="29"/>
      <c r="AX874" s="29"/>
    </row>
    <row r="875">
      <c r="A875" s="20"/>
      <c r="B875" s="20"/>
      <c r="C875" s="20"/>
      <c r="D875" s="46"/>
      <c r="E875" s="20"/>
      <c r="F875" s="20"/>
      <c r="G875" s="20"/>
      <c r="H875" s="20"/>
      <c r="I875" s="20"/>
      <c r="J875" s="45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9"/>
      <c r="AQ875" s="29"/>
      <c r="AR875" s="29"/>
      <c r="AS875" s="29"/>
      <c r="AT875" s="29"/>
      <c r="AU875" s="29"/>
      <c r="AV875" s="29"/>
      <c r="AW875" s="29"/>
      <c r="AX875" s="29"/>
    </row>
    <row r="876">
      <c r="A876" s="20"/>
      <c r="B876" s="20"/>
      <c r="C876" s="20"/>
      <c r="D876" s="46"/>
      <c r="E876" s="20"/>
      <c r="F876" s="20"/>
      <c r="G876" s="20"/>
      <c r="H876" s="20"/>
      <c r="I876" s="20"/>
      <c r="J876" s="45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9"/>
      <c r="AQ876" s="29"/>
      <c r="AR876" s="29"/>
      <c r="AS876" s="29"/>
      <c r="AT876" s="29"/>
      <c r="AU876" s="29"/>
      <c r="AV876" s="29"/>
      <c r="AW876" s="29"/>
      <c r="AX876" s="29"/>
    </row>
    <row r="877">
      <c r="A877" s="20"/>
      <c r="B877" s="20"/>
      <c r="C877" s="20"/>
      <c r="D877" s="46"/>
      <c r="E877" s="20"/>
      <c r="F877" s="20"/>
      <c r="G877" s="20"/>
      <c r="H877" s="20"/>
      <c r="I877" s="20"/>
      <c r="J877" s="45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9"/>
      <c r="AQ877" s="29"/>
      <c r="AR877" s="29"/>
      <c r="AS877" s="29"/>
      <c r="AT877" s="29"/>
      <c r="AU877" s="29"/>
      <c r="AV877" s="29"/>
      <c r="AW877" s="29"/>
      <c r="AX877" s="29"/>
    </row>
    <row r="878">
      <c r="A878" s="20"/>
      <c r="B878" s="20"/>
      <c r="C878" s="20"/>
      <c r="D878" s="46"/>
      <c r="E878" s="20"/>
      <c r="F878" s="20"/>
      <c r="G878" s="20"/>
      <c r="H878" s="20"/>
      <c r="I878" s="20"/>
      <c r="J878" s="45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9"/>
      <c r="AQ878" s="29"/>
      <c r="AR878" s="29"/>
      <c r="AS878" s="29"/>
      <c r="AT878" s="29"/>
      <c r="AU878" s="29"/>
      <c r="AV878" s="29"/>
      <c r="AW878" s="29"/>
      <c r="AX878" s="29"/>
    </row>
    <row r="879">
      <c r="A879" s="20"/>
      <c r="B879" s="20"/>
      <c r="C879" s="20"/>
      <c r="D879" s="46"/>
      <c r="E879" s="20"/>
      <c r="F879" s="20"/>
      <c r="G879" s="20"/>
      <c r="H879" s="20"/>
      <c r="I879" s="20"/>
      <c r="J879" s="45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9"/>
      <c r="AQ879" s="29"/>
      <c r="AR879" s="29"/>
      <c r="AS879" s="29"/>
      <c r="AT879" s="29"/>
      <c r="AU879" s="29"/>
      <c r="AV879" s="29"/>
      <c r="AW879" s="29"/>
      <c r="AX879" s="29"/>
    </row>
    <row r="880">
      <c r="A880" s="20"/>
      <c r="B880" s="20"/>
      <c r="C880" s="20"/>
      <c r="D880" s="46"/>
      <c r="E880" s="20"/>
      <c r="F880" s="20"/>
      <c r="G880" s="20"/>
      <c r="H880" s="20"/>
      <c r="I880" s="20"/>
      <c r="J880" s="45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9"/>
      <c r="AQ880" s="29"/>
      <c r="AR880" s="29"/>
      <c r="AS880" s="29"/>
      <c r="AT880" s="29"/>
      <c r="AU880" s="29"/>
      <c r="AV880" s="29"/>
      <c r="AW880" s="29"/>
      <c r="AX880" s="29"/>
    </row>
    <row r="881">
      <c r="A881" s="20"/>
      <c r="B881" s="20"/>
      <c r="C881" s="20"/>
      <c r="D881" s="46"/>
      <c r="E881" s="20"/>
      <c r="F881" s="20"/>
      <c r="G881" s="20"/>
      <c r="H881" s="20"/>
      <c r="I881" s="20"/>
      <c r="J881" s="45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9"/>
      <c r="AQ881" s="29"/>
      <c r="AR881" s="29"/>
      <c r="AS881" s="29"/>
      <c r="AT881" s="29"/>
      <c r="AU881" s="29"/>
      <c r="AV881" s="29"/>
      <c r="AW881" s="29"/>
      <c r="AX881" s="29"/>
    </row>
    <row r="882">
      <c r="A882" s="20"/>
      <c r="B882" s="20"/>
      <c r="C882" s="20"/>
      <c r="D882" s="46"/>
      <c r="E882" s="20"/>
      <c r="F882" s="20"/>
      <c r="G882" s="20"/>
      <c r="H882" s="20"/>
      <c r="I882" s="20"/>
      <c r="J882" s="45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9"/>
      <c r="AQ882" s="29"/>
      <c r="AR882" s="29"/>
      <c r="AS882" s="29"/>
      <c r="AT882" s="29"/>
      <c r="AU882" s="29"/>
      <c r="AV882" s="29"/>
      <c r="AW882" s="29"/>
      <c r="AX882" s="29"/>
    </row>
    <row r="883">
      <c r="A883" s="20"/>
      <c r="B883" s="20"/>
      <c r="C883" s="20"/>
      <c r="D883" s="46"/>
      <c r="E883" s="20"/>
      <c r="F883" s="20"/>
      <c r="G883" s="20"/>
      <c r="H883" s="20"/>
      <c r="I883" s="20"/>
      <c r="J883" s="45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9"/>
      <c r="AQ883" s="29"/>
      <c r="AR883" s="29"/>
      <c r="AS883" s="29"/>
      <c r="AT883" s="29"/>
      <c r="AU883" s="29"/>
      <c r="AV883" s="29"/>
      <c r="AW883" s="29"/>
      <c r="AX883" s="29"/>
    </row>
    <row r="884">
      <c r="A884" s="20"/>
      <c r="B884" s="20"/>
      <c r="C884" s="20"/>
      <c r="D884" s="46"/>
      <c r="E884" s="20"/>
      <c r="F884" s="20"/>
      <c r="G884" s="20"/>
      <c r="H884" s="20"/>
      <c r="I884" s="20"/>
      <c r="J884" s="45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9"/>
      <c r="AQ884" s="29"/>
      <c r="AR884" s="29"/>
      <c r="AS884" s="29"/>
      <c r="AT884" s="29"/>
      <c r="AU884" s="29"/>
      <c r="AV884" s="29"/>
      <c r="AW884" s="29"/>
      <c r="AX884" s="29"/>
    </row>
    <row r="885">
      <c r="A885" s="20"/>
      <c r="B885" s="20"/>
      <c r="C885" s="20"/>
      <c r="D885" s="46"/>
      <c r="E885" s="20"/>
      <c r="F885" s="20"/>
      <c r="G885" s="20"/>
      <c r="H885" s="20"/>
      <c r="I885" s="20"/>
      <c r="J885" s="45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9"/>
      <c r="AQ885" s="29"/>
      <c r="AR885" s="29"/>
      <c r="AS885" s="29"/>
      <c r="AT885" s="29"/>
      <c r="AU885" s="29"/>
      <c r="AV885" s="29"/>
      <c r="AW885" s="29"/>
      <c r="AX885" s="29"/>
    </row>
    <row r="886">
      <c r="A886" s="20"/>
      <c r="B886" s="20"/>
      <c r="C886" s="20"/>
      <c r="D886" s="46"/>
      <c r="E886" s="20"/>
      <c r="F886" s="20"/>
      <c r="G886" s="20"/>
      <c r="H886" s="20"/>
      <c r="I886" s="20"/>
      <c r="J886" s="45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9"/>
      <c r="AQ886" s="29"/>
      <c r="AR886" s="29"/>
      <c r="AS886" s="29"/>
      <c r="AT886" s="29"/>
      <c r="AU886" s="29"/>
      <c r="AV886" s="29"/>
      <c r="AW886" s="29"/>
      <c r="AX886" s="29"/>
    </row>
    <row r="887">
      <c r="A887" s="20"/>
      <c r="B887" s="20"/>
      <c r="C887" s="20"/>
      <c r="D887" s="46"/>
      <c r="E887" s="20"/>
      <c r="F887" s="20"/>
      <c r="G887" s="20"/>
      <c r="H887" s="20"/>
      <c r="I887" s="20"/>
      <c r="J887" s="45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9"/>
      <c r="AQ887" s="29"/>
      <c r="AR887" s="29"/>
      <c r="AS887" s="29"/>
      <c r="AT887" s="29"/>
      <c r="AU887" s="29"/>
      <c r="AV887" s="29"/>
      <c r="AW887" s="29"/>
      <c r="AX887" s="29"/>
    </row>
    <row r="888">
      <c r="A888" s="20"/>
      <c r="B888" s="20"/>
      <c r="C888" s="20"/>
      <c r="D888" s="46"/>
      <c r="E888" s="20"/>
      <c r="F888" s="20"/>
      <c r="G888" s="20"/>
      <c r="H888" s="20"/>
      <c r="I888" s="20"/>
      <c r="J888" s="45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9"/>
      <c r="AQ888" s="29"/>
      <c r="AR888" s="29"/>
      <c r="AS888" s="29"/>
      <c r="AT888" s="29"/>
      <c r="AU888" s="29"/>
      <c r="AV888" s="29"/>
      <c r="AW888" s="29"/>
      <c r="AX888" s="29"/>
    </row>
    <row r="889">
      <c r="A889" s="20"/>
      <c r="B889" s="20"/>
      <c r="C889" s="20"/>
      <c r="D889" s="46"/>
      <c r="E889" s="20"/>
      <c r="F889" s="20"/>
      <c r="G889" s="20"/>
      <c r="H889" s="20"/>
      <c r="I889" s="20"/>
      <c r="J889" s="45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9"/>
      <c r="AQ889" s="29"/>
      <c r="AR889" s="29"/>
      <c r="AS889" s="29"/>
      <c r="AT889" s="29"/>
      <c r="AU889" s="29"/>
      <c r="AV889" s="29"/>
      <c r="AW889" s="29"/>
      <c r="AX889" s="29"/>
    </row>
    <row r="890">
      <c r="A890" s="20"/>
      <c r="B890" s="20"/>
      <c r="C890" s="20"/>
      <c r="D890" s="46"/>
      <c r="E890" s="20"/>
      <c r="F890" s="20"/>
      <c r="G890" s="20"/>
      <c r="H890" s="20"/>
      <c r="I890" s="20"/>
      <c r="J890" s="45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9"/>
      <c r="AQ890" s="29"/>
      <c r="AR890" s="29"/>
      <c r="AS890" s="29"/>
      <c r="AT890" s="29"/>
      <c r="AU890" s="29"/>
      <c r="AV890" s="29"/>
      <c r="AW890" s="29"/>
      <c r="AX890" s="29"/>
    </row>
    <row r="891">
      <c r="A891" s="20"/>
      <c r="B891" s="20"/>
      <c r="C891" s="20"/>
      <c r="D891" s="46"/>
      <c r="E891" s="20"/>
      <c r="F891" s="20"/>
      <c r="G891" s="20"/>
      <c r="H891" s="20"/>
      <c r="I891" s="20"/>
      <c r="J891" s="45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9"/>
      <c r="AQ891" s="29"/>
      <c r="AR891" s="29"/>
      <c r="AS891" s="29"/>
      <c r="AT891" s="29"/>
      <c r="AU891" s="29"/>
      <c r="AV891" s="29"/>
      <c r="AW891" s="29"/>
      <c r="AX891" s="29"/>
    </row>
    <row r="892">
      <c r="A892" s="20"/>
      <c r="B892" s="20"/>
      <c r="C892" s="20"/>
      <c r="D892" s="46"/>
      <c r="E892" s="20"/>
      <c r="F892" s="20"/>
      <c r="G892" s="20"/>
      <c r="H892" s="20"/>
      <c r="I892" s="20"/>
      <c r="J892" s="45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9"/>
      <c r="AQ892" s="29"/>
      <c r="AR892" s="29"/>
      <c r="AS892" s="29"/>
      <c r="AT892" s="29"/>
      <c r="AU892" s="29"/>
      <c r="AV892" s="29"/>
      <c r="AW892" s="29"/>
      <c r="AX892" s="29"/>
    </row>
    <row r="893">
      <c r="A893" s="20"/>
      <c r="B893" s="20"/>
      <c r="C893" s="20"/>
      <c r="D893" s="46"/>
      <c r="E893" s="20"/>
      <c r="F893" s="20"/>
      <c r="G893" s="20"/>
      <c r="H893" s="20"/>
      <c r="I893" s="20"/>
      <c r="J893" s="45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9"/>
      <c r="AQ893" s="29"/>
      <c r="AR893" s="29"/>
      <c r="AS893" s="29"/>
      <c r="AT893" s="29"/>
      <c r="AU893" s="29"/>
      <c r="AV893" s="29"/>
      <c r="AW893" s="29"/>
      <c r="AX893" s="29"/>
    </row>
    <row r="894">
      <c r="A894" s="20"/>
      <c r="B894" s="20"/>
      <c r="C894" s="20"/>
      <c r="D894" s="46"/>
      <c r="E894" s="20"/>
      <c r="F894" s="20"/>
      <c r="G894" s="20"/>
      <c r="H894" s="20"/>
      <c r="I894" s="20"/>
      <c r="J894" s="45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9"/>
      <c r="AQ894" s="29"/>
      <c r="AR894" s="29"/>
      <c r="AS894" s="29"/>
      <c r="AT894" s="29"/>
      <c r="AU894" s="29"/>
      <c r="AV894" s="29"/>
      <c r="AW894" s="29"/>
      <c r="AX894" s="29"/>
    </row>
    <row r="895">
      <c r="A895" s="20"/>
      <c r="B895" s="20"/>
      <c r="C895" s="20"/>
      <c r="D895" s="46"/>
      <c r="E895" s="20"/>
      <c r="F895" s="20"/>
      <c r="G895" s="20"/>
      <c r="H895" s="20"/>
      <c r="I895" s="20"/>
      <c r="J895" s="45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9"/>
      <c r="AQ895" s="29"/>
      <c r="AR895" s="29"/>
      <c r="AS895" s="29"/>
      <c r="AT895" s="29"/>
      <c r="AU895" s="29"/>
      <c r="AV895" s="29"/>
      <c r="AW895" s="29"/>
      <c r="AX895" s="29"/>
    </row>
    <row r="896">
      <c r="A896" s="20"/>
      <c r="B896" s="20"/>
      <c r="C896" s="20"/>
      <c r="D896" s="46"/>
      <c r="E896" s="20"/>
      <c r="F896" s="20"/>
      <c r="G896" s="20"/>
      <c r="H896" s="20"/>
      <c r="I896" s="20"/>
      <c r="J896" s="45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9"/>
      <c r="AQ896" s="29"/>
      <c r="AR896" s="29"/>
      <c r="AS896" s="29"/>
      <c r="AT896" s="29"/>
      <c r="AU896" s="29"/>
      <c r="AV896" s="29"/>
      <c r="AW896" s="29"/>
      <c r="AX896" s="29"/>
    </row>
    <row r="897">
      <c r="A897" s="20"/>
      <c r="B897" s="20"/>
      <c r="C897" s="20"/>
      <c r="D897" s="46"/>
      <c r="E897" s="20"/>
      <c r="F897" s="20"/>
      <c r="G897" s="20"/>
      <c r="H897" s="20"/>
      <c r="I897" s="20"/>
      <c r="J897" s="45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9"/>
      <c r="AQ897" s="29"/>
      <c r="AR897" s="29"/>
      <c r="AS897" s="29"/>
      <c r="AT897" s="29"/>
      <c r="AU897" s="29"/>
      <c r="AV897" s="29"/>
      <c r="AW897" s="29"/>
      <c r="AX897" s="29"/>
    </row>
    <row r="898">
      <c r="A898" s="20"/>
      <c r="B898" s="20"/>
      <c r="C898" s="20"/>
      <c r="D898" s="46"/>
      <c r="E898" s="20"/>
      <c r="F898" s="20"/>
      <c r="G898" s="20"/>
      <c r="H898" s="20"/>
      <c r="I898" s="20"/>
      <c r="J898" s="45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9"/>
      <c r="AQ898" s="29"/>
      <c r="AR898" s="29"/>
      <c r="AS898" s="29"/>
      <c r="AT898" s="29"/>
      <c r="AU898" s="29"/>
      <c r="AV898" s="29"/>
      <c r="AW898" s="29"/>
      <c r="AX898" s="29"/>
    </row>
    <row r="899">
      <c r="A899" s="20"/>
      <c r="B899" s="20"/>
      <c r="C899" s="20"/>
      <c r="D899" s="46"/>
      <c r="E899" s="20"/>
      <c r="F899" s="20"/>
      <c r="G899" s="20"/>
      <c r="H899" s="20"/>
      <c r="I899" s="20"/>
      <c r="J899" s="45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9"/>
      <c r="AQ899" s="29"/>
      <c r="AR899" s="29"/>
      <c r="AS899" s="29"/>
      <c r="AT899" s="29"/>
      <c r="AU899" s="29"/>
      <c r="AV899" s="29"/>
      <c r="AW899" s="29"/>
      <c r="AX899" s="29"/>
    </row>
    <row r="900">
      <c r="A900" s="20"/>
      <c r="B900" s="20"/>
      <c r="C900" s="20"/>
      <c r="D900" s="46"/>
      <c r="E900" s="20"/>
      <c r="F900" s="20"/>
      <c r="G900" s="20"/>
      <c r="H900" s="20"/>
      <c r="I900" s="20"/>
      <c r="J900" s="45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9"/>
      <c r="AQ900" s="29"/>
      <c r="AR900" s="29"/>
      <c r="AS900" s="29"/>
      <c r="AT900" s="29"/>
      <c r="AU900" s="29"/>
      <c r="AV900" s="29"/>
      <c r="AW900" s="29"/>
      <c r="AX900" s="29"/>
    </row>
    <row r="901">
      <c r="A901" s="20"/>
      <c r="B901" s="20"/>
      <c r="C901" s="20"/>
      <c r="D901" s="46"/>
      <c r="E901" s="20"/>
      <c r="F901" s="20"/>
      <c r="G901" s="20"/>
      <c r="H901" s="20"/>
      <c r="I901" s="20"/>
      <c r="J901" s="45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9"/>
      <c r="AQ901" s="29"/>
      <c r="AR901" s="29"/>
      <c r="AS901" s="29"/>
      <c r="AT901" s="29"/>
      <c r="AU901" s="29"/>
      <c r="AV901" s="29"/>
      <c r="AW901" s="29"/>
      <c r="AX901" s="29"/>
    </row>
    <row r="902">
      <c r="A902" s="20"/>
      <c r="B902" s="20"/>
      <c r="C902" s="20"/>
      <c r="D902" s="46"/>
      <c r="E902" s="20"/>
      <c r="F902" s="20"/>
      <c r="G902" s="20"/>
      <c r="H902" s="20"/>
      <c r="I902" s="20"/>
      <c r="J902" s="45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9"/>
      <c r="AQ902" s="29"/>
      <c r="AR902" s="29"/>
      <c r="AS902" s="29"/>
      <c r="AT902" s="29"/>
      <c r="AU902" s="29"/>
      <c r="AV902" s="29"/>
      <c r="AW902" s="29"/>
      <c r="AX902" s="29"/>
    </row>
    <row r="903">
      <c r="A903" s="20"/>
      <c r="B903" s="20"/>
      <c r="C903" s="20"/>
      <c r="D903" s="46"/>
      <c r="E903" s="20"/>
      <c r="F903" s="20"/>
      <c r="G903" s="20"/>
      <c r="H903" s="20"/>
      <c r="I903" s="20"/>
      <c r="J903" s="45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9"/>
      <c r="AQ903" s="29"/>
      <c r="AR903" s="29"/>
      <c r="AS903" s="29"/>
      <c r="AT903" s="29"/>
      <c r="AU903" s="29"/>
      <c r="AV903" s="29"/>
      <c r="AW903" s="29"/>
      <c r="AX903" s="29"/>
    </row>
    <row r="904">
      <c r="A904" s="20"/>
      <c r="B904" s="20"/>
      <c r="C904" s="20"/>
      <c r="D904" s="46"/>
      <c r="E904" s="20"/>
      <c r="F904" s="20"/>
      <c r="G904" s="20"/>
      <c r="H904" s="20"/>
      <c r="I904" s="20"/>
      <c r="J904" s="45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9"/>
      <c r="AQ904" s="29"/>
      <c r="AR904" s="29"/>
      <c r="AS904" s="29"/>
      <c r="AT904" s="29"/>
      <c r="AU904" s="29"/>
      <c r="AV904" s="29"/>
      <c r="AW904" s="29"/>
      <c r="AX904" s="29"/>
    </row>
    <row r="905">
      <c r="A905" s="20"/>
      <c r="B905" s="20"/>
      <c r="C905" s="20"/>
      <c r="D905" s="46"/>
      <c r="E905" s="20"/>
      <c r="F905" s="20"/>
      <c r="G905" s="20"/>
      <c r="H905" s="20"/>
      <c r="I905" s="20"/>
      <c r="J905" s="45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9"/>
      <c r="AQ905" s="29"/>
      <c r="AR905" s="29"/>
      <c r="AS905" s="29"/>
      <c r="AT905" s="29"/>
      <c r="AU905" s="29"/>
      <c r="AV905" s="29"/>
      <c r="AW905" s="29"/>
      <c r="AX905" s="29"/>
    </row>
    <row r="906">
      <c r="A906" s="20"/>
      <c r="B906" s="20"/>
      <c r="C906" s="20"/>
      <c r="D906" s="46"/>
      <c r="E906" s="20"/>
      <c r="F906" s="20"/>
      <c r="G906" s="20"/>
      <c r="H906" s="20"/>
      <c r="I906" s="20"/>
      <c r="J906" s="45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9"/>
      <c r="AQ906" s="29"/>
      <c r="AR906" s="29"/>
      <c r="AS906" s="29"/>
      <c r="AT906" s="29"/>
      <c r="AU906" s="29"/>
      <c r="AV906" s="29"/>
      <c r="AW906" s="29"/>
      <c r="AX906" s="29"/>
    </row>
    <row r="907">
      <c r="A907" s="20"/>
      <c r="B907" s="20"/>
      <c r="C907" s="20"/>
      <c r="D907" s="46"/>
      <c r="E907" s="20"/>
      <c r="F907" s="20"/>
      <c r="G907" s="20"/>
      <c r="H907" s="20"/>
      <c r="I907" s="20"/>
      <c r="J907" s="45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9"/>
      <c r="AQ907" s="29"/>
      <c r="AR907" s="29"/>
      <c r="AS907" s="29"/>
      <c r="AT907" s="29"/>
      <c r="AU907" s="29"/>
      <c r="AV907" s="29"/>
      <c r="AW907" s="29"/>
      <c r="AX907" s="29"/>
    </row>
    <row r="908">
      <c r="A908" s="20"/>
      <c r="B908" s="20"/>
      <c r="C908" s="20"/>
      <c r="D908" s="46"/>
      <c r="E908" s="20"/>
      <c r="F908" s="20"/>
      <c r="G908" s="20"/>
      <c r="H908" s="20"/>
      <c r="I908" s="20"/>
      <c r="J908" s="45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9"/>
      <c r="AQ908" s="29"/>
      <c r="AR908" s="29"/>
      <c r="AS908" s="29"/>
      <c r="AT908" s="29"/>
      <c r="AU908" s="29"/>
      <c r="AV908" s="29"/>
      <c r="AW908" s="29"/>
      <c r="AX908" s="29"/>
    </row>
    <row r="909">
      <c r="A909" s="20"/>
      <c r="B909" s="20"/>
      <c r="C909" s="20"/>
      <c r="D909" s="46"/>
      <c r="E909" s="20"/>
      <c r="F909" s="20"/>
      <c r="G909" s="20"/>
      <c r="H909" s="20"/>
      <c r="I909" s="20"/>
      <c r="J909" s="45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9"/>
      <c r="AQ909" s="29"/>
      <c r="AR909" s="29"/>
      <c r="AS909" s="29"/>
      <c r="AT909" s="29"/>
      <c r="AU909" s="29"/>
      <c r="AV909" s="29"/>
      <c r="AW909" s="29"/>
      <c r="AX909" s="29"/>
    </row>
    <row r="910">
      <c r="A910" s="20"/>
      <c r="B910" s="20"/>
      <c r="C910" s="20"/>
      <c r="D910" s="46"/>
      <c r="E910" s="20"/>
      <c r="F910" s="20"/>
      <c r="G910" s="20"/>
      <c r="H910" s="20"/>
      <c r="I910" s="20"/>
      <c r="J910" s="45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9"/>
      <c r="AQ910" s="29"/>
      <c r="AR910" s="29"/>
      <c r="AS910" s="29"/>
      <c r="AT910" s="29"/>
      <c r="AU910" s="29"/>
      <c r="AV910" s="29"/>
      <c r="AW910" s="29"/>
      <c r="AX910" s="29"/>
    </row>
    <row r="911">
      <c r="A911" s="20"/>
      <c r="B911" s="20"/>
      <c r="C911" s="20"/>
      <c r="D911" s="46"/>
      <c r="E911" s="20"/>
      <c r="F911" s="20"/>
      <c r="G911" s="20"/>
      <c r="H911" s="20"/>
      <c r="I911" s="20"/>
      <c r="J911" s="45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9"/>
      <c r="AQ911" s="29"/>
      <c r="AR911" s="29"/>
      <c r="AS911" s="29"/>
      <c r="AT911" s="29"/>
      <c r="AU911" s="29"/>
      <c r="AV911" s="29"/>
      <c r="AW911" s="29"/>
      <c r="AX911" s="29"/>
    </row>
    <row r="912">
      <c r="A912" s="20"/>
      <c r="B912" s="20"/>
      <c r="C912" s="20"/>
      <c r="D912" s="46"/>
      <c r="E912" s="20"/>
      <c r="F912" s="20"/>
      <c r="G912" s="20"/>
      <c r="H912" s="20"/>
      <c r="I912" s="20"/>
      <c r="J912" s="45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9"/>
      <c r="AQ912" s="29"/>
      <c r="AR912" s="29"/>
      <c r="AS912" s="29"/>
      <c r="AT912" s="29"/>
      <c r="AU912" s="29"/>
      <c r="AV912" s="29"/>
      <c r="AW912" s="29"/>
      <c r="AX912" s="29"/>
    </row>
    <row r="913">
      <c r="A913" s="20"/>
      <c r="B913" s="20"/>
      <c r="C913" s="20"/>
      <c r="D913" s="46"/>
      <c r="E913" s="20"/>
      <c r="F913" s="20"/>
      <c r="G913" s="20"/>
      <c r="H913" s="20"/>
      <c r="I913" s="20"/>
      <c r="J913" s="45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9"/>
      <c r="AQ913" s="29"/>
      <c r="AR913" s="29"/>
      <c r="AS913" s="29"/>
      <c r="AT913" s="29"/>
      <c r="AU913" s="29"/>
      <c r="AV913" s="29"/>
      <c r="AW913" s="29"/>
      <c r="AX913" s="29"/>
    </row>
    <row r="914">
      <c r="A914" s="20"/>
      <c r="B914" s="20"/>
      <c r="C914" s="20"/>
      <c r="D914" s="46"/>
      <c r="E914" s="20"/>
      <c r="F914" s="20"/>
      <c r="G914" s="20"/>
      <c r="H914" s="20"/>
      <c r="I914" s="20"/>
      <c r="J914" s="45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9"/>
      <c r="AQ914" s="29"/>
      <c r="AR914" s="29"/>
      <c r="AS914" s="29"/>
      <c r="AT914" s="29"/>
      <c r="AU914" s="29"/>
      <c r="AV914" s="29"/>
      <c r="AW914" s="29"/>
      <c r="AX914" s="29"/>
    </row>
    <row r="915">
      <c r="A915" s="20"/>
      <c r="B915" s="20"/>
      <c r="C915" s="20"/>
      <c r="D915" s="46"/>
      <c r="E915" s="20"/>
      <c r="F915" s="20"/>
      <c r="G915" s="20"/>
      <c r="H915" s="20"/>
      <c r="I915" s="20"/>
      <c r="J915" s="45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9"/>
      <c r="AQ915" s="29"/>
      <c r="AR915" s="29"/>
      <c r="AS915" s="29"/>
      <c r="AT915" s="29"/>
      <c r="AU915" s="29"/>
      <c r="AV915" s="29"/>
      <c r="AW915" s="29"/>
      <c r="AX915" s="29"/>
    </row>
    <row r="916">
      <c r="A916" s="20"/>
      <c r="B916" s="20"/>
      <c r="C916" s="20"/>
      <c r="D916" s="46"/>
      <c r="E916" s="20"/>
      <c r="F916" s="20"/>
      <c r="G916" s="20"/>
      <c r="H916" s="20"/>
      <c r="I916" s="20"/>
      <c r="J916" s="45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9"/>
      <c r="AQ916" s="29"/>
      <c r="AR916" s="29"/>
      <c r="AS916" s="29"/>
      <c r="AT916" s="29"/>
      <c r="AU916" s="29"/>
      <c r="AV916" s="29"/>
      <c r="AW916" s="29"/>
      <c r="AX916" s="29"/>
    </row>
    <row r="917">
      <c r="A917" s="20"/>
      <c r="B917" s="20"/>
      <c r="C917" s="20"/>
      <c r="D917" s="46"/>
      <c r="E917" s="20"/>
      <c r="F917" s="20"/>
      <c r="G917" s="20"/>
      <c r="H917" s="20"/>
      <c r="I917" s="20"/>
      <c r="J917" s="45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9"/>
      <c r="AQ917" s="29"/>
      <c r="AR917" s="29"/>
      <c r="AS917" s="29"/>
      <c r="AT917" s="29"/>
      <c r="AU917" s="29"/>
      <c r="AV917" s="29"/>
      <c r="AW917" s="29"/>
      <c r="AX917" s="29"/>
    </row>
    <row r="918">
      <c r="A918" s="20"/>
      <c r="B918" s="20"/>
      <c r="C918" s="20"/>
      <c r="D918" s="46"/>
      <c r="E918" s="20"/>
      <c r="F918" s="20"/>
      <c r="G918" s="20"/>
      <c r="H918" s="20"/>
      <c r="I918" s="20"/>
      <c r="J918" s="45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9"/>
      <c r="AQ918" s="29"/>
      <c r="AR918" s="29"/>
      <c r="AS918" s="29"/>
      <c r="AT918" s="29"/>
      <c r="AU918" s="29"/>
      <c r="AV918" s="29"/>
      <c r="AW918" s="29"/>
      <c r="AX918" s="29"/>
    </row>
    <row r="919">
      <c r="A919" s="20"/>
      <c r="B919" s="20"/>
      <c r="C919" s="20"/>
      <c r="D919" s="46"/>
      <c r="E919" s="20"/>
      <c r="F919" s="20"/>
      <c r="G919" s="20"/>
      <c r="H919" s="20"/>
      <c r="I919" s="20"/>
      <c r="J919" s="45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9"/>
      <c r="AQ919" s="29"/>
      <c r="AR919" s="29"/>
      <c r="AS919" s="29"/>
      <c r="AT919" s="29"/>
      <c r="AU919" s="29"/>
      <c r="AV919" s="29"/>
      <c r="AW919" s="29"/>
      <c r="AX919" s="29"/>
    </row>
    <row r="920">
      <c r="A920" s="20"/>
      <c r="B920" s="20"/>
      <c r="C920" s="20"/>
      <c r="D920" s="46"/>
      <c r="E920" s="20"/>
      <c r="F920" s="20"/>
      <c r="G920" s="20"/>
      <c r="H920" s="20"/>
      <c r="I920" s="20"/>
      <c r="J920" s="45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9"/>
      <c r="AQ920" s="29"/>
      <c r="AR920" s="29"/>
      <c r="AS920" s="29"/>
      <c r="AT920" s="29"/>
      <c r="AU920" s="29"/>
      <c r="AV920" s="29"/>
      <c r="AW920" s="29"/>
      <c r="AX920" s="29"/>
    </row>
    <row r="921">
      <c r="A921" s="20"/>
      <c r="B921" s="20"/>
      <c r="C921" s="20"/>
      <c r="D921" s="46"/>
      <c r="E921" s="20"/>
      <c r="F921" s="20"/>
      <c r="G921" s="20"/>
      <c r="H921" s="20"/>
      <c r="I921" s="20"/>
      <c r="J921" s="45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9"/>
      <c r="AQ921" s="29"/>
      <c r="AR921" s="29"/>
      <c r="AS921" s="29"/>
      <c r="AT921" s="29"/>
      <c r="AU921" s="29"/>
      <c r="AV921" s="29"/>
      <c r="AW921" s="29"/>
      <c r="AX921" s="29"/>
    </row>
    <row r="922">
      <c r="A922" s="20"/>
      <c r="B922" s="20"/>
      <c r="C922" s="20"/>
      <c r="D922" s="46"/>
      <c r="E922" s="20"/>
      <c r="F922" s="20"/>
      <c r="G922" s="20"/>
      <c r="H922" s="20"/>
      <c r="I922" s="20"/>
      <c r="J922" s="45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9"/>
      <c r="AQ922" s="29"/>
      <c r="AR922" s="29"/>
      <c r="AS922" s="29"/>
      <c r="AT922" s="29"/>
      <c r="AU922" s="29"/>
      <c r="AV922" s="29"/>
      <c r="AW922" s="29"/>
      <c r="AX922" s="29"/>
    </row>
    <row r="923">
      <c r="A923" s="20"/>
      <c r="B923" s="20"/>
      <c r="C923" s="20"/>
      <c r="D923" s="46"/>
      <c r="E923" s="20"/>
      <c r="F923" s="20"/>
      <c r="G923" s="20"/>
      <c r="H923" s="20"/>
      <c r="I923" s="20"/>
      <c r="J923" s="45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9"/>
      <c r="AQ923" s="29"/>
      <c r="AR923" s="29"/>
      <c r="AS923" s="29"/>
      <c r="AT923" s="29"/>
      <c r="AU923" s="29"/>
      <c r="AV923" s="29"/>
      <c r="AW923" s="29"/>
      <c r="AX923" s="29"/>
    </row>
    <row r="924">
      <c r="A924" s="20"/>
      <c r="B924" s="20"/>
      <c r="C924" s="20"/>
      <c r="D924" s="46"/>
      <c r="E924" s="20"/>
      <c r="F924" s="20"/>
      <c r="G924" s="20"/>
      <c r="H924" s="20"/>
      <c r="I924" s="20"/>
      <c r="J924" s="45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9"/>
      <c r="AQ924" s="29"/>
      <c r="AR924" s="29"/>
      <c r="AS924" s="29"/>
      <c r="AT924" s="29"/>
      <c r="AU924" s="29"/>
      <c r="AV924" s="29"/>
      <c r="AW924" s="29"/>
      <c r="AX924" s="29"/>
    </row>
    <row r="925">
      <c r="A925" s="20"/>
      <c r="B925" s="20"/>
      <c r="C925" s="20"/>
      <c r="D925" s="46"/>
      <c r="E925" s="20"/>
      <c r="F925" s="20"/>
      <c r="G925" s="20"/>
      <c r="H925" s="20"/>
      <c r="I925" s="20"/>
      <c r="J925" s="45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9"/>
      <c r="AQ925" s="29"/>
      <c r="AR925" s="29"/>
      <c r="AS925" s="29"/>
      <c r="AT925" s="29"/>
      <c r="AU925" s="29"/>
      <c r="AV925" s="29"/>
      <c r="AW925" s="29"/>
      <c r="AX925" s="29"/>
    </row>
    <row r="926">
      <c r="A926" s="20"/>
      <c r="B926" s="20"/>
      <c r="C926" s="20"/>
      <c r="D926" s="46"/>
      <c r="E926" s="20"/>
      <c r="F926" s="20"/>
      <c r="G926" s="20"/>
      <c r="H926" s="20"/>
      <c r="I926" s="20"/>
      <c r="J926" s="45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9"/>
      <c r="AQ926" s="29"/>
      <c r="AR926" s="29"/>
      <c r="AS926" s="29"/>
      <c r="AT926" s="29"/>
      <c r="AU926" s="29"/>
      <c r="AV926" s="29"/>
      <c r="AW926" s="29"/>
      <c r="AX926" s="29"/>
    </row>
    <row r="927">
      <c r="A927" s="20"/>
      <c r="B927" s="20"/>
      <c r="C927" s="20"/>
      <c r="D927" s="46"/>
      <c r="E927" s="20"/>
      <c r="F927" s="20"/>
      <c r="G927" s="20"/>
      <c r="H927" s="20"/>
      <c r="I927" s="20"/>
      <c r="J927" s="45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9"/>
      <c r="AQ927" s="29"/>
      <c r="AR927" s="29"/>
      <c r="AS927" s="29"/>
      <c r="AT927" s="29"/>
      <c r="AU927" s="29"/>
      <c r="AV927" s="29"/>
      <c r="AW927" s="29"/>
      <c r="AX927" s="29"/>
    </row>
    <row r="928">
      <c r="A928" s="20"/>
      <c r="B928" s="20"/>
      <c r="C928" s="20"/>
      <c r="D928" s="46"/>
      <c r="E928" s="20"/>
      <c r="F928" s="20"/>
      <c r="G928" s="20"/>
      <c r="H928" s="20"/>
      <c r="I928" s="20"/>
      <c r="J928" s="45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9"/>
      <c r="AQ928" s="29"/>
      <c r="AR928" s="29"/>
      <c r="AS928" s="29"/>
      <c r="AT928" s="29"/>
      <c r="AU928" s="29"/>
      <c r="AV928" s="29"/>
      <c r="AW928" s="29"/>
      <c r="AX928" s="29"/>
    </row>
    <row r="929">
      <c r="A929" s="20"/>
      <c r="B929" s="20"/>
      <c r="C929" s="20"/>
      <c r="D929" s="46"/>
      <c r="E929" s="20"/>
      <c r="F929" s="20"/>
      <c r="G929" s="20"/>
      <c r="H929" s="20"/>
      <c r="I929" s="20"/>
      <c r="J929" s="45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9"/>
      <c r="AQ929" s="29"/>
      <c r="AR929" s="29"/>
      <c r="AS929" s="29"/>
      <c r="AT929" s="29"/>
      <c r="AU929" s="29"/>
      <c r="AV929" s="29"/>
      <c r="AW929" s="29"/>
      <c r="AX929" s="29"/>
    </row>
    <row r="930">
      <c r="A930" s="20"/>
      <c r="B930" s="20"/>
      <c r="C930" s="20"/>
      <c r="D930" s="46"/>
      <c r="E930" s="20"/>
      <c r="F930" s="20"/>
      <c r="G930" s="20"/>
      <c r="H930" s="20"/>
      <c r="I930" s="20"/>
      <c r="J930" s="45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9"/>
      <c r="AQ930" s="29"/>
      <c r="AR930" s="29"/>
      <c r="AS930" s="29"/>
      <c r="AT930" s="29"/>
      <c r="AU930" s="29"/>
      <c r="AV930" s="29"/>
      <c r="AW930" s="29"/>
      <c r="AX930" s="29"/>
    </row>
    <row r="931">
      <c r="A931" s="20"/>
      <c r="B931" s="20"/>
      <c r="C931" s="20"/>
      <c r="D931" s="46"/>
      <c r="E931" s="20"/>
      <c r="F931" s="20"/>
      <c r="G931" s="20"/>
      <c r="H931" s="20"/>
      <c r="I931" s="20"/>
      <c r="J931" s="45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9"/>
      <c r="AQ931" s="29"/>
      <c r="AR931" s="29"/>
      <c r="AS931" s="29"/>
      <c r="AT931" s="29"/>
      <c r="AU931" s="29"/>
      <c r="AV931" s="29"/>
      <c r="AW931" s="29"/>
      <c r="AX931" s="29"/>
    </row>
    <row r="932">
      <c r="A932" s="20"/>
      <c r="B932" s="20"/>
      <c r="C932" s="20"/>
      <c r="D932" s="46"/>
      <c r="E932" s="20"/>
      <c r="F932" s="20"/>
      <c r="G932" s="20"/>
      <c r="H932" s="20"/>
      <c r="I932" s="20"/>
      <c r="J932" s="45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9"/>
      <c r="AQ932" s="29"/>
      <c r="AR932" s="29"/>
      <c r="AS932" s="29"/>
      <c r="AT932" s="29"/>
      <c r="AU932" s="29"/>
      <c r="AV932" s="29"/>
      <c r="AW932" s="29"/>
      <c r="AX932" s="29"/>
    </row>
    <row r="933">
      <c r="A933" s="20"/>
      <c r="B933" s="20"/>
      <c r="C933" s="20"/>
      <c r="D933" s="46"/>
      <c r="E933" s="20"/>
      <c r="F933" s="20"/>
      <c r="G933" s="20"/>
      <c r="H933" s="20"/>
      <c r="I933" s="20"/>
      <c r="J933" s="45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9"/>
      <c r="AQ933" s="29"/>
      <c r="AR933" s="29"/>
      <c r="AS933" s="29"/>
      <c r="AT933" s="29"/>
      <c r="AU933" s="29"/>
      <c r="AV933" s="29"/>
      <c r="AW933" s="29"/>
      <c r="AX933" s="29"/>
    </row>
    <row r="934">
      <c r="A934" s="20"/>
      <c r="B934" s="20"/>
      <c r="C934" s="20"/>
      <c r="D934" s="46"/>
      <c r="E934" s="20"/>
      <c r="F934" s="20"/>
      <c r="G934" s="20"/>
      <c r="H934" s="20"/>
      <c r="I934" s="20"/>
      <c r="J934" s="45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9"/>
      <c r="AQ934" s="29"/>
      <c r="AR934" s="29"/>
      <c r="AS934" s="29"/>
      <c r="AT934" s="29"/>
      <c r="AU934" s="29"/>
      <c r="AV934" s="29"/>
      <c r="AW934" s="29"/>
      <c r="AX934" s="29"/>
    </row>
    <row r="935">
      <c r="A935" s="20"/>
      <c r="B935" s="20"/>
      <c r="C935" s="20"/>
      <c r="D935" s="46"/>
      <c r="E935" s="20"/>
      <c r="F935" s="20"/>
      <c r="G935" s="20"/>
      <c r="H935" s="20"/>
      <c r="I935" s="20"/>
      <c r="J935" s="45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9"/>
      <c r="AQ935" s="29"/>
      <c r="AR935" s="29"/>
      <c r="AS935" s="29"/>
      <c r="AT935" s="29"/>
      <c r="AU935" s="29"/>
      <c r="AV935" s="29"/>
      <c r="AW935" s="29"/>
      <c r="AX935" s="29"/>
    </row>
    <row r="936">
      <c r="A936" s="20"/>
      <c r="B936" s="20"/>
      <c r="C936" s="20"/>
      <c r="D936" s="46"/>
      <c r="E936" s="20"/>
      <c r="F936" s="20"/>
      <c r="G936" s="20"/>
      <c r="H936" s="20"/>
      <c r="I936" s="20"/>
      <c r="J936" s="45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9"/>
      <c r="AQ936" s="29"/>
      <c r="AR936" s="29"/>
      <c r="AS936" s="29"/>
      <c r="AT936" s="29"/>
      <c r="AU936" s="29"/>
      <c r="AV936" s="29"/>
      <c r="AW936" s="29"/>
      <c r="AX936" s="29"/>
    </row>
    <row r="937">
      <c r="A937" s="20"/>
      <c r="B937" s="20"/>
      <c r="C937" s="20"/>
      <c r="D937" s="46"/>
      <c r="E937" s="20"/>
      <c r="F937" s="20"/>
      <c r="G937" s="20"/>
      <c r="H937" s="20"/>
      <c r="I937" s="20"/>
      <c r="J937" s="45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9"/>
      <c r="AQ937" s="29"/>
      <c r="AR937" s="29"/>
      <c r="AS937" s="29"/>
      <c r="AT937" s="29"/>
      <c r="AU937" s="29"/>
      <c r="AV937" s="29"/>
      <c r="AW937" s="29"/>
      <c r="AX937" s="29"/>
    </row>
    <row r="938">
      <c r="A938" s="20"/>
      <c r="B938" s="20"/>
      <c r="C938" s="20"/>
      <c r="D938" s="46"/>
      <c r="E938" s="20"/>
      <c r="F938" s="20"/>
      <c r="G938" s="20"/>
      <c r="H938" s="20"/>
      <c r="I938" s="20"/>
      <c r="J938" s="45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9"/>
      <c r="AQ938" s="29"/>
      <c r="AR938" s="29"/>
      <c r="AS938" s="29"/>
      <c r="AT938" s="29"/>
      <c r="AU938" s="29"/>
      <c r="AV938" s="29"/>
      <c r="AW938" s="29"/>
      <c r="AX938" s="29"/>
    </row>
    <row r="939">
      <c r="A939" s="20"/>
      <c r="B939" s="20"/>
      <c r="C939" s="20"/>
      <c r="D939" s="46"/>
      <c r="E939" s="20"/>
      <c r="F939" s="20"/>
      <c r="G939" s="20"/>
      <c r="H939" s="20"/>
      <c r="I939" s="20"/>
      <c r="J939" s="45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9"/>
      <c r="AQ939" s="29"/>
      <c r="AR939" s="29"/>
      <c r="AS939" s="29"/>
      <c r="AT939" s="29"/>
      <c r="AU939" s="29"/>
      <c r="AV939" s="29"/>
      <c r="AW939" s="29"/>
      <c r="AX939" s="29"/>
    </row>
    <row r="940">
      <c r="A940" s="20"/>
      <c r="B940" s="20"/>
      <c r="C940" s="20"/>
      <c r="D940" s="46"/>
      <c r="E940" s="20"/>
      <c r="F940" s="20"/>
      <c r="G940" s="20"/>
      <c r="H940" s="20"/>
      <c r="I940" s="20"/>
      <c r="J940" s="45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9"/>
      <c r="AQ940" s="29"/>
      <c r="AR940" s="29"/>
      <c r="AS940" s="29"/>
      <c r="AT940" s="29"/>
      <c r="AU940" s="29"/>
      <c r="AV940" s="29"/>
      <c r="AW940" s="29"/>
      <c r="AX940" s="29"/>
    </row>
    <row r="941">
      <c r="A941" s="20"/>
      <c r="B941" s="20"/>
      <c r="C941" s="20"/>
      <c r="D941" s="46"/>
      <c r="E941" s="20"/>
      <c r="F941" s="20"/>
      <c r="G941" s="20"/>
      <c r="H941" s="20"/>
      <c r="I941" s="20"/>
      <c r="J941" s="45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9"/>
      <c r="AQ941" s="29"/>
      <c r="AR941" s="29"/>
      <c r="AS941" s="29"/>
      <c r="AT941" s="29"/>
      <c r="AU941" s="29"/>
      <c r="AV941" s="29"/>
      <c r="AW941" s="29"/>
      <c r="AX941" s="29"/>
    </row>
    <row r="942">
      <c r="A942" s="20"/>
      <c r="B942" s="20"/>
      <c r="C942" s="20"/>
      <c r="D942" s="46"/>
      <c r="E942" s="20"/>
      <c r="F942" s="20"/>
      <c r="G942" s="20"/>
      <c r="H942" s="20"/>
      <c r="I942" s="20"/>
      <c r="J942" s="45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9"/>
      <c r="AQ942" s="29"/>
      <c r="AR942" s="29"/>
      <c r="AS942" s="29"/>
      <c r="AT942" s="29"/>
      <c r="AU942" s="29"/>
      <c r="AV942" s="29"/>
      <c r="AW942" s="29"/>
      <c r="AX942" s="29"/>
    </row>
    <row r="943">
      <c r="A943" s="20"/>
      <c r="B943" s="20"/>
      <c r="C943" s="20"/>
      <c r="D943" s="46"/>
      <c r="E943" s="20"/>
      <c r="F943" s="20"/>
      <c r="G943" s="20"/>
      <c r="H943" s="20"/>
      <c r="I943" s="20"/>
      <c r="J943" s="45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9"/>
      <c r="AQ943" s="29"/>
      <c r="AR943" s="29"/>
      <c r="AS943" s="29"/>
      <c r="AT943" s="29"/>
      <c r="AU943" s="29"/>
      <c r="AV943" s="29"/>
      <c r="AW943" s="29"/>
      <c r="AX943" s="29"/>
    </row>
    <row r="944">
      <c r="A944" s="20"/>
      <c r="B944" s="20"/>
      <c r="C944" s="20"/>
      <c r="D944" s="46"/>
      <c r="E944" s="20"/>
      <c r="F944" s="20"/>
      <c r="G944" s="20"/>
      <c r="H944" s="20"/>
      <c r="I944" s="20"/>
      <c r="J944" s="45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9"/>
      <c r="AQ944" s="29"/>
      <c r="AR944" s="29"/>
      <c r="AS944" s="29"/>
      <c r="AT944" s="29"/>
      <c r="AU944" s="29"/>
      <c r="AV944" s="29"/>
      <c r="AW944" s="29"/>
      <c r="AX944" s="29"/>
    </row>
    <row r="945">
      <c r="A945" s="20"/>
      <c r="B945" s="20"/>
      <c r="C945" s="20"/>
      <c r="D945" s="46"/>
      <c r="E945" s="20"/>
      <c r="F945" s="20"/>
      <c r="G945" s="20"/>
      <c r="H945" s="20"/>
      <c r="I945" s="20"/>
      <c r="J945" s="45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9"/>
      <c r="AQ945" s="29"/>
      <c r="AR945" s="29"/>
      <c r="AS945" s="29"/>
      <c r="AT945" s="29"/>
      <c r="AU945" s="29"/>
      <c r="AV945" s="29"/>
      <c r="AW945" s="29"/>
      <c r="AX945" s="29"/>
    </row>
    <row r="946">
      <c r="A946" s="20"/>
      <c r="B946" s="20"/>
      <c r="C946" s="20"/>
      <c r="D946" s="46"/>
      <c r="E946" s="20"/>
      <c r="F946" s="20"/>
      <c r="G946" s="20"/>
      <c r="H946" s="20"/>
      <c r="I946" s="20"/>
      <c r="J946" s="45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9"/>
      <c r="AQ946" s="29"/>
      <c r="AR946" s="29"/>
      <c r="AS946" s="29"/>
      <c r="AT946" s="29"/>
      <c r="AU946" s="29"/>
      <c r="AV946" s="29"/>
      <c r="AW946" s="29"/>
      <c r="AX946" s="29"/>
    </row>
    <row r="947">
      <c r="A947" s="20"/>
      <c r="B947" s="20"/>
      <c r="C947" s="20"/>
      <c r="D947" s="46"/>
      <c r="E947" s="20"/>
      <c r="F947" s="20"/>
      <c r="G947" s="20"/>
      <c r="H947" s="20"/>
      <c r="I947" s="20"/>
      <c r="J947" s="45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9"/>
      <c r="AQ947" s="29"/>
      <c r="AR947" s="29"/>
      <c r="AS947" s="29"/>
      <c r="AT947" s="29"/>
      <c r="AU947" s="29"/>
      <c r="AV947" s="29"/>
      <c r="AW947" s="29"/>
      <c r="AX947" s="29"/>
    </row>
    <row r="948">
      <c r="A948" s="20"/>
      <c r="B948" s="20"/>
      <c r="C948" s="20"/>
      <c r="D948" s="46"/>
      <c r="E948" s="20"/>
      <c r="F948" s="20"/>
      <c r="G948" s="20"/>
      <c r="H948" s="20"/>
      <c r="I948" s="20"/>
      <c r="J948" s="45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9"/>
      <c r="AQ948" s="29"/>
      <c r="AR948" s="29"/>
      <c r="AS948" s="29"/>
      <c r="AT948" s="29"/>
      <c r="AU948" s="29"/>
      <c r="AV948" s="29"/>
      <c r="AW948" s="29"/>
      <c r="AX948" s="29"/>
    </row>
    <row r="949">
      <c r="A949" s="20"/>
      <c r="B949" s="20"/>
      <c r="C949" s="20"/>
      <c r="D949" s="46"/>
      <c r="E949" s="20"/>
      <c r="F949" s="20"/>
      <c r="G949" s="20"/>
      <c r="H949" s="20"/>
      <c r="I949" s="20"/>
      <c r="J949" s="45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9"/>
      <c r="AQ949" s="29"/>
      <c r="AR949" s="29"/>
      <c r="AS949" s="29"/>
      <c r="AT949" s="29"/>
      <c r="AU949" s="29"/>
      <c r="AV949" s="29"/>
      <c r="AW949" s="29"/>
      <c r="AX949" s="29"/>
    </row>
    <row r="950">
      <c r="A950" s="20"/>
      <c r="B950" s="20"/>
      <c r="C950" s="20"/>
      <c r="D950" s="46"/>
      <c r="E950" s="20"/>
      <c r="F950" s="20"/>
      <c r="G950" s="20"/>
      <c r="H950" s="20"/>
      <c r="I950" s="20"/>
      <c r="J950" s="45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9"/>
      <c r="AQ950" s="29"/>
      <c r="AR950" s="29"/>
      <c r="AS950" s="29"/>
      <c r="AT950" s="29"/>
      <c r="AU950" s="29"/>
      <c r="AV950" s="29"/>
      <c r="AW950" s="29"/>
      <c r="AX950" s="29"/>
    </row>
    <row r="951">
      <c r="A951" s="20"/>
      <c r="B951" s="20"/>
      <c r="C951" s="20"/>
      <c r="D951" s="46"/>
      <c r="E951" s="20"/>
      <c r="F951" s="20"/>
      <c r="G951" s="20"/>
      <c r="H951" s="20"/>
      <c r="I951" s="20"/>
      <c r="J951" s="45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9"/>
      <c r="AQ951" s="29"/>
      <c r="AR951" s="29"/>
      <c r="AS951" s="29"/>
      <c r="AT951" s="29"/>
      <c r="AU951" s="29"/>
      <c r="AV951" s="29"/>
      <c r="AW951" s="29"/>
      <c r="AX951" s="29"/>
    </row>
    <row r="952">
      <c r="A952" s="20"/>
      <c r="B952" s="20"/>
      <c r="C952" s="20"/>
      <c r="D952" s="46"/>
      <c r="E952" s="20"/>
      <c r="F952" s="20"/>
      <c r="G952" s="20"/>
      <c r="H952" s="20"/>
      <c r="I952" s="20"/>
      <c r="J952" s="45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9"/>
      <c r="AQ952" s="29"/>
      <c r="AR952" s="29"/>
      <c r="AS952" s="29"/>
      <c r="AT952" s="29"/>
      <c r="AU952" s="29"/>
      <c r="AV952" s="29"/>
      <c r="AW952" s="29"/>
      <c r="AX952" s="29"/>
    </row>
    <row r="953">
      <c r="A953" s="20"/>
      <c r="B953" s="20"/>
      <c r="C953" s="20"/>
      <c r="D953" s="46"/>
      <c r="E953" s="20"/>
      <c r="F953" s="20"/>
      <c r="G953" s="20"/>
      <c r="H953" s="20"/>
      <c r="I953" s="20"/>
      <c r="J953" s="45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9"/>
      <c r="AQ953" s="29"/>
      <c r="AR953" s="29"/>
      <c r="AS953" s="29"/>
      <c r="AT953" s="29"/>
      <c r="AU953" s="29"/>
      <c r="AV953" s="29"/>
      <c r="AW953" s="29"/>
      <c r="AX953" s="29"/>
    </row>
    <row r="954">
      <c r="A954" s="20"/>
      <c r="B954" s="20"/>
      <c r="C954" s="20"/>
      <c r="D954" s="46"/>
      <c r="E954" s="20"/>
      <c r="F954" s="20"/>
      <c r="G954" s="20"/>
      <c r="H954" s="20"/>
      <c r="I954" s="20"/>
      <c r="J954" s="45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9"/>
      <c r="AQ954" s="29"/>
      <c r="AR954" s="29"/>
      <c r="AS954" s="29"/>
      <c r="AT954" s="29"/>
      <c r="AU954" s="29"/>
      <c r="AV954" s="29"/>
      <c r="AW954" s="29"/>
      <c r="AX954" s="29"/>
    </row>
    <row r="955">
      <c r="A955" s="20"/>
      <c r="B955" s="20"/>
      <c r="C955" s="20"/>
      <c r="D955" s="46"/>
      <c r="E955" s="20"/>
      <c r="F955" s="20"/>
      <c r="G955" s="20"/>
      <c r="H955" s="20"/>
      <c r="I955" s="20"/>
      <c r="J955" s="45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9"/>
      <c r="AQ955" s="29"/>
      <c r="AR955" s="29"/>
      <c r="AS955" s="29"/>
      <c r="AT955" s="29"/>
      <c r="AU955" s="29"/>
      <c r="AV955" s="29"/>
      <c r="AW955" s="29"/>
      <c r="AX955" s="29"/>
    </row>
    <row r="956">
      <c r="A956" s="20"/>
      <c r="B956" s="20"/>
      <c r="C956" s="20"/>
      <c r="D956" s="46"/>
      <c r="E956" s="20"/>
      <c r="F956" s="20"/>
      <c r="G956" s="20"/>
      <c r="H956" s="20"/>
      <c r="I956" s="20"/>
      <c r="J956" s="45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9"/>
      <c r="AQ956" s="29"/>
      <c r="AR956" s="29"/>
      <c r="AS956" s="29"/>
      <c r="AT956" s="29"/>
      <c r="AU956" s="29"/>
      <c r="AV956" s="29"/>
      <c r="AW956" s="29"/>
      <c r="AX956" s="29"/>
    </row>
    <row r="957">
      <c r="A957" s="20"/>
      <c r="B957" s="20"/>
      <c r="C957" s="20"/>
      <c r="D957" s="46"/>
      <c r="E957" s="20"/>
      <c r="F957" s="20"/>
      <c r="G957" s="20"/>
      <c r="H957" s="20"/>
      <c r="I957" s="20"/>
      <c r="J957" s="45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9"/>
      <c r="AQ957" s="29"/>
      <c r="AR957" s="29"/>
      <c r="AS957" s="29"/>
      <c r="AT957" s="29"/>
      <c r="AU957" s="29"/>
      <c r="AV957" s="29"/>
      <c r="AW957" s="29"/>
      <c r="AX957" s="29"/>
    </row>
    <row r="958">
      <c r="A958" s="20"/>
      <c r="B958" s="20"/>
      <c r="C958" s="20"/>
      <c r="D958" s="46"/>
      <c r="E958" s="20"/>
      <c r="F958" s="20"/>
      <c r="G958" s="20"/>
      <c r="H958" s="20"/>
      <c r="I958" s="20"/>
      <c r="J958" s="45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9"/>
      <c r="AQ958" s="29"/>
      <c r="AR958" s="29"/>
      <c r="AS958" s="29"/>
      <c r="AT958" s="29"/>
      <c r="AU958" s="29"/>
      <c r="AV958" s="29"/>
      <c r="AW958" s="29"/>
      <c r="AX958" s="29"/>
    </row>
    <row r="959">
      <c r="A959" s="20"/>
      <c r="B959" s="20"/>
      <c r="C959" s="20"/>
      <c r="D959" s="46"/>
      <c r="E959" s="20"/>
      <c r="F959" s="20"/>
      <c r="G959" s="20"/>
      <c r="H959" s="20"/>
      <c r="I959" s="20"/>
      <c r="J959" s="45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9"/>
      <c r="AQ959" s="29"/>
      <c r="AR959" s="29"/>
      <c r="AS959" s="29"/>
      <c r="AT959" s="29"/>
      <c r="AU959" s="29"/>
      <c r="AV959" s="29"/>
      <c r="AW959" s="29"/>
      <c r="AX959" s="29"/>
    </row>
    <row r="960">
      <c r="A960" s="20"/>
      <c r="B960" s="20"/>
      <c r="C960" s="20"/>
      <c r="D960" s="46"/>
      <c r="E960" s="20"/>
      <c r="F960" s="20"/>
      <c r="G960" s="20"/>
      <c r="H960" s="20"/>
      <c r="I960" s="20"/>
      <c r="J960" s="45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9"/>
      <c r="AQ960" s="29"/>
      <c r="AR960" s="29"/>
      <c r="AS960" s="29"/>
      <c r="AT960" s="29"/>
      <c r="AU960" s="29"/>
      <c r="AV960" s="29"/>
      <c r="AW960" s="29"/>
      <c r="AX960" s="29"/>
    </row>
    <row r="961">
      <c r="A961" s="20"/>
      <c r="B961" s="20"/>
      <c r="C961" s="20"/>
      <c r="D961" s="46"/>
      <c r="E961" s="20"/>
      <c r="F961" s="20"/>
      <c r="G961" s="20"/>
      <c r="H961" s="20"/>
      <c r="I961" s="20"/>
      <c r="J961" s="45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9"/>
      <c r="AQ961" s="29"/>
      <c r="AR961" s="29"/>
      <c r="AS961" s="29"/>
      <c r="AT961" s="29"/>
      <c r="AU961" s="29"/>
      <c r="AV961" s="29"/>
      <c r="AW961" s="29"/>
      <c r="AX961" s="29"/>
    </row>
    <row r="962">
      <c r="A962" s="20"/>
      <c r="B962" s="20"/>
      <c r="C962" s="20"/>
      <c r="D962" s="46"/>
      <c r="E962" s="20"/>
      <c r="F962" s="20"/>
      <c r="G962" s="20"/>
      <c r="H962" s="20"/>
      <c r="I962" s="20"/>
      <c r="J962" s="45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9"/>
      <c r="AQ962" s="29"/>
      <c r="AR962" s="29"/>
      <c r="AS962" s="29"/>
      <c r="AT962" s="29"/>
      <c r="AU962" s="29"/>
      <c r="AV962" s="29"/>
      <c r="AW962" s="29"/>
      <c r="AX962" s="29"/>
    </row>
    <row r="963">
      <c r="A963" s="20"/>
      <c r="B963" s="20"/>
      <c r="C963" s="20"/>
      <c r="D963" s="46"/>
      <c r="E963" s="20"/>
      <c r="F963" s="20"/>
      <c r="G963" s="20"/>
      <c r="H963" s="20"/>
      <c r="I963" s="20"/>
      <c r="J963" s="45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9"/>
      <c r="AQ963" s="29"/>
      <c r="AR963" s="29"/>
      <c r="AS963" s="29"/>
      <c r="AT963" s="29"/>
      <c r="AU963" s="29"/>
      <c r="AV963" s="29"/>
      <c r="AW963" s="29"/>
      <c r="AX963" s="29"/>
    </row>
    <row r="964">
      <c r="A964" s="20"/>
      <c r="B964" s="20"/>
      <c r="C964" s="20"/>
      <c r="D964" s="46"/>
      <c r="E964" s="20"/>
      <c r="F964" s="20"/>
      <c r="G964" s="20"/>
      <c r="H964" s="20"/>
      <c r="I964" s="20"/>
      <c r="J964" s="45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9"/>
      <c r="AQ964" s="29"/>
      <c r="AR964" s="29"/>
      <c r="AS964" s="29"/>
      <c r="AT964" s="29"/>
      <c r="AU964" s="29"/>
      <c r="AV964" s="29"/>
      <c r="AW964" s="29"/>
      <c r="AX964" s="29"/>
    </row>
    <row r="965">
      <c r="A965" s="20"/>
      <c r="B965" s="20"/>
      <c r="C965" s="20"/>
      <c r="D965" s="46"/>
      <c r="E965" s="20"/>
      <c r="F965" s="20"/>
      <c r="G965" s="20"/>
      <c r="H965" s="20"/>
      <c r="I965" s="20"/>
      <c r="J965" s="45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9"/>
      <c r="AQ965" s="29"/>
      <c r="AR965" s="29"/>
      <c r="AS965" s="29"/>
      <c r="AT965" s="29"/>
      <c r="AU965" s="29"/>
      <c r="AV965" s="29"/>
      <c r="AW965" s="29"/>
      <c r="AX965" s="29"/>
    </row>
    <row r="966">
      <c r="A966" s="20"/>
      <c r="B966" s="20"/>
      <c r="C966" s="20"/>
      <c r="D966" s="46"/>
      <c r="E966" s="20"/>
      <c r="F966" s="20"/>
      <c r="G966" s="20"/>
      <c r="H966" s="20"/>
      <c r="I966" s="20"/>
      <c r="J966" s="45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9"/>
      <c r="AQ966" s="29"/>
      <c r="AR966" s="29"/>
      <c r="AS966" s="29"/>
      <c r="AT966" s="29"/>
      <c r="AU966" s="29"/>
      <c r="AV966" s="29"/>
      <c r="AW966" s="29"/>
      <c r="AX966" s="29"/>
    </row>
    <row r="967">
      <c r="A967" s="20"/>
      <c r="B967" s="20"/>
      <c r="C967" s="20"/>
      <c r="D967" s="46"/>
      <c r="E967" s="20"/>
      <c r="F967" s="20"/>
      <c r="G967" s="20"/>
      <c r="H967" s="20"/>
      <c r="I967" s="20"/>
      <c r="J967" s="45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9"/>
      <c r="AQ967" s="29"/>
      <c r="AR967" s="29"/>
      <c r="AS967" s="29"/>
      <c r="AT967" s="29"/>
      <c r="AU967" s="29"/>
      <c r="AV967" s="29"/>
      <c r="AW967" s="29"/>
      <c r="AX967" s="29"/>
    </row>
    <row r="968">
      <c r="A968" s="20"/>
      <c r="B968" s="20"/>
      <c r="C968" s="20"/>
      <c r="D968" s="46"/>
      <c r="E968" s="20"/>
      <c r="F968" s="20"/>
      <c r="G968" s="20"/>
      <c r="H968" s="20"/>
      <c r="I968" s="20"/>
      <c r="J968" s="45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9"/>
      <c r="AQ968" s="29"/>
      <c r="AR968" s="29"/>
      <c r="AS968" s="29"/>
      <c r="AT968" s="29"/>
      <c r="AU968" s="29"/>
      <c r="AV968" s="29"/>
      <c r="AW968" s="29"/>
      <c r="AX968" s="29"/>
    </row>
    <row r="969">
      <c r="A969" s="20"/>
      <c r="B969" s="20"/>
      <c r="C969" s="20"/>
      <c r="D969" s="46"/>
      <c r="E969" s="20"/>
      <c r="F969" s="20"/>
      <c r="G969" s="20"/>
      <c r="H969" s="20"/>
      <c r="I969" s="20"/>
      <c r="J969" s="45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9"/>
      <c r="AQ969" s="29"/>
      <c r="AR969" s="29"/>
      <c r="AS969" s="29"/>
      <c r="AT969" s="29"/>
      <c r="AU969" s="29"/>
      <c r="AV969" s="29"/>
      <c r="AW969" s="29"/>
      <c r="AX969" s="29"/>
    </row>
    <row r="970">
      <c r="A970" s="20"/>
      <c r="B970" s="20"/>
      <c r="C970" s="20"/>
      <c r="D970" s="46"/>
      <c r="E970" s="20"/>
      <c r="F970" s="20"/>
      <c r="G970" s="20"/>
      <c r="H970" s="20"/>
      <c r="I970" s="20"/>
      <c r="J970" s="45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9"/>
      <c r="AQ970" s="29"/>
      <c r="AR970" s="29"/>
      <c r="AS970" s="29"/>
      <c r="AT970" s="29"/>
      <c r="AU970" s="29"/>
      <c r="AV970" s="29"/>
      <c r="AW970" s="29"/>
      <c r="AX970" s="29"/>
    </row>
    <row r="971">
      <c r="A971" s="20"/>
      <c r="B971" s="20"/>
      <c r="C971" s="20"/>
      <c r="D971" s="46"/>
      <c r="E971" s="20"/>
      <c r="F971" s="20"/>
      <c r="G971" s="20"/>
      <c r="H971" s="20"/>
      <c r="I971" s="20"/>
      <c r="J971" s="45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9"/>
      <c r="AQ971" s="29"/>
      <c r="AR971" s="29"/>
      <c r="AS971" s="29"/>
      <c r="AT971" s="29"/>
      <c r="AU971" s="29"/>
      <c r="AV971" s="29"/>
      <c r="AW971" s="29"/>
      <c r="AX971" s="29"/>
    </row>
    <row r="972">
      <c r="A972" s="20"/>
      <c r="B972" s="20"/>
      <c r="C972" s="20"/>
      <c r="D972" s="46"/>
      <c r="E972" s="20"/>
      <c r="F972" s="20"/>
      <c r="G972" s="20"/>
      <c r="H972" s="20"/>
      <c r="I972" s="20"/>
      <c r="J972" s="45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9"/>
      <c r="AQ972" s="29"/>
      <c r="AR972" s="29"/>
      <c r="AS972" s="29"/>
      <c r="AT972" s="29"/>
      <c r="AU972" s="29"/>
      <c r="AV972" s="29"/>
      <c r="AW972" s="29"/>
      <c r="AX972" s="29"/>
    </row>
    <row r="973">
      <c r="A973" s="20"/>
      <c r="B973" s="20"/>
      <c r="C973" s="20"/>
      <c r="D973" s="46"/>
      <c r="E973" s="20"/>
      <c r="F973" s="20"/>
      <c r="G973" s="20"/>
      <c r="H973" s="20"/>
      <c r="I973" s="20"/>
      <c r="J973" s="45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9"/>
      <c r="AQ973" s="29"/>
      <c r="AR973" s="29"/>
      <c r="AS973" s="29"/>
      <c r="AT973" s="29"/>
      <c r="AU973" s="29"/>
      <c r="AV973" s="29"/>
      <c r="AW973" s="29"/>
      <c r="AX973" s="29"/>
    </row>
    <row r="974">
      <c r="A974" s="20"/>
      <c r="B974" s="20"/>
      <c r="C974" s="20"/>
      <c r="D974" s="46"/>
      <c r="E974" s="20"/>
      <c r="F974" s="20"/>
      <c r="G974" s="20"/>
      <c r="H974" s="20"/>
      <c r="I974" s="20"/>
      <c r="J974" s="45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9"/>
      <c r="AQ974" s="29"/>
      <c r="AR974" s="29"/>
      <c r="AS974" s="29"/>
      <c r="AT974" s="29"/>
      <c r="AU974" s="29"/>
      <c r="AV974" s="29"/>
      <c r="AW974" s="29"/>
      <c r="AX974" s="29"/>
    </row>
    <row r="975">
      <c r="A975" s="20"/>
      <c r="B975" s="20"/>
      <c r="C975" s="20"/>
      <c r="D975" s="46"/>
      <c r="E975" s="20"/>
      <c r="F975" s="20"/>
      <c r="G975" s="20"/>
      <c r="H975" s="20"/>
      <c r="I975" s="20"/>
      <c r="J975" s="45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9"/>
      <c r="AQ975" s="29"/>
      <c r="AR975" s="29"/>
      <c r="AS975" s="29"/>
      <c r="AT975" s="29"/>
      <c r="AU975" s="29"/>
      <c r="AV975" s="29"/>
      <c r="AW975" s="29"/>
      <c r="AX975" s="29"/>
    </row>
    <row r="976">
      <c r="A976" s="20"/>
      <c r="B976" s="20"/>
      <c r="C976" s="20"/>
      <c r="D976" s="46"/>
      <c r="E976" s="20"/>
      <c r="F976" s="20"/>
      <c r="G976" s="20"/>
      <c r="H976" s="20"/>
      <c r="I976" s="20"/>
      <c r="J976" s="45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9"/>
      <c r="AQ976" s="29"/>
      <c r="AR976" s="29"/>
      <c r="AS976" s="29"/>
      <c r="AT976" s="29"/>
      <c r="AU976" s="29"/>
      <c r="AV976" s="29"/>
      <c r="AW976" s="29"/>
      <c r="AX976" s="29"/>
    </row>
    <row r="977">
      <c r="A977" s="20"/>
      <c r="B977" s="20"/>
      <c r="C977" s="20"/>
      <c r="D977" s="46"/>
      <c r="E977" s="20"/>
      <c r="F977" s="20"/>
      <c r="G977" s="20"/>
      <c r="H977" s="20"/>
      <c r="I977" s="20"/>
      <c r="J977" s="45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9"/>
      <c r="AQ977" s="29"/>
      <c r="AR977" s="29"/>
      <c r="AS977" s="29"/>
      <c r="AT977" s="29"/>
      <c r="AU977" s="29"/>
      <c r="AV977" s="29"/>
      <c r="AW977" s="29"/>
      <c r="AX977" s="29"/>
    </row>
    <row r="978">
      <c r="A978" s="20"/>
      <c r="B978" s="20"/>
      <c r="C978" s="20"/>
      <c r="D978" s="46"/>
      <c r="E978" s="20"/>
      <c r="F978" s="20"/>
      <c r="G978" s="20"/>
      <c r="H978" s="20"/>
      <c r="I978" s="20"/>
      <c r="J978" s="45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9"/>
      <c r="AQ978" s="29"/>
      <c r="AR978" s="29"/>
      <c r="AS978" s="29"/>
      <c r="AT978" s="29"/>
      <c r="AU978" s="29"/>
      <c r="AV978" s="29"/>
      <c r="AW978" s="29"/>
      <c r="AX978" s="29"/>
    </row>
    <row r="979">
      <c r="A979" s="20"/>
      <c r="B979" s="20"/>
      <c r="C979" s="20"/>
      <c r="D979" s="46"/>
      <c r="E979" s="20"/>
      <c r="F979" s="20"/>
      <c r="G979" s="20"/>
      <c r="H979" s="20"/>
      <c r="I979" s="20"/>
      <c r="J979" s="45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9"/>
      <c r="AQ979" s="29"/>
      <c r="AR979" s="29"/>
      <c r="AS979" s="29"/>
      <c r="AT979" s="29"/>
      <c r="AU979" s="29"/>
      <c r="AV979" s="29"/>
      <c r="AW979" s="29"/>
      <c r="AX979" s="29"/>
    </row>
    <row r="980">
      <c r="A980" s="20"/>
      <c r="B980" s="20"/>
      <c r="C980" s="20"/>
      <c r="D980" s="46"/>
      <c r="E980" s="20"/>
      <c r="F980" s="20"/>
      <c r="G980" s="20"/>
      <c r="H980" s="20"/>
      <c r="I980" s="20"/>
      <c r="J980" s="45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9"/>
      <c r="AQ980" s="29"/>
      <c r="AR980" s="29"/>
      <c r="AS980" s="29"/>
      <c r="AT980" s="29"/>
      <c r="AU980" s="29"/>
      <c r="AV980" s="29"/>
      <c r="AW980" s="29"/>
      <c r="AX980" s="29"/>
    </row>
    <row r="981">
      <c r="A981" s="20"/>
      <c r="B981" s="20"/>
      <c r="C981" s="20"/>
      <c r="D981" s="46"/>
      <c r="E981" s="20"/>
      <c r="F981" s="20"/>
      <c r="G981" s="20"/>
      <c r="H981" s="20"/>
      <c r="I981" s="20"/>
      <c r="J981" s="45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9"/>
      <c r="AQ981" s="29"/>
      <c r="AR981" s="29"/>
      <c r="AS981" s="29"/>
      <c r="AT981" s="29"/>
      <c r="AU981" s="29"/>
      <c r="AV981" s="29"/>
      <c r="AW981" s="29"/>
      <c r="AX981" s="29"/>
    </row>
    <row r="982">
      <c r="A982" s="20"/>
      <c r="B982" s="20"/>
      <c r="C982" s="20"/>
      <c r="D982" s="46"/>
      <c r="E982" s="20"/>
      <c r="F982" s="20"/>
      <c r="G982" s="20"/>
      <c r="H982" s="20"/>
      <c r="I982" s="20"/>
      <c r="J982" s="45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9"/>
      <c r="AQ982" s="29"/>
      <c r="AR982" s="29"/>
      <c r="AS982" s="29"/>
      <c r="AT982" s="29"/>
      <c r="AU982" s="29"/>
      <c r="AV982" s="29"/>
      <c r="AW982" s="29"/>
      <c r="AX982" s="29"/>
    </row>
    <row r="983">
      <c r="A983" s="20"/>
      <c r="B983" s="20"/>
      <c r="C983" s="20"/>
      <c r="D983" s="46"/>
      <c r="E983" s="20"/>
      <c r="F983" s="20"/>
      <c r="G983" s="20"/>
      <c r="H983" s="20"/>
      <c r="I983" s="20"/>
      <c r="J983" s="45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9"/>
      <c r="AQ983" s="29"/>
      <c r="AR983" s="29"/>
      <c r="AS983" s="29"/>
      <c r="AT983" s="29"/>
      <c r="AU983" s="29"/>
      <c r="AV983" s="29"/>
      <c r="AW983" s="29"/>
      <c r="AX983" s="29"/>
    </row>
    <row r="984">
      <c r="A984" s="20"/>
      <c r="B984" s="20"/>
      <c r="C984" s="20"/>
      <c r="D984" s="46"/>
      <c r="E984" s="20"/>
      <c r="F984" s="20"/>
      <c r="G984" s="20"/>
      <c r="H984" s="20"/>
      <c r="I984" s="20"/>
      <c r="J984" s="45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9"/>
      <c r="AQ984" s="29"/>
      <c r="AR984" s="29"/>
      <c r="AS984" s="29"/>
      <c r="AT984" s="29"/>
      <c r="AU984" s="29"/>
      <c r="AV984" s="29"/>
      <c r="AW984" s="29"/>
      <c r="AX984" s="29"/>
    </row>
    <row r="985">
      <c r="A985" s="20"/>
      <c r="B985" s="20"/>
      <c r="C985" s="20"/>
      <c r="D985" s="46"/>
      <c r="E985" s="20"/>
      <c r="F985" s="20"/>
      <c r="G985" s="20"/>
      <c r="H985" s="20"/>
      <c r="I985" s="20"/>
      <c r="J985" s="45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9"/>
      <c r="AQ985" s="29"/>
      <c r="AR985" s="29"/>
      <c r="AS985" s="29"/>
      <c r="AT985" s="29"/>
      <c r="AU985" s="29"/>
      <c r="AV985" s="29"/>
      <c r="AW985" s="29"/>
      <c r="AX985" s="29"/>
    </row>
    <row r="986">
      <c r="A986" s="20"/>
      <c r="B986" s="20"/>
      <c r="C986" s="20"/>
      <c r="D986" s="46"/>
      <c r="E986" s="20"/>
      <c r="F986" s="20"/>
      <c r="G986" s="20"/>
      <c r="H986" s="20"/>
      <c r="I986" s="20"/>
      <c r="J986" s="45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9"/>
      <c r="AQ986" s="29"/>
      <c r="AR986" s="29"/>
      <c r="AS986" s="29"/>
      <c r="AT986" s="29"/>
      <c r="AU986" s="29"/>
      <c r="AV986" s="29"/>
      <c r="AW986" s="29"/>
      <c r="AX986" s="29"/>
    </row>
    <row r="987">
      <c r="A987" s="20"/>
      <c r="B987" s="20"/>
      <c r="C987" s="20"/>
      <c r="D987" s="46"/>
      <c r="E987" s="20"/>
      <c r="F987" s="20"/>
      <c r="G987" s="20"/>
      <c r="H987" s="20"/>
      <c r="I987" s="20"/>
      <c r="J987" s="45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9"/>
      <c r="AQ987" s="29"/>
      <c r="AR987" s="29"/>
      <c r="AS987" s="29"/>
      <c r="AT987" s="29"/>
      <c r="AU987" s="29"/>
      <c r="AV987" s="29"/>
      <c r="AW987" s="29"/>
      <c r="AX987" s="29"/>
    </row>
    <row r="988">
      <c r="A988" s="20"/>
      <c r="B988" s="20"/>
      <c r="C988" s="20"/>
      <c r="D988" s="46"/>
      <c r="E988" s="20"/>
      <c r="F988" s="20"/>
      <c r="G988" s="20"/>
      <c r="H988" s="20"/>
      <c r="I988" s="20"/>
      <c r="J988" s="45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9"/>
      <c r="AQ988" s="29"/>
      <c r="AR988" s="29"/>
      <c r="AS988" s="29"/>
      <c r="AT988" s="29"/>
      <c r="AU988" s="29"/>
      <c r="AV988" s="29"/>
      <c r="AW988" s="29"/>
      <c r="AX988" s="29"/>
    </row>
    <row r="989">
      <c r="A989" s="20"/>
      <c r="B989" s="20"/>
      <c r="C989" s="20"/>
      <c r="D989" s="46"/>
      <c r="E989" s="20"/>
      <c r="F989" s="20"/>
      <c r="G989" s="20"/>
      <c r="H989" s="20"/>
      <c r="I989" s="20"/>
      <c r="J989" s="45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9"/>
      <c r="AQ989" s="29"/>
      <c r="AR989" s="29"/>
      <c r="AS989" s="29"/>
      <c r="AT989" s="29"/>
      <c r="AU989" s="29"/>
      <c r="AV989" s="29"/>
      <c r="AW989" s="29"/>
      <c r="AX989" s="29"/>
    </row>
    <row r="990">
      <c r="A990" s="20"/>
      <c r="B990" s="20"/>
      <c r="C990" s="20"/>
      <c r="D990" s="46"/>
      <c r="E990" s="20"/>
      <c r="F990" s="20"/>
      <c r="G990" s="20"/>
      <c r="H990" s="20"/>
      <c r="I990" s="20"/>
      <c r="J990" s="45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9"/>
      <c r="AQ990" s="29"/>
      <c r="AR990" s="29"/>
      <c r="AS990" s="29"/>
      <c r="AT990" s="29"/>
      <c r="AU990" s="29"/>
      <c r="AV990" s="29"/>
      <c r="AW990" s="29"/>
      <c r="AX990" s="29"/>
    </row>
    <row r="991">
      <c r="A991" s="20"/>
      <c r="B991" s="20"/>
      <c r="C991" s="20"/>
      <c r="D991" s="46"/>
      <c r="E991" s="20"/>
      <c r="F991" s="20"/>
      <c r="G991" s="20"/>
      <c r="H991" s="20"/>
      <c r="I991" s="20"/>
      <c r="J991" s="45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9"/>
      <c r="AQ991" s="29"/>
      <c r="AR991" s="29"/>
      <c r="AS991" s="29"/>
      <c r="AT991" s="29"/>
      <c r="AU991" s="29"/>
      <c r="AV991" s="29"/>
      <c r="AW991" s="29"/>
      <c r="AX991" s="29"/>
    </row>
    <row r="992">
      <c r="A992" s="20"/>
      <c r="B992" s="20"/>
      <c r="C992" s="20"/>
      <c r="D992" s="46"/>
      <c r="E992" s="20"/>
      <c r="F992" s="20"/>
      <c r="G992" s="20"/>
      <c r="H992" s="20"/>
      <c r="I992" s="20"/>
      <c r="J992" s="45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9"/>
      <c r="AQ992" s="29"/>
      <c r="AR992" s="29"/>
      <c r="AS992" s="29"/>
      <c r="AT992" s="29"/>
      <c r="AU992" s="29"/>
      <c r="AV992" s="29"/>
      <c r="AW992" s="29"/>
      <c r="AX992" s="29"/>
    </row>
    <row r="993">
      <c r="A993" s="20"/>
      <c r="B993" s="20"/>
      <c r="C993" s="20"/>
      <c r="D993" s="46"/>
      <c r="E993" s="20"/>
      <c r="F993" s="20"/>
      <c r="G993" s="20"/>
      <c r="H993" s="20"/>
      <c r="I993" s="20"/>
      <c r="J993" s="45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9"/>
      <c r="AQ993" s="29"/>
      <c r="AR993" s="29"/>
      <c r="AS993" s="29"/>
      <c r="AT993" s="29"/>
      <c r="AU993" s="29"/>
      <c r="AV993" s="29"/>
      <c r="AW993" s="29"/>
      <c r="AX993" s="29"/>
    </row>
    <row r="994">
      <c r="A994" s="20"/>
      <c r="B994" s="20"/>
      <c r="C994" s="20"/>
      <c r="D994" s="46"/>
      <c r="E994" s="20"/>
      <c r="F994" s="20"/>
      <c r="G994" s="20"/>
      <c r="H994" s="20"/>
      <c r="I994" s="20"/>
      <c r="J994" s="45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9"/>
      <c r="AQ994" s="29"/>
      <c r="AR994" s="29"/>
      <c r="AS994" s="29"/>
      <c r="AT994" s="29"/>
      <c r="AU994" s="29"/>
      <c r="AV994" s="29"/>
      <c r="AW994" s="29"/>
      <c r="AX994" s="29"/>
    </row>
    <row r="995">
      <c r="A995" s="20"/>
      <c r="B995" s="20"/>
      <c r="C995" s="20"/>
      <c r="D995" s="46"/>
      <c r="E995" s="20"/>
      <c r="F995" s="20"/>
      <c r="G995" s="20"/>
      <c r="H995" s="20"/>
      <c r="I995" s="20"/>
      <c r="J995" s="45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9"/>
      <c r="AQ995" s="29"/>
      <c r="AR995" s="29"/>
      <c r="AS995" s="29"/>
      <c r="AT995" s="29"/>
      <c r="AU995" s="29"/>
      <c r="AV995" s="29"/>
      <c r="AW995" s="29"/>
      <c r="AX995" s="29"/>
    </row>
    <row r="996">
      <c r="A996" s="20"/>
      <c r="B996" s="20"/>
      <c r="C996" s="20"/>
      <c r="D996" s="46"/>
      <c r="E996" s="20"/>
      <c r="F996" s="20"/>
      <c r="G996" s="20"/>
      <c r="H996" s="20"/>
      <c r="I996" s="20"/>
      <c r="J996" s="45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9"/>
      <c r="AQ996" s="29"/>
      <c r="AR996" s="29"/>
      <c r="AS996" s="29"/>
      <c r="AT996" s="29"/>
      <c r="AU996" s="29"/>
      <c r="AV996" s="29"/>
      <c r="AW996" s="29"/>
      <c r="AX996" s="29"/>
    </row>
    <row r="997">
      <c r="A997" s="20"/>
      <c r="B997" s="20"/>
      <c r="C997" s="20"/>
      <c r="D997" s="46"/>
      <c r="E997" s="20"/>
      <c r="F997" s="20"/>
      <c r="G997" s="20"/>
      <c r="H997" s="20"/>
      <c r="I997" s="20"/>
      <c r="J997" s="45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9"/>
      <c r="AQ997" s="29"/>
      <c r="AR997" s="29"/>
      <c r="AS997" s="29"/>
      <c r="AT997" s="29"/>
      <c r="AU997" s="29"/>
      <c r="AV997" s="29"/>
      <c r="AW997" s="29"/>
      <c r="AX997" s="29"/>
    </row>
    <row r="998">
      <c r="A998" s="20"/>
      <c r="B998" s="20"/>
      <c r="C998" s="20"/>
      <c r="D998" s="46"/>
      <c r="E998" s="20"/>
      <c r="F998" s="20"/>
      <c r="G998" s="20"/>
      <c r="H998" s="20"/>
      <c r="I998" s="20"/>
      <c r="J998" s="45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9"/>
      <c r="AQ998" s="29"/>
      <c r="AR998" s="29"/>
      <c r="AS998" s="29"/>
      <c r="AT998" s="29"/>
      <c r="AU998" s="29"/>
      <c r="AV998" s="29"/>
      <c r="AW998" s="29"/>
      <c r="AX998" s="29"/>
    </row>
    <row r="999">
      <c r="A999" s="20"/>
      <c r="B999" s="20"/>
      <c r="C999" s="20"/>
      <c r="D999" s="46"/>
      <c r="E999" s="20"/>
      <c r="F999" s="20"/>
      <c r="G999" s="20"/>
      <c r="H999" s="20"/>
      <c r="I999" s="20"/>
      <c r="J999" s="45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9"/>
      <c r="AQ999" s="29"/>
      <c r="AR999" s="29"/>
      <c r="AS999" s="29"/>
      <c r="AT999" s="29"/>
      <c r="AU999" s="29"/>
      <c r="AV999" s="29"/>
      <c r="AW999" s="29"/>
      <c r="AX999" s="29"/>
    </row>
    <row r="1000">
      <c r="A1000" s="20"/>
      <c r="B1000" s="20"/>
      <c r="C1000" s="20"/>
      <c r="D1000" s="46"/>
      <c r="E1000" s="20"/>
      <c r="F1000" s="20"/>
      <c r="G1000" s="20"/>
      <c r="H1000" s="20"/>
      <c r="I1000" s="20"/>
      <c r="J1000" s="45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9"/>
      <c r="AQ1000" s="29"/>
      <c r="AR1000" s="29"/>
      <c r="AS1000" s="29"/>
      <c r="AT1000" s="29"/>
      <c r="AU1000" s="29"/>
      <c r="AV1000" s="29"/>
      <c r="AW1000" s="29"/>
      <c r="AX1000" s="29"/>
    </row>
    <row r="1001">
      <c r="A1001" s="20"/>
      <c r="B1001" s="20"/>
      <c r="C1001" s="20"/>
      <c r="D1001" s="46"/>
      <c r="E1001" s="20"/>
      <c r="F1001" s="20"/>
      <c r="G1001" s="20"/>
      <c r="H1001" s="20"/>
      <c r="I1001" s="20"/>
      <c r="J1001" s="45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9"/>
      <c r="AQ1001" s="29"/>
      <c r="AR1001" s="29"/>
      <c r="AS1001" s="29"/>
      <c r="AT1001" s="29"/>
      <c r="AU1001" s="29"/>
      <c r="AV1001" s="29"/>
      <c r="AW1001" s="29"/>
      <c r="AX1001" s="29"/>
    </row>
    <row r="1002">
      <c r="A1002" s="20"/>
      <c r="B1002" s="20"/>
      <c r="C1002" s="20"/>
      <c r="D1002" s="46"/>
      <c r="E1002" s="20"/>
      <c r="F1002" s="20"/>
      <c r="G1002" s="20"/>
      <c r="H1002" s="20"/>
      <c r="I1002" s="20"/>
      <c r="J1002" s="45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9"/>
      <c r="AQ1002" s="29"/>
      <c r="AR1002" s="29"/>
      <c r="AS1002" s="29"/>
      <c r="AT1002" s="29"/>
      <c r="AU1002" s="29"/>
      <c r="AV1002" s="29"/>
      <c r="AW1002" s="29"/>
      <c r="AX1002" s="29"/>
    </row>
    <row r="1003">
      <c r="A1003" s="20"/>
      <c r="B1003" s="20"/>
      <c r="C1003" s="20"/>
      <c r="D1003" s="46"/>
      <c r="E1003" s="20"/>
      <c r="F1003" s="20"/>
      <c r="G1003" s="20"/>
      <c r="H1003" s="20"/>
      <c r="I1003" s="20"/>
      <c r="J1003" s="45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9"/>
      <c r="AQ1003" s="29"/>
      <c r="AR1003" s="29"/>
      <c r="AS1003" s="29"/>
      <c r="AT1003" s="29"/>
      <c r="AU1003" s="29"/>
      <c r="AV1003" s="29"/>
      <c r="AW1003" s="29"/>
      <c r="AX1003" s="29"/>
    </row>
    <row r="1004">
      <c r="A1004" s="20"/>
      <c r="B1004" s="20"/>
      <c r="C1004" s="20"/>
      <c r="D1004" s="46"/>
      <c r="E1004" s="20"/>
      <c r="F1004" s="20"/>
      <c r="G1004" s="20"/>
      <c r="H1004" s="20"/>
      <c r="I1004" s="20"/>
      <c r="J1004" s="45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9"/>
      <c r="AQ1004" s="29"/>
      <c r="AR1004" s="29"/>
      <c r="AS1004" s="29"/>
      <c r="AT1004" s="29"/>
      <c r="AU1004" s="29"/>
      <c r="AV1004" s="29"/>
      <c r="AW1004" s="29"/>
      <c r="AX1004" s="29"/>
    </row>
    <row r="1005">
      <c r="A1005" s="20"/>
      <c r="B1005" s="20"/>
      <c r="C1005" s="20"/>
      <c r="D1005" s="46"/>
      <c r="E1005" s="20"/>
      <c r="F1005" s="20"/>
      <c r="G1005" s="20"/>
      <c r="H1005" s="20"/>
      <c r="I1005" s="20"/>
      <c r="J1005" s="45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9"/>
      <c r="AQ1005" s="29"/>
      <c r="AR1005" s="29"/>
      <c r="AS1005" s="29"/>
      <c r="AT1005" s="29"/>
      <c r="AU1005" s="29"/>
      <c r="AV1005" s="29"/>
      <c r="AW1005" s="29"/>
      <c r="AX1005" s="29"/>
    </row>
    <row r="1006">
      <c r="A1006" s="20"/>
      <c r="B1006" s="20"/>
      <c r="C1006" s="20"/>
      <c r="D1006" s="46"/>
      <c r="E1006" s="20"/>
      <c r="F1006" s="20"/>
      <c r="G1006" s="20"/>
      <c r="H1006" s="20"/>
      <c r="I1006" s="20"/>
      <c r="J1006" s="45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9"/>
      <c r="AQ1006" s="29"/>
      <c r="AR1006" s="29"/>
      <c r="AS1006" s="29"/>
      <c r="AT1006" s="29"/>
      <c r="AU1006" s="29"/>
      <c r="AV1006" s="29"/>
      <c r="AW1006" s="29"/>
      <c r="AX1006" s="29"/>
    </row>
    <row r="1007">
      <c r="A1007" s="20"/>
      <c r="B1007" s="20"/>
      <c r="C1007" s="20"/>
      <c r="D1007" s="46"/>
      <c r="E1007" s="20"/>
      <c r="F1007" s="20"/>
      <c r="G1007" s="20"/>
      <c r="H1007" s="20"/>
      <c r="I1007" s="20"/>
      <c r="J1007" s="45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9"/>
      <c r="AQ1007" s="29"/>
      <c r="AR1007" s="29"/>
      <c r="AS1007" s="29"/>
      <c r="AT1007" s="29"/>
      <c r="AU1007" s="29"/>
      <c r="AV1007" s="29"/>
      <c r="AW1007" s="29"/>
      <c r="AX1007" s="29"/>
    </row>
    <row r="1008">
      <c r="A1008" s="20"/>
      <c r="B1008" s="20"/>
      <c r="C1008" s="20"/>
      <c r="D1008" s="46"/>
      <c r="E1008" s="20"/>
      <c r="F1008" s="20"/>
      <c r="G1008" s="20"/>
      <c r="H1008" s="20"/>
      <c r="I1008" s="20"/>
      <c r="J1008" s="45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9"/>
      <c r="AQ1008" s="29"/>
      <c r="AR1008" s="29"/>
      <c r="AS1008" s="29"/>
      <c r="AT1008" s="29"/>
      <c r="AU1008" s="29"/>
      <c r="AV1008" s="29"/>
      <c r="AW1008" s="29"/>
      <c r="AX1008" s="29"/>
    </row>
    <row r="1009">
      <c r="A1009" s="20"/>
      <c r="B1009" s="20"/>
      <c r="C1009" s="20"/>
      <c r="D1009" s="46"/>
      <c r="E1009" s="20"/>
      <c r="F1009" s="20"/>
      <c r="G1009" s="20"/>
      <c r="H1009" s="20"/>
      <c r="I1009" s="20"/>
      <c r="J1009" s="45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9"/>
      <c r="AQ1009" s="29"/>
      <c r="AR1009" s="29"/>
      <c r="AS1009" s="29"/>
      <c r="AT1009" s="29"/>
      <c r="AU1009" s="29"/>
      <c r="AV1009" s="29"/>
      <c r="AW1009" s="29"/>
      <c r="AX1009" s="29"/>
    </row>
    <row r="1010">
      <c r="A1010" s="20"/>
      <c r="B1010" s="20"/>
      <c r="C1010" s="20"/>
      <c r="D1010" s="46"/>
      <c r="E1010" s="20"/>
      <c r="F1010" s="20"/>
      <c r="G1010" s="20"/>
      <c r="H1010" s="20"/>
      <c r="I1010" s="20"/>
      <c r="J1010" s="45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9"/>
      <c r="AQ1010" s="29"/>
      <c r="AR1010" s="29"/>
      <c r="AS1010" s="29"/>
      <c r="AT1010" s="29"/>
      <c r="AU1010" s="29"/>
      <c r="AV1010" s="29"/>
      <c r="AW1010" s="29"/>
      <c r="AX1010" s="29"/>
    </row>
    <row r="1011">
      <c r="A1011" s="20"/>
      <c r="B1011" s="20"/>
      <c r="C1011" s="20"/>
      <c r="D1011" s="46"/>
      <c r="E1011" s="20"/>
      <c r="F1011" s="20"/>
      <c r="G1011" s="20"/>
      <c r="H1011" s="20"/>
      <c r="I1011" s="20"/>
      <c r="J1011" s="45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9"/>
      <c r="AQ1011" s="29"/>
      <c r="AR1011" s="29"/>
      <c r="AS1011" s="29"/>
      <c r="AT1011" s="29"/>
      <c r="AU1011" s="29"/>
      <c r="AV1011" s="29"/>
      <c r="AW1011" s="29"/>
      <c r="AX1011" s="29"/>
    </row>
    <row r="1012">
      <c r="A1012" s="20"/>
      <c r="B1012" s="20"/>
      <c r="C1012" s="20"/>
      <c r="D1012" s="46"/>
      <c r="E1012" s="20"/>
      <c r="F1012" s="20"/>
      <c r="G1012" s="20"/>
      <c r="H1012" s="20"/>
      <c r="I1012" s="20"/>
      <c r="J1012" s="45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9"/>
      <c r="AQ1012" s="29"/>
      <c r="AR1012" s="29"/>
      <c r="AS1012" s="29"/>
      <c r="AT1012" s="29"/>
      <c r="AU1012" s="29"/>
      <c r="AV1012" s="29"/>
      <c r="AW1012" s="29"/>
      <c r="AX1012" s="29"/>
    </row>
    <row r="1013">
      <c r="A1013" s="20"/>
      <c r="B1013" s="20"/>
      <c r="C1013" s="20"/>
      <c r="D1013" s="46"/>
      <c r="E1013" s="20"/>
      <c r="F1013" s="20"/>
      <c r="G1013" s="20"/>
      <c r="H1013" s="20"/>
      <c r="I1013" s="20"/>
      <c r="J1013" s="45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9"/>
      <c r="AQ1013" s="29"/>
      <c r="AR1013" s="29"/>
      <c r="AS1013" s="29"/>
      <c r="AT1013" s="29"/>
      <c r="AU1013" s="29"/>
      <c r="AV1013" s="29"/>
      <c r="AW1013" s="29"/>
      <c r="AX1013" s="29"/>
    </row>
    <row r="1014">
      <c r="A1014" s="20"/>
      <c r="B1014" s="20"/>
      <c r="C1014" s="20"/>
      <c r="D1014" s="46"/>
      <c r="E1014" s="20"/>
      <c r="F1014" s="20"/>
      <c r="G1014" s="20"/>
      <c r="H1014" s="20"/>
      <c r="I1014" s="20"/>
      <c r="J1014" s="45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9"/>
      <c r="AQ1014" s="29"/>
      <c r="AR1014" s="29"/>
      <c r="AS1014" s="29"/>
      <c r="AT1014" s="29"/>
      <c r="AU1014" s="29"/>
      <c r="AV1014" s="29"/>
      <c r="AW1014" s="29"/>
      <c r="AX1014" s="29"/>
    </row>
    <row r="1015">
      <c r="A1015" s="20"/>
      <c r="B1015" s="20"/>
      <c r="C1015" s="20"/>
      <c r="D1015" s="46"/>
      <c r="E1015" s="20"/>
      <c r="F1015" s="20"/>
      <c r="G1015" s="20"/>
      <c r="H1015" s="20"/>
      <c r="I1015" s="20"/>
      <c r="J1015" s="45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9"/>
      <c r="AQ1015" s="29"/>
      <c r="AR1015" s="29"/>
      <c r="AS1015" s="29"/>
      <c r="AT1015" s="29"/>
      <c r="AU1015" s="29"/>
      <c r="AV1015" s="29"/>
      <c r="AW1015" s="29"/>
      <c r="AX1015" s="29"/>
    </row>
    <row r="1016">
      <c r="A1016" s="20"/>
      <c r="B1016" s="20"/>
      <c r="C1016" s="20"/>
      <c r="D1016" s="46"/>
      <c r="E1016" s="20"/>
      <c r="F1016" s="20"/>
      <c r="G1016" s="20"/>
      <c r="H1016" s="20"/>
      <c r="I1016" s="20"/>
      <c r="J1016" s="45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9"/>
      <c r="AQ1016" s="29"/>
      <c r="AR1016" s="29"/>
      <c r="AS1016" s="29"/>
      <c r="AT1016" s="29"/>
      <c r="AU1016" s="29"/>
      <c r="AV1016" s="29"/>
      <c r="AW1016" s="29"/>
      <c r="AX1016" s="29"/>
    </row>
    <row r="1017">
      <c r="A1017" s="20"/>
      <c r="B1017" s="20"/>
      <c r="C1017" s="20"/>
      <c r="D1017" s="46"/>
      <c r="E1017" s="20"/>
      <c r="F1017" s="20"/>
      <c r="G1017" s="20"/>
      <c r="H1017" s="20"/>
      <c r="I1017" s="20"/>
      <c r="J1017" s="45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9"/>
      <c r="AQ1017" s="29"/>
      <c r="AR1017" s="29"/>
      <c r="AS1017" s="29"/>
      <c r="AT1017" s="29"/>
      <c r="AU1017" s="29"/>
      <c r="AV1017" s="29"/>
      <c r="AW1017" s="29"/>
      <c r="AX1017" s="29"/>
    </row>
    <row r="1018">
      <c r="A1018" s="20"/>
      <c r="B1018" s="20"/>
      <c r="C1018" s="20"/>
      <c r="D1018" s="46"/>
      <c r="E1018" s="20"/>
      <c r="F1018" s="20"/>
      <c r="G1018" s="20"/>
      <c r="H1018" s="20"/>
      <c r="I1018" s="20"/>
      <c r="J1018" s="45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9"/>
      <c r="AQ1018" s="29"/>
      <c r="AR1018" s="29"/>
      <c r="AS1018" s="29"/>
      <c r="AT1018" s="29"/>
      <c r="AU1018" s="29"/>
      <c r="AV1018" s="29"/>
      <c r="AW1018" s="29"/>
      <c r="AX1018" s="29"/>
    </row>
    <row r="1019">
      <c r="A1019" s="20"/>
      <c r="B1019" s="20"/>
      <c r="C1019" s="20"/>
      <c r="D1019" s="46"/>
      <c r="E1019" s="20"/>
      <c r="F1019" s="20"/>
      <c r="G1019" s="20"/>
      <c r="H1019" s="20"/>
      <c r="I1019" s="20"/>
      <c r="J1019" s="45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9"/>
      <c r="AQ1019" s="29"/>
      <c r="AR1019" s="29"/>
      <c r="AS1019" s="29"/>
      <c r="AT1019" s="29"/>
      <c r="AU1019" s="29"/>
      <c r="AV1019" s="29"/>
      <c r="AW1019" s="29"/>
      <c r="AX1019" s="29"/>
    </row>
    <row r="1020">
      <c r="A1020" s="20"/>
      <c r="B1020" s="20"/>
      <c r="C1020" s="20"/>
      <c r="D1020" s="46"/>
      <c r="E1020" s="20"/>
      <c r="F1020" s="20"/>
      <c r="G1020" s="20"/>
      <c r="H1020" s="20"/>
      <c r="I1020" s="20"/>
      <c r="J1020" s="45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9"/>
      <c r="AQ1020" s="29"/>
      <c r="AR1020" s="29"/>
      <c r="AS1020" s="29"/>
      <c r="AT1020" s="29"/>
      <c r="AU1020" s="29"/>
      <c r="AV1020" s="29"/>
      <c r="AW1020" s="29"/>
      <c r="AX1020" s="29"/>
    </row>
    <row r="1021">
      <c r="A1021" s="20"/>
      <c r="B1021" s="20"/>
      <c r="C1021" s="20"/>
      <c r="D1021" s="46"/>
      <c r="E1021" s="20"/>
      <c r="F1021" s="20"/>
      <c r="G1021" s="20"/>
      <c r="H1021" s="20"/>
      <c r="I1021" s="20"/>
      <c r="J1021" s="45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9"/>
      <c r="AQ1021" s="29"/>
      <c r="AR1021" s="29"/>
      <c r="AS1021" s="29"/>
      <c r="AT1021" s="29"/>
      <c r="AU1021" s="29"/>
      <c r="AV1021" s="29"/>
      <c r="AW1021" s="29"/>
      <c r="AX1021" s="29"/>
    </row>
    <row r="1022">
      <c r="A1022" s="20"/>
      <c r="B1022" s="20"/>
      <c r="C1022" s="20"/>
      <c r="D1022" s="46"/>
      <c r="E1022" s="20"/>
      <c r="F1022" s="20"/>
      <c r="G1022" s="20"/>
      <c r="H1022" s="20"/>
      <c r="I1022" s="20"/>
      <c r="J1022" s="45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9"/>
      <c r="AQ1022" s="29"/>
      <c r="AR1022" s="29"/>
      <c r="AS1022" s="29"/>
      <c r="AT1022" s="29"/>
      <c r="AU1022" s="29"/>
      <c r="AV1022" s="29"/>
      <c r="AW1022" s="29"/>
      <c r="AX1022" s="29"/>
    </row>
    <row r="1023">
      <c r="A1023" s="20"/>
      <c r="B1023" s="20"/>
      <c r="C1023" s="20"/>
      <c r="D1023" s="46"/>
      <c r="E1023" s="20"/>
      <c r="F1023" s="20"/>
      <c r="G1023" s="20"/>
      <c r="H1023" s="20"/>
      <c r="I1023" s="20"/>
      <c r="J1023" s="45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9"/>
      <c r="AQ1023" s="29"/>
      <c r="AR1023" s="29"/>
      <c r="AS1023" s="29"/>
      <c r="AT1023" s="29"/>
      <c r="AU1023" s="29"/>
      <c r="AV1023" s="29"/>
      <c r="AW1023" s="29"/>
      <c r="AX1023" s="29"/>
    </row>
    <row r="1024">
      <c r="A1024" s="20"/>
      <c r="B1024" s="20"/>
      <c r="C1024" s="20"/>
      <c r="D1024" s="46"/>
      <c r="E1024" s="20"/>
      <c r="F1024" s="20"/>
      <c r="G1024" s="20"/>
      <c r="H1024" s="20"/>
      <c r="I1024" s="20"/>
      <c r="J1024" s="45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9"/>
      <c r="AQ1024" s="29"/>
      <c r="AR1024" s="29"/>
      <c r="AS1024" s="29"/>
      <c r="AT1024" s="29"/>
      <c r="AU1024" s="29"/>
      <c r="AV1024" s="29"/>
      <c r="AW1024" s="29"/>
      <c r="AX1024" s="29"/>
    </row>
    <row r="1025">
      <c r="A1025" s="20"/>
      <c r="B1025" s="20"/>
      <c r="C1025" s="20"/>
      <c r="D1025" s="46"/>
      <c r="E1025" s="20"/>
      <c r="F1025" s="20"/>
      <c r="G1025" s="20"/>
      <c r="H1025" s="20"/>
      <c r="I1025" s="20"/>
      <c r="J1025" s="45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9"/>
      <c r="AQ1025" s="29"/>
      <c r="AR1025" s="29"/>
      <c r="AS1025" s="29"/>
      <c r="AT1025" s="29"/>
      <c r="AU1025" s="29"/>
      <c r="AV1025" s="29"/>
      <c r="AW1025" s="29"/>
      <c r="AX1025" s="29"/>
    </row>
    <row r="1026">
      <c r="A1026" s="20"/>
      <c r="B1026" s="20"/>
      <c r="C1026" s="20"/>
      <c r="D1026" s="46"/>
      <c r="E1026" s="20"/>
      <c r="F1026" s="20"/>
      <c r="G1026" s="20"/>
      <c r="H1026" s="20"/>
      <c r="I1026" s="20"/>
      <c r="J1026" s="45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9"/>
      <c r="AQ1026" s="29"/>
      <c r="AR1026" s="29"/>
      <c r="AS1026" s="29"/>
      <c r="AT1026" s="29"/>
      <c r="AU1026" s="29"/>
      <c r="AV1026" s="29"/>
      <c r="AW1026" s="29"/>
      <c r="AX1026" s="29"/>
    </row>
    <row r="1027">
      <c r="A1027" s="20"/>
      <c r="B1027" s="20"/>
      <c r="C1027" s="20"/>
      <c r="D1027" s="46"/>
      <c r="E1027" s="20"/>
      <c r="F1027" s="20"/>
      <c r="G1027" s="20"/>
      <c r="H1027" s="20"/>
      <c r="I1027" s="20"/>
      <c r="J1027" s="45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9"/>
      <c r="AQ1027" s="29"/>
      <c r="AR1027" s="29"/>
      <c r="AS1027" s="29"/>
      <c r="AT1027" s="29"/>
      <c r="AU1027" s="29"/>
      <c r="AV1027" s="29"/>
      <c r="AW1027" s="29"/>
      <c r="AX1027" s="29"/>
    </row>
    <row r="1028">
      <c r="A1028" s="20"/>
      <c r="B1028" s="20"/>
      <c r="C1028" s="20"/>
      <c r="D1028" s="46"/>
      <c r="E1028" s="20"/>
      <c r="F1028" s="20"/>
      <c r="G1028" s="20"/>
      <c r="H1028" s="20"/>
      <c r="I1028" s="20"/>
      <c r="J1028" s="45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9"/>
      <c r="AQ1028" s="29"/>
      <c r="AR1028" s="29"/>
      <c r="AS1028" s="29"/>
      <c r="AT1028" s="29"/>
      <c r="AU1028" s="29"/>
      <c r="AV1028" s="29"/>
      <c r="AW1028" s="29"/>
      <c r="AX1028" s="29"/>
    </row>
    <row r="1029">
      <c r="A1029" s="20"/>
      <c r="B1029" s="20"/>
      <c r="C1029" s="20"/>
      <c r="D1029" s="46"/>
      <c r="E1029" s="20"/>
      <c r="F1029" s="20"/>
      <c r="G1029" s="20"/>
      <c r="H1029" s="20"/>
      <c r="I1029" s="20"/>
      <c r="J1029" s="45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9"/>
      <c r="AQ1029" s="29"/>
      <c r="AR1029" s="29"/>
      <c r="AS1029" s="29"/>
      <c r="AT1029" s="29"/>
      <c r="AU1029" s="29"/>
      <c r="AV1029" s="29"/>
      <c r="AW1029" s="29"/>
      <c r="AX1029" s="29"/>
    </row>
  </sheetData>
  <drawing r:id="rId1"/>
</worksheet>
</file>